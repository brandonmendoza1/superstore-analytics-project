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9.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brandonmendoza/Desktop/excel project/"/>
    </mc:Choice>
  </mc:AlternateContent>
  <xr:revisionPtr revIDLastSave="0" documentId="13_ncr:1_{0915F28F-9C75-A34A-9D1A-0F6EF833B000}" xr6:coauthVersionLast="47" xr6:coauthVersionMax="47" xr10:uidLastSave="{00000000-0000-0000-0000-000000000000}"/>
  <bookViews>
    <workbookView xWindow="0" yWindow="1020" windowWidth="34200" windowHeight="19340" xr2:uid="{00000000-000D-0000-FFFF-FFFF00000000}"/>
  </bookViews>
  <sheets>
    <sheet name="Dashboard" sheetId="32" r:id="rId1"/>
    <sheet name="Ship Mode Lag" sheetId="30" r:id="rId2"/>
    <sheet name="Customers" sheetId="1" r:id="rId3"/>
    <sheet name="Orders" sheetId="2" r:id="rId4"/>
    <sheet name="Products" sheetId="4" r:id="rId5"/>
    <sheet name="Sales Region" sheetId="3" r:id="rId6"/>
    <sheet name="Segments" sheetId="26" r:id="rId7"/>
    <sheet name="CO Combined" sheetId="17" r:id="rId8"/>
    <sheet name="CO Combined Revised" sheetId="21" r:id="rId9"/>
    <sheet name="Dummy Variables" sheetId="23" r:id="rId10"/>
    <sheet name="Regression" sheetId="29" r:id="rId11"/>
  </sheets>
  <definedNames>
    <definedName name="_xlnm._FilterDatabase" localSheetId="2" hidden="1">Customers!$A$1:$H$214</definedName>
    <definedName name="_xlnm._FilterDatabase" localSheetId="3" hidden="1">Orders!$A$1:$K$779</definedName>
    <definedName name="ExternalData_1" localSheetId="7" hidden="1">'CO Combined'!$A$1:$P$793</definedName>
    <definedName name="ExternalData_1" localSheetId="8" hidden="1">'CO Combined Revised'!$A$1:$Q$395</definedName>
    <definedName name="ExternalData_1" localSheetId="9" hidden="1">'Dummy Variables'!$A$1:$O$395</definedName>
    <definedName name="Slicer_City">#N/A</definedName>
    <definedName name="Slicer_Region">#N/A</definedName>
    <definedName name="Slicer_Segment">#N/A</definedName>
    <definedName name="Slicer_St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3" l="1"/>
  <c r="W3" i="23"/>
  <c r="W4" i="23"/>
  <c r="W5" i="23"/>
  <c r="W6" i="23"/>
  <c r="W7" i="23"/>
  <c r="W8" i="23"/>
  <c r="W9" i="23"/>
  <c r="W10" i="23"/>
  <c r="W11" i="23"/>
  <c r="W12" i="23"/>
  <c r="W13" i="23"/>
  <c r="W14" i="23"/>
  <c r="W15" i="23"/>
  <c r="W16" i="23"/>
  <c r="W17" i="23"/>
  <c r="W18" i="23"/>
  <c r="W19" i="23"/>
  <c r="W20" i="23"/>
  <c r="W21" i="23"/>
  <c r="W22" i="23"/>
  <c r="W23" i="23"/>
  <c r="W24" i="23"/>
  <c r="W25" i="23"/>
  <c r="W26" i="23"/>
  <c r="W27" i="23"/>
  <c r="W28" i="23"/>
  <c r="W29" i="23"/>
  <c r="W30" i="23"/>
  <c r="W31" i="23"/>
  <c r="W32" i="23"/>
  <c r="W33" i="23"/>
  <c r="W34" i="23"/>
  <c r="W35" i="23"/>
  <c r="W36" i="23"/>
  <c r="W37" i="23"/>
  <c r="W38" i="23"/>
  <c r="W39" i="23"/>
  <c r="W40" i="23"/>
  <c r="W41" i="23"/>
  <c r="W42" i="23"/>
  <c r="W43" i="23"/>
  <c r="W44" i="23"/>
  <c r="W45" i="23"/>
  <c r="W46" i="23"/>
  <c r="W47" i="23"/>
  <c r="W48" i="23"/>
  <c r="W49" i="23"/>
  <c r="W50" i="23"/>
  <c r="W51" i="23"/>
  <c r="W52" i="23"/>
  <c r="W53" i="23"/>
  <c r="W54" i="23"/>
  <c r="W55" i="23"/>
  <c r="W56" i="23"/>
  <c r="W57" i="23"/>
  <c r="W58" i="23"/>
  <c r="W59" i="23"/>
  <c r="W60" i="23"/>
  <c r="W61" i="23"/>
  <c r="W62" i="23"/>
  <c r="W63" i="23"/>
  <c r="W64" i="23"/>
  <c r="W65" i="23"/>
  <c r="W66" i="23"/>
  <c r="W67" i="23"/>
  <c r="W68" i="23"/>
  <c r="W69" i="23"/>
  <c r="W70" i="23"/>
  <c r="W71" i="23"/>
  <c r="W72" i="23"/>
  <c r="W73" i="23"/>
  <c r="W74" i="23"/>
  <c r="W75" i="23"/>
  <c r="W76" i="23"/>
  <c r="W77" i="23"/>
  <c r="W78" i="23"/>
  <c r="W79" i="23"/>
  <c r="W80" i="23"/>
  <c r="W81" i="23"/>
  <c r="W82" i="23"/>
  <c r="W83" i="23"/>
  <c r="W84" i="23"/>
  <c r="W85" i="23"/>
  <c r="W86" i="23"/>
  <c r="W87" i="23"/>
  <c r="W88" i="23"/>
  <c r="W89" i="23"/>
  <c r="W90" i="23"/>
  <c r="W91" i="23"/>
  <c r="W92" i="23"/>
  <c r="W93" i="23"/>
  <c r="W94" i="23"/>
  <c r="W95" i="23"/>
  <c r="W96" i="23"/>
  <c r="W97" i="23"/>
  <c r="W98" i="23"/>
  <c r="W99" i="23"/>
  <c r="W100" i="23"/>
  <c r="W101" i="23"/>
  <c r="W102" i="23"/>
  <c r="W103" i="23"/>
  <c r="W104" i="23"/>
  <c r="W105" i="23"/>
  <c r="W106" i="23"/>
  <c r="W107" i="23"/>
  <c r="W108" i="23"/>
  <c r="W109" i="23"/>
  <c r="W110" i="23"/>
  <c r="W111" i="23"/>
  <c r="W112" i="23"/>
  <c r="W113" i="23"/>
  <c r="W114" i="23"/>
  <c r="W115" i="23"/>
  <c r="W116" i="23"/>
  <c r="W117" i="23"/>
  <c r="W118" i="23"/>
  <c r="W119" i="23"/>
  <c r="W120" i="23"/>
  <c r="W121" i="23"/>
  <c r="W122" i="23"/>
  <c r="W123" i="23"/>
  <c r="W124" i="23"/>
  <c r="W125" i="23"/>
  <c r="W126" i="23"/>
  <c r="W127" i="23"/>
  <c r="W128" i="23"/>
  <c r="W129" i="23"/>
  <c r="W130" i="23"/>
  <c r="W131" i="23"/>
  <c r="W132" i="23"/>
  <c r="W133" i="23"/>
  <c r="W134" i="23"/>
  <c r="W135" i="23"/>
  <c r="W136" i="23"/>
  <c r="W137" i="23"/>
  <c r="W138" i="23"/>
  <c r="W139" i="23"/>
  <c r="W140" i="23"/>
  <c r="W141" i="23"/>
  <c r="W142" i="23"/>
  <c r="W143" i="23"/>
  <c r="W144" i="23"/>
  <c r="W145" i="23"/>
  <c r="W146" i="23"/>
  <c r="W147" i="23"/>
  <c r="W148" i="23"/>
  <c r="W149" i="23"/>
  <c r="W150" i="23"/>
  <c r="W151" i="23"/>
  <c r="W152" i="23"/>
  <c r="W153" i="23"/>
  <c r="W154" i="23"/>
  <c r="W155" i="23"/>
  <c r="W156" i="23"/>
  <c r="W157" i="23"/>
  <c r="W158" i="23"/>
  <c r="W159" i="23"/>
  <c r="W160" i="23"/>
  <c r="W161" i="23"/>
  <c r="W162" i="23"/>
  <c r="W163" i="23"/>
  <c r="W164" i="23"/>
  <c r="W165" i="23"/>
  <c r="W166" i="23"/>
  <c r="W167" i="23"/>
  <c r="W168" i="23"/>
  <c r="W169" i="23"/>
  <c r="W170" i="23"/>
  <c r="W171" i="23"/>
  <c r="W172" i="23"/>
  <c r="W173" i="23"/>
  <c r="W174" i="23"/>
  <c r="W175" i="23"/>
  <c r="W176" i="23"/>
  <c r="W177" i="23"/>
  <c r="W178" i="23"/>
  <c r="W179" i="23"/>
  <c r="W180" i="23"/>
  <c r="W181" i="23"/>
  <c r="W182" i="23"/>
  <c r="W183" i="23"/>
  <c r="W184" i="23"/>
  <c r="W185" i="23"/>
  <c r="W186" i="23"/>
  <c r="W187" i="23"/>
  <c r="W188" i="23"/>
  <c r="W189" i="23"/>
  <c r="W190" i="23"/>
  <c r="W191" i="23"/>
  <c r="W192" i="23"/>
  <c r="W193" i="23"/>
  <c r="W194" i="23"/>
  <c r="W195" i="23"/>
  <c r="W196" i="23"/>
  <c r="W197" i="23"/>
  <c r="W198" i="23"/>
  <c r="W199" i="23"/>
  <c r="W200" i="23"/>
  <c r="W201" i="23"/>
  <c r="W202" i="23"/>
  <c r="W203" i="23"/>
  <c r="W204" i="23"/>
  <c r="W205" i="23"/>
  <c r="W206" i="23"/>
  <c r="W207" i="23"/>
  <c r="W208" i="23"/>
  <c r="W209" i="23"/>
  <c r="W210" i="23"/>
  <c r="W211" i="23"/>
  <c r="W212" i="23"/>
  <c r="W213" i="23"/>
  <c r="W214" i="23"/>
  <c r="W215" i="23"/>
  <c r="W216" i="23"/>
  <c r="W217" i="23"/>
  <c r="W218" i="23"/>
  <c r="W219" i="23"/>
  <c r="W220" i="23"/>
  <c r="W221" i="23"/>
  <c r="W222" i="23"/>
  <c r="W223" i="23"/>
  <c r="W224" i="23"/>
  <c r="W225" i="23"/>
  <c r="W226" i="23"/>
  <c r="W227" i="23"/>
  <c r="W228" i="23"/>
  <c r="W229" i="23"/>
  <c r="W230" i="23"/>
  <c r="W231" i="23"/>
  <c r="W232" i="23"/>
  <c r="W233" i="23"/>
  <c r="W234" i="23"/>
  <c r="W235" i="23"/>
  <c r="W236" i="23"/>
  <c r="W237" i="23"/>
  <c r="W238" i="23"/>
  <c r="W239" i="23"/>
  <c r="W240" i="23"/>
  <c r="W241" i="23"/>
  <c r="W242" i="23"/>
  <c r="W243" i="23"/>
  <c r="W244" i="23"/>
  <c r="W245" i="23"/>
  <c r="W246" i="23"/>
  <c r="W247" i="23"/>
  <c r="W248" i="23"/>
  <c r="W249" i="23"/>
  <c r="W250" i="23"/>
  <c r="W251" i="23"/>
  <c r="W252" i="23"/>
  <c r="W253" i="23"/>
  <c r="W254" i="23"/>
  <c r="W255" i="23"/>
  <c r="W256" i="23"/>
  <c r="W257" i="23"/>
  <c r="W258" i="23"/>
  <c r="W259" i="23"/>
  <c r="W260" i="23"/>
  <c r="W261" i="23"/>
  <c r="W262" i="23"/>
  <c r="W263" i="23"/>
  <c r="W264" i="23"/>
  <c r="W265" i="23"/>
  <c r="W266" i="23"/>
  <c r="W267" i="23"/>
  <c r="W268" i="23"/>
  <c r="W269" i="23"/>
  <c r="W270" i="23"/>
  <c r="W271" i="23"/>
  <c r="W272" i="23"/>
  <c r="W273" i="23"/>
  <c r="W274" i="23"/>
  <c r="W275" i="23"/>
  <c r="W276" i="23"/>
  <c r="W277" i="23"/>
  <c r="W278" i="23"/>
  <c r="W279" i="23"/>
  <c r="W280" i="23"/>
  <c r="W281" i="23"/>
  <c r="W282" i="23"/>
  <c r="W283" i="23"/>
  <c r="W284" i="23"/>
  <c r="W285" i="23"/>
  <c r="W286" i="23"/>
  <c r="W287" i="23"/>
  <c r="W288" i="23"/>
  <c r="W289" i="23"/>
  <c r="W290" i="23"/>
  <c r="W291" i="23"/>
  <c r="W292" i="23"/>
  <c r="W293" i="23"/>
  <c r="W294" i="23"/>
  <c r="W295" i="23"/>
  <c r="W296" i="23"/>
  <c r="W297" i="23"/>
  <c r="W298" i="23"/>
  <c r="W299" i="23"/>
  <c r="W300" i="23"/>
  <c r="W301" i="23"/>
  <c r="W302" i="23"/>
  <c r="W303" i="23"/>
  <c r="W304" i="23"/>
  <c r="W305" i="23"/>
  <c r="W306" i="23"/>
  <c r="W307" i="23"/>
  <c r="W308" i="23"/>
  <c r="W309" i="23"/>
  <c r="W310" i="23"/>
  <c r="W311" i="23"/>
  <c r="W312" i="23"/>
  <c r="W313" i="23"/>
  <c r="W314" i="23"/>
  <c r="W315" i="23"/>
  <c r="W316" i="23"/>
  <c r="W317" i="23"/>
  <c r="W318" i="23"/>
  <c r="W319" i="23"/>
  <c r="W320" i="23"/>
  <c r="W321" i="23"/>
  <c r="W322" i="23"/>
  <c r="W323" i="23"/>
  <c r="W324" i="23"/>
  <c r="W325" i="23"/>
  <c r="W326" i="23"/>
  <c r="W327" i="23"/>
  <c r="W328" i="23"/>
  <c r="W329" i="23"/>
  <c r="W330" i="23"/>
  <c r="W331" i="23"/>
  <c r="W332" i="23"/>
  <c r="W333" i="23"/>
  <c r="W334" i="23"/>
  <c r="W335" i="23"/>
  <c r="W336" i="23"/>
  <c r="W337" i="23"/>
  <c r="W338" i="23"/>
  <c r="W339" i="23"/>
  <c r="W340" i="23"/>
  <c r="W341" i="23"/>
  <c r="W342" i="23"/>
  <c r="W343" i="23"/>
  <c r="W344" i="23"/>
  <c r="W345" i="23"/>
  <c r="W346" i="23"/>
  <c r="W347" i="23"/>
  <c r="W348" i="23"/>
  <c r="W349" i="23"/>
  <c r="W350" i="23"/>
  <c r="W351" i="23"/>
  <c r="W352" i="23"/>
  <c r="W353" i="23"/>
  <c r="W354" i="23"/>
  <c r="W355" i="23"/>
  <c r="W356" i="23"/>
  <c r="W357" i="23"/>
  <c r="W358" i="23"/>
  <c r="W359" i="23"/>
  <c r="W360" i="23"/>
  <c r="W361" i="23"/>
  <c r="W362" i="23"/>
  <c r="W363" i="23"/>
  <c r="W364" i="23"/>
  <c r="W365" i="23"/>
  <c r="W366" i="23"/>
  <c r="W367" i="23"/>
  <c r="W368" i="23"/>
  <c r="W369" i="23"/>
  <c r="W370" i="23"/>
  <c r="W371" i="23"/>
  <c r="W372" i="23"/>
  <c r="W373" i="23"/>
  <c r="W374" i="23"/>
  <c r="W375" i="23"/>
  <c r="W376" i="23"/>
  <c r="W377" i="23"/>
  <c r="W378" i="23"/>
  <c r="W379" i="23"/>
  <c r="W380" i="23"/>
  <c r="W381" i="23"/>
  <c r="W382" i="23"/>
  <c r="W383" i="23"/>
  <c r="W384" i="23"/>
  <c r="W385" i="23"/>
  <c r="W386" i="23"/>
  <c r="W387" i="23"/>
  <c r="W388" i="23"/>
  <c r="W389" i="23"/>
  <c r="W390" i="23"/>
  <c r="W391" i="23"/>
  <c r="W392" i="23"/>
  <c r="W393" i="23"/>
  <c r="W394" i="23"/>
  <c r="W395" i="23"/>
  <c r="V2" i="23"/>
  <c r="V3" i="23"/>
  <c r="V4" i="23"/>
  <c r="V5" i="23"/>
  <c r="V6" i="23"/>
  <c r="V7" i="23"/>
  <c r="V8" i="23"/>
  <c r="V9" i="23"/>
  <c r="V10" i="23"/>
  <c r="V11" i="23"/>
  <c r="V12" i="23"/>
  <c r="V13" i="23"/>
  <c r="V14" i="23"/>
  <c r="V15" i="23"/>
  <c r="V16" i="23"/>
  <c r="V17" i="23"/>
  <c r="V18" i="23"/>
  <c r="V19" i="23"/>
  <c r="V20" i="23"/>
  <c r="V21" i="23"/>
  <c r="V22" i="23"/>
  <c r="V23" i="23"/>
  <c r="V24" i="23"/>
  <c r="V25" i="23"/>
  <c r="V26" i="23"/>
  <c r="V27" i="23"/>
  <c r="V28" i="23"/>
  <c r="V29" i="23"/>
  <c r="V30" i="23"/>
  <c r="V31" i="23"/>
  <c r="V32" i="23"/>
  <c r="V33" i="23"/>
  <c r="V34" i="23"/>
  <c r="V35" i="23"/>
  <c r="V36" i="23"/>
  <c r="V37" i="23"/>
  <c r="V38" i="23"/>
  <c r="V39" i="23"/>
  <c r="V40" i="23"/>
  <c r="V41" i="23"/>
  <c r="V42" i="23"/>
  <c r="V43" i="23"/>
  <c r="V44" i="23"/>
  <c r="V45" i="23"/>
  <c r="V46" i="23"/>
  <c r="V47" i="23"/>
  <c r="V48" i="23"/>
  <c r="V49" i="23"/>
  <c r="V50" i="23"/>
  <c r="V51" i="23"/>
  <c r="V52" i="23"/>
  <c r="V53" i="23"/>
  <c r="V54" i="23"/>
  <c r="V55" i="23"/>
  <c r="V56" i="23"/>
  <c r="V57" i="23"/>
  <c r="V58" i="23"/>
  <c r="V59" i="23"/>
  <c r="V60" i="23"/>
  <c r="V61" i="23"/>
  <c r="V62" i="23"/>
  <c r="V63" i="23"/>
  <c r="V64" i="23"/>
  <c r="V65" i="23"/>
  <c r="V66" i="23"/>
  <c r="V67" i="23"/>
  <c r="V68" i="23"/>
  <c r="V69" i="23"/>
  <c r="V70" i="23"/>
  <c r="V71" i="23"/>
  <c r="V72" i="23"/>
  <c r="V73" i="23"/>
  <c r="V74" i="23"/>
  <c r="V75" i="23"/>
  <c r="V76" i="23"/>
  <c r="V77" i="23"/>
  <c r="V78" i="23"/>
  <c r="V79" i="23"/>
  <c r="V80" i="23"/>
  <c r="V81" i="23"/>
  <c r="V82" i="23"/>
  <c r="V83" i="23"/>
  <c r="V84" i="23"/>
  <c r="V85" i="23"/>
  <c r="V86" i="23"/>
  <c r="V87" i="23"/>
  <c r="V88" i="23"/>
  <c r="V89" i="23"/>
  <c r="V90" i="23"/>
  <c r="V91" i="23"/>
  <c r="V92" i="23"/>
  <c r="V93" i="23"/>
  <c r="V94" i="23"/>
  <c r="V95" i="23"/>
  <c r="V96" i="23"/>
  <c r="V97" i="23"/>
  <c r="V98" i="23"/>
  <c r="V99" i="23"/>
  <c r="V100" i="23"/>
  <c r="V101" i="23"/>
  <c r="V102" i="23"/>
  <c r="V103" i="23"/>
  <c r="V104" i="23"/>
  <c r="V105" i="23"/>
  <c r="V106" i="23"/>
  <c r="V107" i="23"/>
  <c r="V108" i="23"/>
  <c r="V109" i="23"/>
  <c r="V110" i="23"/>
  <c r="V111" i="23"/>
  <c r="V112" i="23"/>
  <c r="V113" i="23"/>
  <c r="V114" i="23"/>
  <c r="V115" i="23"/>
  <c r="V116" i="23"/>
  <c r="V117" i="23"/>
  <c r="V118" i="23"/>
  <c r="V119" i="23"/>
  <c r="V120" i="23"/>
  <c r="V121" i="23"/>
  <c r="V122" i="23"/>
  <c r="V123" i="23"/>
  <c r="V124" i="23"/>
  <c r="V125" i="23"/>
  <c r="V126" i="23"/>
  <c r="V127" i="23"/>
  <c r="V128" i="23"/>
  <c r="V129" i="23"/>
  <c r="V130" i="23"/>
  <c r="V131" i="23"/>
  <c r="V132" i="23"/>
  <c r="V133" i="23"/>
  <c r="V134" i="23"/>
  <c r="V135" i="23"/>
  <c r="V136" i="23"/>
  <c r="V137" i="23"/>
  <c r="V138" i="23"/>
  <c r="V139" i="23"/>
  <c r="V140" i="23"/>
  <c r="V141" i="23"/>
  <c r="V142" i="23"/>
  <c r="V143" i="23"/>
  <c r="V144" i="23"/>
  <c r="V145" i="23"/>
  <c r="V146" i="23"/>
  <c r="V147" i="23"/>
  <c r="V148" i="23"/>
  <c r="V149" i="23"/>
  <c r="V150" i="23"/>
  <c r="V151" i="23"/>
  <c r="V152" i="23"/>
  <c r="V153" i="23"/>
  <c r="V154" i="23"/>
  <c r="V155" i="23"/>
  <c r="V156" i="23"/>
  <c r="V157" i="23"/>
  <c r="V158" i="23"/>
  <c r="V159" i="23"/>
  <c r="V160" i="23"/>
  <c r="V161" i="23"/>
  <c r="V162" i="23"/>
  <c r="V163" i="23"/>
  <c r="V164" i="23"/>
  <c r="V165" i="23"/>
  <c r="V166" i="23"/>
  <c r="V167" i="23"/>
  <c r="V168" i="23"/>
  <c r="V169" i="23"/>
  <c r="V170" i="23"/>
  <c r="V171" i="23"/>
  <c r="V172" i="23"/>
  <c r="V173" i="23"/>
  <c r="V174" i="23"/>
  <c r="V175" i="23"/>
  <c r="V176" i="23"/>
  <c r="V177" i="23"/>
  <c r="V178" i="23"/>
  <c r="V179" i="23"/>
  <c r="V180" i="23"/>
  <c r="V181" i="23"/>
  <c r="V182" i="23"/>
  <c r="V183" i="23"/>
  <c r="V184" i="23"/>
  <c r="V185" i="23"/>
  <c r="V186" i="23"/>
  <c r="V187" i="23"/>
  <c r="V188" i="23"/>
  <c r="V189" i="23"/>
  <c r="V190" i="23"/>
  <c r="V191" i="23"/>
  <c r="V192" i="23"/>
  <c r="V193" i="23"/>
  <c r="V194" i="23"/>
  <c r="V195" i="23"/>
  <c r="V196" i="23"/>
  <c r="V197" i="23"/>
  <c r="V198" i="23"/>
  <c r="V199" i="23"/>
  <c r="V200" i="23"/>
  <c r="V201" i="23"/>
  <c r="V202" i="23"/>
  <c r="V203" i="23"/>
  <c r="V204" i="23"/>
  <c r="V205" i="23"/>
  <c r="V206" i="23"/>
  <c r="V207" i="23"/>
  <c r="V208" i="23"/>
  <c r="V209" i="23"/>
  <c r="V210" i="23"/>
  <c r="V211" i="23"/>
  <c r="V212" i="23"/>
  <c r="V213" i="23"/>
  <c r="V214" i="23"/>
  <c r="V215" i="23"/>
  <c r="V216" i="23"/>
  <c r="V217" i="23"/>
  <c r="V218" i="23"/>
  <c r="V219" i="23"/>
  <c r="V220" i="23"/>
  <c r="V221" i="23"/>
  <c r="V222" i="23"/>
  <c r="V223" i="23"/>
  <c r="V224" i="23"/>
  <c r="V225" i="23"/>
  <c r="V226" i="23"/>
  <c r="V227" i="23"/>
  <c r="V228" i="23"/>
  <c r="V229" i="23"/>
  <c r="V230" i="23"/>
  <c r="V231" i="23"/>
  <c r="V232" i="23"/>
  <c r="V233" i="23"/>
  <c r="V234" i="23"/>
  <c r="V235" i="23"/>
  <c r="V236" i="23"/>
  <c r="V237" i="23"/>
  <c r="V238" i="23"/>
  <c r="V239" i="23"/>
  <c r="V240" i="23"/>
  <c r="V241" i="23"/>
  <c r="V242" i="23"/>
  <c r="V243" i="23"/>
  <c r="V244" i="23"/>
  <c r="V245" i="23"/>
  <c r="V246" i="23"/>
  <c r="V247" i="23"/>
  <c r="V248" i="23"/>
  <c r="V249" i="23"/>
  <c r="V250" i="23"/>
  <c r="V251" i="23"/>
  <c r="V252" i="23"/>
  <c r="V253" i="23"/>
  <c r="V254" i="23"/>
  <c r="V255" i="23"/>
  <c r="V256" i="23"/>
  <c r="V257" i="23"/>
  <c r="V258" i="23"/>
  <c r="V259" i="23"/>
  <c r="V260" i="23"/>
  <c r="V261" i="23"/>
  <c r="V262" i="23"/>
  <c r="V263" i="23"/>
  <c r="V264" i="23"/>
  <c r="V265" i="23"/>
  <c r="V266" i="23"/>
  <c r="V267" i="23"/>
  <c r="V268" i="23"/>
  <c r="V269" i="23"/>
  <c r="V270" i="23"/>
  <c r="V271" i="23"/>
  <c r="V272" i="23"/>
  <c r="V273" i="23"/>
  <c r="V274" i="23"/>
  <c r="V275" i="23"/>
  <c r="V276" i="23"/>
  <c r="V277" i="23"/>
  <c r="V278" i="23"/>
  <c r="V279" i="23"/>
  <c r="V280" i="23"/>
  <c r="V281" i="23"/>
  <c r="V282" i="23"/>
  <c r="V283" i="23"/>
  <c r="V284" i="23"/>
  <c r="V285" i="23"/>
  <c r="V286" i="23"/>
  <c r="V287" i="23"/>
  <c r="V288" i="23"/>
  <c r="V289" i="23"/>
  <c r="V290" i="23"/>
  <c r="V291" i="23"/>
  <c r="V292" i="23"/>
  <c r="V293" i="23"/>
  <c r="V294" i="23"/>
  <c r="V295" i="23"/>
  <c r="V296" i="23"/>
  <c r="V297" i="23"/>
  <c r="V298" i="23"/>
  <c r="V299" i="23"/>
  <c r="V300" i="23"/>
  <c r="V301" i="23"/>
  <c r="V302" i="23"/>
  <c r="V303" i="23"/>
  <c r="V304" i="23"/>
  <c r="V305" i="23"/>
  <c r="V306" i="23"/>
  <c r="V307" i="23"/>
  <c r="V308" i="23"/>
  <c r="V309" i="23"/>
  <c r="V310" i="23"/>
  <c r="V311" i="23"/>
  <c r="V312" i="23"/>
  <c r="V313" i="23"/>
  <c r="V314" i="23"/>
  <c r="V315" i="23"/>
  <c r="V316" i="23"/>
  <c r="V317" i="23"/>
  <c r="V318" i="23"/>
  <c r="V319" i="23"/>
  <c r="V320" i="23"/>
  <c r="V321" i="23"/>
  <c r="V322" i="23"/>
  <c r="V323" i="23"/>
  <c r="V324" i="23"/>
  <c r="V325" i="23"/>
  <c r="V326" i="23"/>
  <c r="V327" i="23"/>
  <c r="V328" i="23"/>
  <c r="V329" i="23"/>
  <c r="V330" i="23"/>
  <c r="V331" i="23"/>
  <c r="V332" i="23"/>
  <c r="V333" i="23"/>
  <c r="V334" i="23"/>
  <c r="V335" i="23"/>
  <c r="V336" i="23"/>
  <c r="V337" i="23"/>
  <c r="V338" i="23"/>
  <c r="V339" i="23"/>
  <c r="V340" i="23"/>
  <c r="V341" i="23"/>
  <c r="V342" i="23"/>
  <c r="V343" i="23"/>
  <c r="V344" i="23"/>
  <c r="V345" i="23"/>
  <c r="V346" i="23"/>
  <c r="V347" i="23"/>
  <c r="V348" i="23"/>
  <c r="V349" i="23"/>
  <c r="V350" i="23"/>
  <c r="V351" i="23"/>
  <c r="V352" i="23"/>
  <c r="V353" i="23"/>
  <c r="V354" i="23"/>
  <c r="V355" i="23"/>
  <c r="V356" i="23"/>
  <c r="V357" i="23"/>
  <c r="V358" i="23"/>
  <c r="V359" i="23"/>
  <c r="V360" i="23"/>
  <c r="V361" i="23"/>
  <c r="V362" i="23"/>
  <c r="V363" i="23"/>
  <c r="V364" i="23"/>
  <c r="V365" i="23"/>
  <c r="V366" i="23"/>
  <c r="V367" i="23"/>
  <c r="V368" i="23"/>
  <c r="V369" i="23"/>
  <c r="V370" i="23"/>
  <c r="V371" i="23"/>
  <c r="V372" i="23"/>
  <c r="V373" i="23"/>
  <c r="V374" i="23"/>
  <c r="V375" i="23"/>
  <c r="V376" i="23"/>
  <c r="V377" i="23"/>
  <c r="V378" i="23"/>
  <c r="V379" i="23"/>
  <c r="V380" i="23"/>
  <c r="V381" i="23"/>
  <c r="V382" i="23"/>
  <c r="V383" i="23"/>
  <c r="V384" i="23"/>
  <c r="V385" i="23"/>
  <c r="V386" i="23"/>
  <c r="V387" i="23"/>
  <c r="V388" i="23"/>
  <c r="V389" i="23"/>
  <c r="V390" i="23"/>
  <c r="V391" i="23"/>
  <c r="V392" i="23"/>
  <c r="V393" i="23"/>
  <c r="V394" i="23"/>
  <c r="V395" i="23"/>
  <c r="U2" i="23"/>
  <c r="U3" i="23"/>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51" i="23"/>
  <c r="U52" i="23"/>
  <c r="U53" i="23"/>
  <c r="U54" i="23"/>
  <c r="U55" i="23"/>
  <c r="U56" i="23"/>
  <c r="U57" i="23"/>
  <c r="U58" i="23"/>
  <c r="U59" i="23"/>
  <c r="U60" i="23"/>
  <c r="U61" i="23"/>
  <c r="U62" i="23"/>
  <c r="U63" i="23"/>
  <c r="U64" i="23"/>
  <c r="U65" i="23"/>
  <c r="U66" i="23"/>
  <c r="U67" i="23"/>
  <c r="U68" i="23"/>
  <c r="U69" i="23"/>
  <c r="U70" i="23"/>
  <c r="U71" i="23"/>
  <c r="U72" i="23"/>
  <c r="U73" i="23"/>
  <c r="U74" i="23"/>
  <c r="U75" i="23"/>
  <c r="U76" i="23"/>
  <c r="U77" i="23"/>
  <c r="U78" i="23"/>
  <c r="U79" i="23"/>
  <c r="U80" i="23"/>
  <c r="U81" i="23"/>
  <c r="U82" i="23"/>
  <c r="U83" i="23"/>
  <c r="U84" i="23"/>
  <c r="U85" i="23"/>
  <c r="U86" i="23"/>
  <c r="U87" i="23"/>
  <c r="U88" i="23"/>
  <c r="U89" i="23"/>
  <c r="U90" i="23"/>
  <c r="U91" i="23"/>
  <c r="U92" i="23"/>
  <c r="U93" i="23"/>
  <c r="U94" i="23"/>
  <c r="U95" i="23"/>
  <c r="U96" i="23"/>
  <c r="U97" i="23"/>
  <c r="U98" i="23"/>
  <c r="U99" i="23"/>
  <c r="U100" i="23"/>
  <c r="U101" i="23"/>
  <c r="U102" i="23"/>
  <c r="U103" i="23"/>
  <c r="U104" i="23"/>
  <c r="U105" i="23"/>
  <c r="U106" i="23"/>
  <c r="U107" i="23"/>
  <c r="U108" i="23"/>
  <c r="U109" i="23"/>
  <c r="U110" i="23"/>
  <c r="U111" i="23"/>
  <c r="U112" i="23"/>
  <c r="U113" i="23"/>
  <c r="U114" i="23"/>
  <c r="U115" i="23"/>
  <c r="U116" i="23"/>
  <c r="U117" i="23"/>
  <c r="U118" i="23"/>
  <c r="U119" i="23"/>
  <c r="U120" i="23"/>
  <c r="U121" i="23"/>
  <c r="U122" i="23"/>
  <c r="U123" i="23"/>
  <c r="U124" i="23"/>
  <c r="U125" i="23"/>
  <c r="U126" i="23"/>
  <c r="U127" i="23"/>
  <c r="U128" i="23"/>
  <c r="U129" i="23"/>
  <c r="U130" i="23"/>
  <c r="U131" i="23"/>
  <c r="U132" i="23"/>
  <c r="U133" i="23"/>
  <c r="U134" i="23"/>
  <c r="U135" i="23"/>
  <c r="U136" i="23"/>
  <c r="U137" i="23"/>
  <c r="U138" i="23"/>
  <c r="U139" i="23"/>
  <c r="U140" i="23"/>
  <c r="U141" i="23"/>
  <c r="U142" i="23"/>
  <c r="U143" i="23"/>
  <c r="U144" i="23"/>
  <c r="U145" i="23"/>
  <c r="U146" i="23"/>
  <c r="U147" i="23"/>
  <c r="U148" i="23"/>
  <c r="U149" i="23"/>
  <c r="U150" i="23"/>
  <c r="U151" i="23"/>
  <c r="U152" i="23"/>
  <c r="U153" i="23"/>
  <c r="U154" i="23"/>
  <c r="U155" i="23"/>
  <c r="U156" i="23"/>
  <c r="U157" i="23"/>
  <c r="U158" i="23"/>
  <c r="U159" i="23"/>
  <c r="U160" i="23"/>
  <c r="U161" i="23"/>
  <c r="U162" i="23"/>
  <c r="U163" i="23"/>
  <c r="U164" i="23"/>
  <c r="U165" i="23"/>
  <c r="U166" i="23"/>
  <c r="U167" i="23"/>
  <c r="U168" i="23"/>
  <c r="U169" i="23"/>
  <c r="U170" i="23"/>
  <c r="U171" i="23"/>
  <c r="U172" i="23"/>
  <c r="U173" i="23"/>
  <c r="U174" i="23"/>
  <c r="U175" i="23"/>
  <c r="U176" i="23"/>
  <c r="U177" i="23"/>
  <c r="U178" i="23"/>
  <c r="U179" i="23"/>
  <c r="U180" i="23"/>
  <c r="U181" i="23"/>
  <c r="U182" i="23"/>
  <c r="U183" i="23"/>
  <c r="U184" i="23"/>
  <c r="U185" i="23"/>
  <c r="U186" i="23"/>
  <c r="U187" i="23"/>
  <c r="U188" i="23"/>
  <c r="U189" i="23"/>
  <c r="U190" i="23"/>
  <c r="U191" i="23"/>
  <c r="U192" i="23"/>
  <c r="U193" i="23"/>
  <c r="U194" i="23"/>
  <c r="U195" i="23"/>
  <c r="U196" i="23"/>
  <c r="U197" i="23"/>
  <c r="U198" i="23"/>
  <c r="U199" i="23"/>
  <c r="U200" i="23"/>
  <c r="U201" i="23"/>
  <c r="U202" i="23"/>
  <c r="U203" i="23"/>
  <c r="U204" i="23"/>
  <c r="U205" i="23"/>
  <c r="U206" i="23"/>
  <c r="U207" i="23"/>
  <c r="U208" i="23"/>
  <c r="U209" i="23"/>
  <c r="U210" i="23"/>
  <c r="U211" i="23"/>
  <c r="U212" i="23"/>
  <c r="U213" i="23"/>
  <c r="U214" i="23"/>
  <c r="U215" i="23"/>
  <c r="U216" i="23"/>
  <c r="U217" i="23"/>
  <c r="U218" i="23"/>
  <c r="U219" i="23"/>
  <c r="U220" i="23"/>
  <c r="U221" i="23"/>
  <c r="U222" i="23"/>
  <c r="U223" i="23"/>
  <c r="U224" i="23"/>
  <c r="U225" i="23"/>
  <c r="U226" i="23"/>
  <c r="U227" i="23"/>
  <c r="U228" i="23"/>
  <c r="U229" i="23"/>
  <c r="U230" i="23"/>
  <c r="U231" i="23"/>
  <c r="U232" i="23"/>
  <c r="U233" i="23"/>
  <c r="U234" i="23"/>
  <c r="U235" i="23"/>
  <c r="U236" i="23"/>
  <c r="U237" i="23"/>
  <c r="U238" i="23"/>
  <c r="U239" i="23"/>
  <c r="U240" i="23"/>
  <c r="U241" i="23"/>
  <c r="U242" i="23"/>
  <c r="U243" i="23"/>
  <c r="U244" i="23"/>
  <c r="U245" i="23"/>
  <c r="U246" i="23"/>
  <c r="U247" i="23"/>
  <c r="U248" i="23"/>
  <c r="U249" i="23"/>
  <c r="U250" i="23"/>
  <c r="U251" i="23"/>
  <c r="U252" i="23"/>
  <c r="U253" i="23"/>
  <c r="U254" i="23"/>
  <c r="U255" i="23"/>
  <c r="U256" i="23"/>
  <c r="U257" i="23"/>
  <c r="U258" i="23"/>
  <c r="U259" i="23"/>
  <c r="U260" i="23"/>
  <c r="U261" i="23"/>
  <c r="U262" i="23"/>
  <c r="U263" i="23"/>
  <c r="U264" i="23"/>
  <c r="U265" i="23"/>
  <c r="U266" i="23"/>
  <c r="U267" i="23"/>
  <c r="U268" i="23"/>
  <c r="U269" i="23"/>
  <c r="U270" i="23"/>
  <c r="U271" i="23"/>
  <c r="U272" i="23"/>
  <c r="U273" i="23"/>
  <c r="U274" i="23"/>
  <c r="U275" i="23"/>
  <c r="U276" i="23"/>
  <c r="U277" i="23"/>
  <c r="U278" i="23"/>
  <c r="U279" i="23"/>
  <c r="U280" i="23"/>
  <c r="U281" i="23"/>
  <c r="U282" i="23"/>
  <c r="U283" i="23"/>
  <c r="U284" i="23"/>
  <c r="U285" i="23"/>
  <c r="U286" i="23"/>
  <c r="U287" i="23"/>
  <c r="U288" i="23"/>
  <c r="U289" i="23"/>
  <c r="U290" i="23"/>
  <c r="U291" i="23"/>
  <c r="U292" i="23"/>
  <c r="U293" i="23"/>
  <c r="U294" i="23"/>
  <c r="U295" i="23"/>
  <c r="U296" i="23"/>
  <c r="U297" i="23"/>
  <c r="U298" i="23"/>
  <c r="U299" i="23"/>
  <c r="U300" i="23"/>
  <c r="U301" i="23"/>
  <c r="U302" i="23"/>
  <c r="U303" i="23"/>
  <c r="U304" i="23"/>
  <c r="U305" i="23"/>
  <c r="U306" i="23"/>
  <c r="U307" i="23"/>
  <c r="U308" i="23"/>
  <c r="U309" i="23"/>
  <c r="U310" i="23"/>
  <c r="U311" i="23"/>
  <c r="U312" i="23"/>
  <c r="U313" i="23"/>
  <c r="U314" i="23"/>
  <c r="U315" i="23"/>
  <c r="U316" i="23"/>
  <c r="U317" i="23"/>
  <c r="U318" i="23"/>
  <c r="U319" i="23"/>
  <c r="U320" i="23"/>
  <c r="U321" i="23"/>
  <c r="U322" i="23"/>
  <c r="U323" i="23"/>
  <c r="U324" i="23"/>
  <c r="U325" i="23"/>
  <c r="U326" i="23"/>
  <c r="U327" i="23"/>
  <c r="U328" i="23"/>
  <c r="U329" i="23"/>
  <c r="U330" i="23"/>
  <c r="U331" i="23"/>
  <c r="U332" i="23"/>
  <c r="U333" i="23"/>
  <c r="U334" i="23"/>
  <c r="U335" i="23"/>
  <c r="U336" i="23"/>
  <c r="U337" i="23"/>
  <c r="U338" i="23"/>
  <c r="U339" i="23"/>
  <c r="U340" i="23"/>
  <c r="U341" i="23"/>
  <c r="U342" i="23"/>
  <c r="U343" i="23"/>
  <c r="U344" i="23"/>
  <c r="U345" i="23"/>
  <c r="U346" i="23"/>
  <c r="U347" i="23"/>
  <c r="U348" i="23"/>
  <c r="U349" i="23"/>
  <c r="U350" i="23"/>
  <c r="U351" i="23"/>
  <c r="U352" i="23"/>
  <c r="U353" i="23"/>
  <c r="U354" i="23"/>
  <c r="U355" i="23"/>
  <c r="U356" i="23"/>
  <c r="U357" i="23"/>
  <c r="U358" i="23"/>
  <c r="U359" i="23"/>
  <c r="U360" i="23"/>
  <c r="U361" i="23"/>
  <c r="U362" i="23"/>
  <c r="U363" i="23"/>
  <c r="U364" i="23"/>
  <c r="U365" i="23"/>
  <c r="U366" i="23"/>
  <c r="U367" i="23"/>
  <c r="U368" i="23"/>
  <c r="U369" i="23"/>
  <c r="U370" i="23"/>
  <c r="U371" i="23"/>
  <c r="U372" i="23"/>
  <c r="U373" i="23"/>
  <c r="U374" i="23"/>
  <c r="U375" i="23"/>
  <c r="U376" i="23"/>
  <c r="U377" i="23"/>
  <c r="U378" i="23"/>
  <c r="U379" i="23"/>
  <c r="U380" i="23"/>
  <c r="U381" i="23"/>
  <c r="U382" i="23"/>
  <c r="U383" i="23"/>
  <c r="U384" i="23"/>
  <c r="U385" i="23"/>
  <c r="U386" i="23"/>
  <c r="U387" i="23"/>
  <c r="U388" i="23"/>
  <c r="U389" i="23"/>
  <c r="U390" i="23"/>
  <c r="U391" i="23"/>
  <c r="U392" i="23"/>
  <c r="U393" i="23"/>
  <c r="U394" i="23"/>
  <c r="U395" i="23"/>
  <c r="T21" i="21"/>
  <c r="T22" i="21"/>
  <c r="T23" i="21"/>
  <c r="T20" i="21"/>
  <c r="T2" i="23"/>
  <c r="T3" i="23"/>
  <c r="T4" i="23"/>
  <c r="T5" i="23"/>
  <c r="T6" i="23"/>
  <c r="T7" i="23"/>
  <c r="T8" i="23"/>
  <c r="T9" i="23"/>
  <c r="T10" i="23"/>
  <c r="T11" i="23"/>
  <c r="T12" i="23"/>
  <c r="T13" i="23"/>
  <c r="T14" i="23"/>
  <c r="T15" i="23"/>
  <c r="T16" i="23"/>
  <c r="T17"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T47" i="23"/>
  <c r="T48" i="23"/>
  <c r="T49" i="23"/>
  <c r="T50" i="23"/>
  <c r="T51" i="23"/>
  <c r="T52" i="23"/>
  <c r="T53" i="23"/>
  <c r="T54" i="23"/>
  <c r="T55" i="23"/>
  <c r="T56" i="23"/>
  <c r="T57" i="23"/>
  <c r="T58" i="23"/>
  <c r="T59" i="23"/>
  <c r="T60" i="23"/>
  <c r="T61" i="23"/>
  <c r="T62" i="23"/>
  <c r="T63" i="23"/>
  <c r="T64" i="23"/>
  <c r="T65" i="23"/>
  <c r="T66" i="23"/>
  <c r="T67" i="23"/>
  <c r="T68" i="23"/>
  <c r="T69" i="23"/>
  <c r="T70" i="23"/>
  <c r="T71" i="23"/>
  <c r="T72" i="23"/>
  <c r="T73" i="23"/>
  <c r="T74" i="23"/>
  <c r="T75" i="23"/>
  <c r="T76" i="23"/>
  <c r="T77" i="23"/>
  <c r="T78" i="23"/>
  <c r="T79" i="23"/>
  <c r="T80" i="23"/>
  <c r="T81" i="23"/>
  <c r="T82" i="23"/>
  <c r="T83" i="23"/>
  <c r="T84" i="23"/>
  <c r="T85" i="23"/>
  <c r="T86" i="23"/>
  <c r="T87" i="23"/>
  <c r="T88" i="23"/>
  <c r="T89" i="23"/>
  <c r="T90" i="23"/>
  <c r="T91" i="23"/>
  <c r="T92" i="23"/>
  <c r="T93" i="23"/>
  <c r="T94" i="23"/>
  <c r="T95" i="23"/>
  <c r="T96" i="23"/>
  <c r="T97" i="23"/>
  <c r="T98" i="23"/>
  <c r="T99" i="23"/>
  <c r="T100" i="23"/>
  <c r="T101" i="23"/>
  <c r="T102" i="23"/>
  <c r="T103" i="23"/>
  <c r="T104" i="23"/>
  <c r="T105" i="23"/>
  <c r="T106" i="23"/>
  <c r="T107" i="23"/>
  <c r="T108" i="23"/>
  <c r="T109" i="23"/>
  <c r="T110" i="23"/>
  <c r="T111" i="23"/>
  <c r="T112" i="23"/>
  <c r="T113" i="23"/>
  <c r="T114" i="23"/>
  <c r="T115" i="23"/>
  <c r="T116" i="23"/>
  <c r="T117" i="23"/>
  <c r="T118" i="23"/>
  <c r="T119" i="23"/>
  <c r="T120" i="23"/>
  <c r="T121" i="23"/>
  <c r="T122" i="23"/>
  <c r="T123" i="23"/>
  <c r="T124" i="23"/>
  <c r="T125" i="23"/>
  <c r="T126" i="23"/>
  <c r="T127" i="23"/>
  <c r="T128" i="23"/>
  <c r="T129" i="23"/>
  <c r="T130" i="23"/>
  <c r="T131" i="23"/>
  <c r="T132" i="23"/>
  <c r="T133" i="23"/>
  <c r="T134" i="23"/>
  <c r="T135" i="23"/>
  <c r="T136" i="23"/>
  <c r="T137" i="23"/>
  <c r="T138" i="23"/>
  <c r="T139" i="23"/>
  <c r="T140" i="23"/>
  <c r="T141" i="23"/>
  <c r="T142" i="23"/>
  <c r="T143" i="23"/>
  <c r="T144" i="23"/>
  <c r="T145" i="23"/>
  <c r="T146" i="23"/>
  <c r="T147" i="23"/>
  <c r="T148" i="23"/>
  <c r="T149" i="23"/>
  <c r="T150" i="23"/>
  <c r="T151" i="23"/>
  <c r="T152" i="23"/>
  <c r="T153" i="23"/>
  <c r="T154" i="23"/>
  <c r="T155" i="23"/>
  <c r="T156" i="23"/>
  <c r="T157" i="23"/>
  <c r="T158" i="23"/>
  <c r="T159" i="23"/>
  <c r="T160" i="23"/>
  <c r="T161" i="23"/>
  <c r="T162" i="23"/>
  <c r="T163" i="23"/>
  <c r="T164" i="23"/>
  <c r="T165" i="23"/>
  <c r="T166" i="23"/>
  <c r="T167" i="23"/>
  <c r="T168" i="23"/>
  <c r="T169" i="23"/>
  <c r="T170" i="23"/>
  <c r="T171" i="23"/>
  <c r="T172" i="23"/>
  <c r="T173" i="23"/>
  <c r="T174" i="23"/>
  <c r="T175" i="23"/>
  <c r="T176" i="23"/>
  <c r="T177" i="23"/>
  <c r="T178" i="23"/>
  <c r="T179" i="23"/>
  <c r="T180" i="23"/>
  <c r="T181" i="23"/>
  <c r="T182" i="23"/>
  <c r="T183" i="23"/>
  <c r="T184" i="23"/>
  <c r="T185" i="23"/>
  <c r="T186" i="23"/>
  <c r="T187" i="23"/>
  <c r="T188" i="23"/>
  <c r="T189" i="23"/>
  <c r="T190" i="23"/>
  <c r="T191" i="23"/>
  <c r="T192" i="23"/>
  <c r="T193" i="23"/>
  <c r="T194" i="23"/>
  <c r="T195" i="23"/>
  <c r="T196" i="23"/>
  <c r="T197" i="23"/>
  <c r="T198" i="23"/>
  <c r="T199" i="23"/>
  <c r="T200" i="23"/>
  <c r="T201" i="23"/>
  <c r="T202" i="23"/>
  <c r="T203" i="23"/>
  <c r="T204" i="23"/>
  <c r="T205" i="23"/>
  <c r="T206" i="23"/>
  <c r="T207" i="23"/>
  <c r="T208" i="23"/>
  <c r="T209" i="23"/>
  <c r="T210" i="23"/>
  <c r="T211" i="23"/>
  <c r="T212" i="23"/>
  <c r="T213" i="23"/>
  <c r="T214" i="23"/>
  <c r="T215" i="23"/>
  <c r="T216" i="23"/>
  <c r="T217" i="23"/>
  <c r="T218" i="23"/>
  <c r="T219" i="23"/>
  <c r="T220" i="23"/>
  <c r="T221" i="23"/>
  <c r="T222" i="23"/>
  <c r="T223" i="23"/>
  <c r="T224" i="23"/>
  <c r="T225" i="23"/>
  <c r="T226" i="23"/>
  <c r="T227" i="23"/>
  <c r="T228" i="23"/>
  <c r="T229" i="23"/>
  <c r="T230" i="23"/>
  <c r="T231" i="23"/>
  <c r="T232" i="23"/>
  <c r="T233" i="23"/>
  <c r="T234" i="23"/>
  <c r="T235" i="23"/>
  <c r="T236" i="23"/>
  <c r="T237" i="23"/>
  <c r="T238" i="23"/>
  <c r="T239" i="23"/>
  <c r="T240" i="23"/>
  <c r="T241" i="23"/>
  <c r="T242" i="23"/>
  <c r="T243" i="23"/>
  <c r="T244" i="23"/>
  <c r="T245" i="23"/>
  <c r="T246" i="23"/>
  <c r="T247" i="23"/>
  <c r="T248" i="23"/>
  <c r="T249" i="23"/>
  <c r="T250" i="23"/>
  <c r="T251" i="23"/>
  <c r="T252" i="23"/>
  <c r="T253" i="23"/>
  <c r="T254" i="23"/>
  <c r="T255" i="23"/>
  <c r="T256" i="23"/>
  <c r="T257" i="23"/>
  <c r="T258" i="23"/>
  <c r="T259" i="23"/>
  <c r="T260" i="23"/>
  <c r="T261" i="23"/>
  <c r="T262" i="23"/>
  <c r="T263" i="23"/>
  <c r="T264" i="23"/>
  <c r="T265" i="23"/>
  <c r="T266" i="23"/>
  <c r="T267" i="23"/>
  <c r="T268" i="23"/>
  <c r="T269" i="23"/>
  <c r="T270" i="23"/>
  <c r="T271" i="23"/>
  <c r="T272" i="23"/>
  <c r="T273" i="23"/>
  <c r="T274" i="23"/>
  <c r="T275" i="23"/>
  <c r="T276" i="23"/>
  <c r="T277" i="23"/>
  <c r="T278" i="23"/>
  <c r="T279" i="23"/>
  <c r="T280" i="23"/>
  <c r="T281" i="23"/>
  <c r="T282" i="23"/>
  <c r="T283" i="23"/>
  <c r="T284" i="23"/>
  <c r="T285" i="23"/>
  <c r="T286" i="23"/>
  <c r="T287" i="23"/>
  <c r="T288" i="23"/>
  <c r="T289" i="23"/>
  <c r="T290" i="23"/>
  <c r="T291" i="23"/>
  <c r="T292" i="23"/>
  <c r="T293" i="23"/>
  <c r="T294" i="23"/>
  <c r="T295" i="23"/>
  <c r="T296" i="23"/>
  <c r="T297" i="23"/>
  <c r="T298" i="23"/>
  <c r="T299" i="23"/>
  <c r="T300" i="23"/>
  <c r="T301" i="23"/>
  <c r="T302" i="23"/>
  <c r="T303" i="23"/>
  <c r="T304" i="23"/>
  <c r="T305" i="23"/>
  <c r="T306" i="23"/>
  <c r="T307" i="23"/>
  <c r="T308" i="23"/>
  <c r="T309" i="23"/>
  <c r="T310" i="23"/>
  <c r="T311" i="23"/>
  <c r="T312" i="23"/>
  <c r="T313" i="23"/>
  <c r="T314" i="23"/>
  <c r="T315" i="23"/>
  <c r="T316" i="23"/>
  <c r="T317" i="23"/>
  <c r="T318" i="23"/>
  <c r="T319" i="23"/>
  <c r="T320" i="23"/>
  <c r="T321" i="23"/>
  <c r="T322" i="23"/>
  <c r="T323" i="23"/>
  <c r="T324" i="23"/>
  <c r="T325" i="23"/>
  <c r="T326" i="23"/>
  <c r="T327" i="23"/>
  <c r="T328" i="23"/>
  <c r="T329" i="23"/>
  <c r="T330" i="23"/>
  <c r="T331" i="23"/>
  <c r="T332" i="23"/>
  <c r="T333" i="23"/>
  <c r="T334" i="23"/>
  <c r="T335" i="23"/>
  <c r="T336" i="23"/>
  <c r="T337" i="23"/>
  <c r="T338" i="23"/>
  <c r="T339" i="23"/>
  <c r="T340" i="23"/>
  <c r="T341" i="23"/>
  <c r="T342" i="23"/>
  <c r="T343" i="23"/>
  <c r="T344" i="23"/>
  <c r="T345" i="23"/>
  <c r="T346" i="23"/>
  <c r="T347" i="23"/>
  <c r="T348" i="23"/>
  <c r="T349" i="23"/>
  <c r="T350" i="23"/>
  <c r="T351" i="23"/>
  <c r="T352" i="23"/>
  <c r="T353" i="23"/>
  <c r="T354" i="23"/>
  <c r="T355" i="23"/>
  <c r="T356" i="23"/>
  <c r="T357" i="23"/>
  <c r="T358" i="23"/>
  <c r="T359" i="23"/>
  <c r="T360" i="23"/>
  <c r="T361" i="23"/>
  <c r="T362" i="23"/>
  <c r="T363" i="23"/>
  <c r="T364" i="23"/>
  <c r="T365" i="23"/>
  <c r="T366" i="23"/>
  <c r="T367" i="23"/>
  <c r="T368" i="23"/>
  <c r="T369" i="23"/>
  <c r="T370" i="23"/>
  <c r="T371" i="23"/>
  <c r="T372" i="23"/>
  <c r="T373" i="23"/>
  <c r="T374" i="23"/>
  <c r="T375" i="23"/>
  <c r="T376" i="23"/>
  <c r="T377" i="23"/>
  <c r="T378" i="23"/>
  <c r="T379" i="23"/>
  <c r="T380" i="23"/>
  <c r="T381" i="23"/>
  <c r="T382" i="23"/>
  <c r="T383" i="23"/>
  <c r="T384" i="23"/>
  <c r="T385" i="23"/>
  <c r="T386" i="23"/>
  <c r="T387" i="23"/>
  <c r="T388" i="23"/>
  <c r="T389" i="23"/>
  <c r="T390" i="23"/>
  <c r="T391" i="23"/>
  <c r="T392" i="23"/>
  <c r="T393" i="23"/>
  <c r="T394" i="23"/>
  <c r="T395" i="23"/>
  <c r="S2" i="23"/>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54" i="23"/>
  <c r="S55" i="23"/>
  <c r="S56" i="23"/>
  <c r="S57" i="23"/>
  <c r="S58" i="23"/>
  <c r="S59" i="23"/>
  <c r="S60" i="23"/>
  <c r="S61" i="23"/>
  <c r="S62" i="23"/>
  <c r="S63" i="23"/>
  <c r="S64" i="23"/>
  <c r="S65" i="23"/>
  <c r="S66" i="23"/>
  <c r="S67" i="23"/>
  <c r="S68" i="23"/>
  <c r="S69" i="23"/>
  <c r="S70" i="23"/>
  <c r="S71" i="23"/>
  <c r="S72" i="23"/>
  <c r="S73" i="23"/>
  <c r="S74" i="23"/>
  <c r="S75" i="23"/>
  <c r="S76" i="23"/>
  <c r="S77" i="23"/>
  <c r="S78" i="23"/>
  <c r="S79" i="23"/>
  <c r="S80" i="23"/>
  <c r="S81" i="23"/>
  <c r="S82" i="23"/>
  <c r="S83" i="23"/>
  <c r="S84" i="23"/>
  <c r="S85" i="23"/>
  <c r="S86" i="23"/>
  <c r="S87" i="23"/>
  <c r="S88" i="23"/>
  <c r="S89" i="23"/>
  <c r="S90" i="23"/>
  <c r="S91" i="23"/>
  <c r="S92" i="23"/>
  <c r="S93" i="23"/>
  <c r="S94" i="23"/>
  <c r="S95" i="23"/>
  <c r="S96" i="23"/>
  <c r="S97" i="23"/>
  <c r="S98" i="23"/>
  <c r="S99" i="23"/>
  <c r="S100" i="23"/>
  <c r="S101" i="23"/>
  <c r="S102" i="23"/>
  <c r="S103" i="23"/>
  <c r="S104" i="23"/>
  <c r="S105" i="23"/>
  <c r="S106" i="23"/>
  <c r="S107" i="23"/>
  <c r="S108" i="23"/>
  <c r="S109" i="23"/>
  <c r="S110" i="23"/>
  <c r="S111" i="23"/>
  <c r="S112" i="23"/>
  <c r="S113" i="23"/>
  <c r="S114" i="23"/>
  <c r="S115" i="23"/>
  <c r="S116" i="23"/>
  <c r="S117" i="23"/>
  <c r="S118" i="23"/>
  <c r="S119" i="23"/>
  <c r="S120" i="23"/>
  <c r="S121" i="23"/>
  <c r="S122" i="23"/>
  <c r="S123" i="23"/>
  <c r="S124" i="23"/>
  <c r="S125" i="23"/>
  <c r="S126" i="23"/>
  <c r="S127" i="23"/>
  <c r="S128" i="23"/>
  <c r="S129" i="23"/>
  <c r="S130" i="23"/>
  <c r="S131" i="23"/>
  <c r="S132" i="23"/>
  <c r="S133" i="23"/>
  <c r="S134" i="23"/>
  <c r="S135" i="23"/>
  <c r="S136" i="23"/>
  <c r="S137" i="23"/>
  <c r="S138" i="23"/>
  <c r="S139" i="23"/>
  <c r="S140" i="23"/>
  <c r="S141" i="23"/>
  <c r="S142" i="23"/>
  <c r="S143" i="23"/>
  <c r="S144" i="23"/>
  <c r="S145" i="23"/>
  <c r="S146" i="23"/>
  <c r="S147" i="23"/>
  <c r="S148" i="23"/>
  <c r="S149" i="23"/>
  <c r="S150" i="23"/>
  <c r="S151" i="23"/>
  <c r="S152" i="23"/>
  <c r="S153" i="23"/>
  <c r="S154" i="23"/>
  <c r="S155" i="23"/>
  <c r="S156" i="23"/>
  <c r="S157" i="23"/>
  <c r="S158" i="23"/>
  <c r="S159" i="23"/>
  <c r="S160" i="23"/>
  <c r="S161" i="23"/>
  <c r="S162" i="23"/>
  <c r="S163" i="23"/>
  <c r="S164" i="23"/>
  <c r="S165" i="23"/>
  <c r="S166" i="23"/>
  <c r="S167" i="23"/>
  <c r="S168" i="23"/>
  <c r="S169" i="23"/>
  <c r="S170" i="23"/>
  <c r="S171" i="23"/>
  <c r="S172" i="23"/>
  <c r="S173" i="23"/>
  <c r="S174" i="23"/>
  <c r="S175" i="23"/>
  <c r="S176" i="23"/>
  <c r="S177" i="23"/>
  <c r="S178" i="23"/>
  <c r="S179" i="23"/>
  <c r="S180" i="23"/>
  <c r="S181" i="23"/>
  <c r="S182" i="23"/>
  <c r="S183" i="23"/>
  <c r="S184" i="23"/>
  <c r="S185" i="23"/>
  <c r="S186" i="23"/>
  <c r="S187" i="23"/>
  <c r="S188" i="23"/>
  <c r="S189" i="23"/>
  <c r="S190" i="23"/>
  <c r="S191" i="23"/>
  <c r="S192" i="23"/>
  <c r="S193" i="23"/>
  <c r="S194" i="23"/>
  <c r="S195" i="23"/>
  <c r="S196" i="23"/>
  <c r="S197" i="23"/>
  <c r="S198" i="23"/>
  <c r="S199" i="23"/>
  <c r="S200" i="23"/>
  <c r="S201" i="23"/>
  <c r="S202" i="23"/>
  <c r="S203" i="23"/>
  <c r="S204" i="23"/>
  <c r="S205" i="23"/>
  <c r="S206" i="23"/>
  <c r="S207" i="23"/>
  <c r="S208" i="23"/>
  <c r="S209" i="23"/>
  <c r="S210" i="23"/>
  <c r="S211" i="23"/>
  <c r="S212" i="23"/>
  <c r="S213" i="23"/>
  <c r="S214" i="23"/>
  <c r="S215" i="23"/>
  <c r="S216" i="23"/>
  <c r="S217" i="23"/>
  <c r="S218" i="23"/>
  <c r="S219" i="23"/>
  <c r="S220" i="23"/>
  <c r="S221" i="23"/>
  <c r="S222" i="23"/>
  <c r="S223" i="23"/>
  <c r="S224" i="23"/>
  <c r="S225" i="23"/>
  <c r="S226" i="23"/>
  <c r="S227" i="23"/>
  <c r="S228" i="23"/>
  <c r="S229" i="23"/>
  <c r="S230" i="23"/>
  <c r="S231" i="23"/>
  <c r="S232" i="23"/>
  <c r="S233" i="23"/>
  <c r="S234" i="23"/>
  <c r="S235" i="23"/>
  <c r="S236" i="23"/>
  <c r="S237" i="23"/>
  <c r="S238" i="23"/>
  <c r="S239" i="23"/>
  <c r="S240" i="23"/>
  <c r="S241" i="23"/>
  <c r="S242" i="23"/>
  <c r="S243" i="23"/>
  <c r="S244" i="23"/>
  <c r="S245" i="23"/>
  <c r="S246" i="23"/>
  <c r="S247" i="23"/>
  <c r="S248" i="23"/>
  <c r="S249" i="23"/>
  <c r="S250" i="23"/>
  <c r="S251" i="23"/>
  <c r="S252" i="23"/>
  <c r="S253" i="23"/>
  <c r="S254" i="23"/>
  <c r="S255" i="23"/>
  <c r="S256" i="23"/>
  <c r="S257" i="23"/>
  <c r="S258" i="23"/>
  <c r="S259" i="23"/>
  <c r="S260" i="23"/>
  <c r="S261" i="23"/>
  <c r="S262" i="23"/>
  <c r="S263" i="23"/>
  <c r="S264" i="23"/>
  <c r="S265" i="23"/>
  <c r="S266" i="23"/>
  <c r="S267" i="23"/>
  <c r="S268" i="23"/>
  <c r="S269" i="23"/>
  <c r="S270" i="23"/>
  <c r="S271" i="23"/>
  <c r="S272" i="23"/>
  <c r="S273" i="23"/>
  <c r="S274" i="23"/>
  <c r="S275" i="23"/>
  <c r="S276" i="23"/>
  <c r="S277" i="23"/>
  <c r="S278" i="23"/>
  <c r="S279" i="23"/>
  <c r="S280" i="23"/>
  <c r="S281" i="23"/>
  <c r="S282" i="23"/>
  <c r="S283" i="23"/>
  <c r="S284" i="23"/>
  <c r="S285" i="23"/>
  <c r="S286" i="23"/>
  <c r="S287" i="23"/>
  <c r="S288" i="23"/>
  <c r="S289" i="23"/>
  <c r="S290" i="23"/>
  <c r="S291" i="23"/>
  <c r="S292" i="23"/>
  <c r="S293" i="23"/>
  <c r="S294" i="23"/>
  <c r="S295" i="23"/>
  <c r="S296" i="23"/>
  <c r="S297" i="23"/>
  <c r="S298" i="23"/>
  <c r="S299" i="23"/>
  <c r="S300" i="23"/>
  <c r="S301" i="23"/>
  <c r="S302" i="23"/>
  <c r="S303" i="23"/>
  <c r="S304" i="23"/>
  <c r="S305" i="23"/>
  <c r="S306" i="23"/>
  <c r="S307" i="23"/>
  <c r="S308" i="23"/>
  <c r="S309" i="23"/>
  <c r="S310" i="23"/>
  <c r="S311" i="23"/>
  <c r="S312" i="23"/>
  <c r="S313" i="23"/>
  <c r="S314" i="23"/>
  <c r="S315" i="23"/>
  <c r="S316" i="23"/>
  <c r="S317" i="23"/>
  <c r="S318" i="23"/>
  <c r="S319" i="23"/>
  <c r="S320" i="23"/>
  <c r="S321" i="23"/>
  <c r="S322" i="23"/>
  <c r="S323" i="23"/>
  <c r="S324" i="23"/>
  <c r="S325" i="23"/>
  <c r="S326" i="23"/>
  <c r="S327" i="23"/>
  <c r="S328" i="23"/>
  <c r="S329" i="23"/>
  <c r="S330" i="23"/>
  <c r="S331" i="23"/>
  <c r="S332" i="23"/>
  <c r="S333" i="23"/>
  <c r="S334" i="23"/>
  <c r="S335" i="23"/>
  <c r="S336" i="23"/>
  <c r="S337" i="23"/>
  <c r="S338" i="23"/>
  <c r="S339" i="23"/>
  <c r="S340" i="23"/>
  <c r="S341" i="23"/>
  <c r="S342" i="23"/>
  <c r="S343" i="23"/>
  <c r="S344" i="23"/>
  <c r="S345" i="23"/>
  <c r="S346" i="23"/>
  <c r="S347" i="23"/>
  <c r="S348" i="23"/>
  <c r="S349" i="23"/>
  <c r="S350" i="23"/>
  <c r="S351" i="23"/>
  <c r="S352" i="23"/>
  <c r="S353" i="23"/>
  <c r="S354" i="23"/>
  <c r="S355" i="23"/>
  <c r="S356" i="23"/>
  <c r="S357" i="23"/>
  <c r="S358" i="23"/>
  <c r="S359" i="23"/>
  <c r="S360" i="23"/>
  <c r="S361" i="23"/>
  <c r="S362" i="23"/>
  <c r="S363" i="23"/>
  <c r="S364" i="23"/>
  <c r="S365" i="23"/>
  <c r="S366" i="23"/>
  <c r="S367" i="23"/>
  <c r="S368" i="23"/>
  <c r="S369" i="23"/>
  <c r="S370" i="23"/>
  <c r="S371" i="23"/>
  <c r="S372" i="23"/>
  <c r="S373" i="23"/>
  <c r="S374" i="23"/>
  <c r="S375" i="23"/>
  <c r="S376" i="23"/>
  <c r="S377" i="23"/>
  <c r="S378" i="23"/>
  <c r="S379" i="23"/>
  <c r="S380" i="23"/>
  <c r="S381" i="23"/>
  <c r="S382" i="23"/>
  <c r="S383" i="23"/>
  <c r="S384" i="23"/>
  <c r="S385" i="23"/>
  <c r="S386" i="23"/>
  <c r="S387" i="23"/>
  <c r="S388" i="23"/>
  <c r="S389" i="23"/>
  <c r="S390" i="23"/>
  <c r="S391" i="23"/>
  <c r="S392" i="23"/>
  <c r="S393" i="23"/>
  <c r="S394" i="23"/>
  <c r="S395" i="23"/>
  <c r="R2" i="23"/>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129" i="23"/>
  <c r="R130" i="23"/>
  <c r="R131" i="23"/>
  <c r="R132" i="23"/>
  <c r="R133" i="23"/>
  <c r="R134" i="23"/>
  <c r="R135" i="23"/>
  <c r="R136" i="23"/>
  <c r="R137" i="23"/>
  <c r="R138" i="23"/>
  <c r="R139" i="23"/>
  <c r="R140" i="23"/>
  <c r="R141" i="23"/>
  <c r="R142" i="23"/>
  <c r="R143" i="23"/>
  <c r="R144" i="23"/>
  <c r="R145" i="23"/>
  <c r="R146" i="23"/>
  <c r="R147" i="23"/>
  <c r="R148" i="23"/>
  <c r="R149" i="23"/>
  <c r="R150" i="23"/>
  <c r="R151" i="23"/>
  <c r="R152" i="23"/>
  <c r="R153" i="23"/>
  <c r="R154" i="23"/>
  <c r="R155" i="23"/>
  <c r="R156" i="23"/>
  <c r="R157" i="23"/>
  <c r="R158" i="23"/>
  <c r="R159" i="23"/>
  <c r="R160" i="23"/>
  <c r="R161" i="23"/>
  <c r="R162" i="23"/>
  <c r="R163" i="23"/>
  <c r="R164" i="23"/>
  <c r="R165" i="23"/>
  <c r="R166" i="23"/>
  <c r="R167" i="23"/>
  <c r="R168" i="23"/>
  <c r="R169" i="23"/>
  <c r="R170" i="23"/>
  <c r="R171" i="23"/>
  <c r="R172" i="23"/>
  <c r="R173" i="23"/>
  <c r="R174" i="23"/>
  <c r="R175" i="23"/>
  <c r="R176" i="23"/>
  <c r="R177" i="23"/>
  <c r="R178" i="23"/>
  <c r="R179" i="23"/>
  <c r="R180" i="23"/>
  <c r="R181" i="23"/>
  <c r="R182" i="23"/>
  <c r="R183" i="23"/>
  <c r="R184" i="23"/>
  <c r="R185" i="23"/>
  <c r="R186" i="23"/>
  <c r="R187" i="23"/>
  <c r="R188" i="23"/>
  <c r="R189" i="23"/>
  <c r="R190" i="23"/>
  <c r="R191" i="23"/>
  <c r="R192" i="23"/>
  <c r="R193" i="23"/>
  <c r="R194" i="23"/>
  <c r="R195" i="23"/>
  <c r="R196" i="23"/>
  <c r="R197" i="23"/>
  <c r="R198" i="23"/>
  <c r="R199" i="23"/>
  <c r="R200" i="23"/>
  <c r="R201" i="23"/>
  <c r="R202" i="23"/>
  <c r="R203" i="23"/>
  <c r="R204" i="23"/>
  <c r="R205" i="23"/>
  <c r="R206" i="23"/>
  <c r="R207" i="23"/>
  <c r="R208" i="23"/>
  <c r="R209" i="23"/>
  <c r="R210" i="23"/>
  <c r="R211" i="23"/>
  <c r="R212" i="23"/>
  <c r="R213" i="23"/>
  <c r="R214" i="23"/>
  <c r="R215" i="23"/>
  <c r="R216" i="23"/>
  <c r="R217" i="23"/>
  <c r="R218" i="23"/>
  <c r="R219" i="23"/>
  <c r="R220" i="23"/>
  <c r="R221" i="23"/>
  <c r="R222" i="23"/>
  <c r="R223" i="23"/>
  <c r="R224" i="23"/>
  <c r="R225" i="23"/>
  <c r="R226" i="23"/>
  <c r="R227" i="23"/>
  <c r="R228" i="23"/>
  <c r="R229" i="23"/>
  <c r="R230" i="23"/>
  <c r="R231" i="23"/>
  <c r="R232" i="23"/>
  <c r="R233" i="23"/>
  <c r="R234" i="23"/>
  <c r="R235" i="23"/>
  <c r="R236" i="23"/>
  <c r="R237" i="23"/>
  <c r="R238" i="23"/>
  <c r="R239" i="23"/>
  <c r="R240" i="23"/>
  <c r="R241" i="23"/>
  <c r="R242" i="23"/>
  <c r="R243" i="23"/>
  <c r="R244" i="23"/>
  <c r="R245" i="23"/>
  <c r="R246" i="23"/>
  <c r="R247" i="23"/>
  <c r="R248" i="23"/>
  <c r="R249" i="23"/>
  <c r="R250" i="23"/>
  <c r="R251" i="23"/>
  <c r="R252" i="23"/>
  <c r="R253" i="23"/>
  <c r="R254" i="23"/>
  <c r="R255" i="23"/>
  <c r="R256" i="23"/>
  <c r="R257" i="23"/>
  <c r="R258" i="23"/>
  <c r="R259" i="23"/>
  <c r="R260" i="23"/>
  <c r="R261" i="23"/>
  <c r="R262" i="23"/>
  <c r="R263" i="23"/>
  <c r="R264" i="23"/>
  <c r="R265" i="23"/>
  <c r="R266" i="23"/>
  <c r="R267" i="23"/>
  <c r="R268" i="23"/>
  <c r="R269" i="23"/>
  <c r="R270" i="23"/>
  <c r="R271" i="23"/>
  <c r="R272" i="23"/>
  <c r="R273" i="23"/>
  <c r="R274" i="23"/>
  <c r="R275" i="23"/>
  <c r="R276" i="23"/>
  <c r="R277" i="23"/>
  <c r="R278" i="23"/>
  <c r="R279" i="23"/>
  <c r="R280" i="23"/>
  <c r="R281" i="23"/>
  <c r="R282" i="23"/>
  <c r="R283" i="23"/>
  <c r="R284" i="23"/>
  <c r="R285" i="23"/>
  <c r="R286" i="23"/>
  <c r="R287" i="23"/>
  <c r="R288" i="23"/>
  <c r="R289" i="23"/>
  <c r="R290" i="23"/>
  <c r="R291" i="23"/>
  <c r="R292" i="23"/>
  <c r="R293" i="23"/>
  <c r="R294" i="23"/>
  <c r="R295" i="23"/>
  <c r="R296" i="23"/>
  <c r="R297" i="23"/>
  <c r="R298" i="23"/>
  <c r="R299" i="23"/>
  <c r="R300" i="23"/>
  <c r="R301" i="23"/>
  <c r="R302" i="23"/>
  <c r="R303" i="23"/>
  <c r="R304" i="23"/>
  <c r="R305" i="23"/>
  <c r="R306" i="23"/>
  <c r="R307" i="23"/>
  <c r="R308" i="23"/>
  <c r="R309" i="23"/>
  <c r="R310" i="23"/>
  <c r="R311" i="23"/>
  <c r="R312" i="23"/>
  <c r="R313" i="23"/>
  <c r="R314" i="23"/>
  <c r="R315" i="23"/>
  <c r="R316" i="23"/>
  <c r="R317" i="23"/>
  <c r="R318" i="23"/>
  <c r="R319" i="23"/>
  <c r="R320" i="23"/>
  <c r="R321" i="23"/>
  <c r="R322" i="23"/>
  <c r="R323" i="23"/>
  <c r="R324" i="23"/>
  <c r="R325" i="23"/>
  <c r="R326" i="23"/>
  <c r="R327" i="23"/>
  <c r="R328" i="23"/>
  <c r="R329" i="23"/>
  <c r="R330" i="23"/>
  <c r="R331" i="23"/>
  <c r="R332" i="23"/>
  <c r="R333" i="23"/>
  <c r="R334" i="23"/>
  <c r="R335" i="23"/>
  <c r="R336" i="23"/>
  <c r="R337" i="23"/>
  <c r="R338" i="23"/>
  <c r="R339" i="23"/>
  <c r="R340" i="23"/>
  <c r="R341" i="23"/>
  <c r="R342" i="23"/>
  <c r="R343" i="23"/>
  <c r="R344" i="23"/>
  <c r="R345" i="23"/>
  <c r="R346" i="23"/>
  <c r="R347" i="23"/>
  <c r="R348" i="23"/>
  <c r="R349" i="23"/>
  <c r="R350" i="23"/>
  <c r="R351" i="23"/>
  <c r="R352" i="23"/>
  <c r="R353" i="23"/>
  <c r="R354" i="23"/>
  <c r="R355" i="23"/>
  <c r="R356" i="23"/>
  <c r="R357" i="23"/>
  <c r="R358" i="23"/>
  <c r="R359" i="23"/>
  <c r="R360" i="23"/>
  <c r="R361" i="23"/>
  <c r="R362" i="23"/>
  <c r="R363" i="23"/>
  <c r="R364" i="23"/>
  <c r="R365" i="23"/>
  <c r="R366" i="23"/>
  <c r="R367" i="23"/>
  <c r="R368" i="23"/>
  <c r="R369" i="23"/>
  <c r="R370" i="23"/>
  <c r="R371" i="23"/>
  <c r="R372" i="23"/>
  <c r="R373" i="23"/>
  <c r="R374" i="23"/>
  <c r="R375" i="23"/>
  <c r="R376" i="23"/>
  <c r="R377" i="23"/>
  <c r="R378" i="23"/>
  <c r="R379" i="23"/>
  <c r="R380" i="23"/>
  <c r="R381" i="23"/>
  <c r="R382" i="23"/>
  <c r="R383" i="23"/>
  <c r="R384" i="23"/>
  <c r="R385" i="23"/>
  <c r="R386" i="23"/>
  <c r="R387" i="23"/>
  <c r="R388" i="23"/>
  <c r="R389" i="23"/>
  <c r="R390" i="23"/>
  <c r="R391" i="23"/>
  <c r="R392" i="23"/>
  <c r="R393" i="23"/>
  <c r="R394" i="23"/>
  <c r="R395" i="23"/>
  <c r="Q14" i="23"/>
  <c r="Q12" i="23"/>
  <c r="Q2" i="23"/>
  <c r="Q3" i="23"/>
  <c r="Q4" i="23"/>
  <c r="Q5" i="23"/>
  <c r="Q6" i="23"/>
  <c r="Q7" i="23"/>
  <c r="Q8" i="23"/>
  <c r="Q9" i="23"/>
  <c r="Q10" i="23"/>
  <c r="Q11" i="23"/>
  <c r="Q13"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221" i="23"/>
  <c r="Q222" i="23"/>
  <c r="Q223" i="23"/>
  <c r="Q224" i="23"/>
  <c r="Q225" i="23"/>
  <c r="Q226" i="23"/>
  <c r="Q227" i="23"/>
  <c r="Q228" i="23"/>
  <c r="Q229" i="23"/>
  <c r="Q230" i="23"/>
  <c r="Q231" i="23"/>
  <c r="Q232" i="23"/>
  <c r="Q233" i="23"/>
  <c r="Q234" i="23"/>
  <c r="Q235" i="23"/>
  <c r="Q236" i="23"/>
  <c r="Q237" i="23"/>
  <c r="Q238" i="23"/>
  <c r="Q239" i="23"/>
  <c r="Q240" i="23"/>
  <c r="Q241" i="23"/>
  <c r="Q242" i="23"/>
  <c r="Q243" i="23"/>
  <c r="Q244" i="23"/>
  <c r="Q245" i="23"/>
  <c r="Q246" i="23"/>
  <c r="Q247" i="23"/>
  <c r="Q248" i="23"/>
  <c r="Q249" i="23"/>
  <c r="Q250" i="23"/>
  <c r="Q251" i="23"/>
  <c r="Q252" i="23"/>
  <c r="Q253" i="23"/>
  <c r="Q254" i="23"/>
  <c r="Q255" i="23"/>
  <c r="Q256" i="23"/>
  <c r="Q257" i="23"/>
  <c r="Q258" i="23"/>
  <c r="Q259" i="23"/>
  <c r="Q260" i="23"/>
  <c r="Q261" i="23"/>
  <c r="Q262" i="23"/>
  <c r="Q263" i="23"/>
  <c r="Q264" i="23"/>
  <c r="Q265" i="23"/>
  <c r="Q266" i="23"/>
  <c r="Q267" i="23"/>
  <c r="Q268" i="23"/>
  <c r="Q269" i="23"/>
  <c r="Q270" i="23"/>
  <c r="Q271" i="23"/>
  <c r="Q272" i="23"/>
  <c r="Q273" i="23"/>
  <c r="Q274" i="23"/>
  <c r="Q275" i="23"/>
  <c r="Q276" i="23"/>
  <c r="Q277" i="23"/>
  <c r="Q278" i="23"/>
  <c r="Q279" i="23"/>
  <c r="Q280" i="23"/>
  <c r="Q281" i="23"/>
  <c r="Q282" i="23"/>
  <c r="Q283" i="23"/>
  <c r="Q284" i="23"/>
  <c r="Q285" i="23"/>
  <c r="Q286" i="23"/>
  <c r="Q287" i="23"/>
  <c r="Q288" i="23"/>
  <c r="Q289" i="23"/>
  <c r="Q290" i="23"/>
  <c r="Q291" i="23"/>
  <c r="Q292" i="23"/>
  <c r="Q293" i="23"/>
  <c r="Q294" i="23"/>
  <c r="Q295" i="23"/>
  <c r="Q296" i="23"/>
  <c r="Q297" i="23"/>
  <c r="Q298" i="23"/>
  <c r="Q299" i="23"/>
  <c r="Q300" i="23"/>
  <c r="Q301" i="23"/>
  <c r="Q302" i="23"/>
  <c r="Q303" i="23"/>
  <c r="Q304" i="23"/>
  <c r="Q305" i="23"/>
  <c r="Q306" i="23"/>
  <c r="Q307" i="23"/>
  <c r="Q308" i="23"/>
  <c r="Q309" i="23"/>
  <c r="Q310" i="23"/>
  <c r="Q311" i="23"/>
  <c r="Q312" i="23"/>
  <c r="Q313" i="23"/>
  <c r="Q314" i="23"/>
  <c r="Q315" i="23"/>
  <c r="Q316" i="23"/>
  <c r="Q317" i="23"/>
  <c r="Q318" i="23"/>
  <c r="Q319" i="23"/>
  <c r="Q320" i="23"/>
  <c r="Q321" i="23"/>
  <c r="Q322" i="23"/>
  <c r="Q323" i="23"/>
  <c r="Q324" i="23"/>
  <c r="Q325" i="23"/>
  <c r="Q326" i="23"/>
  <c r="Q327" i="23"/>
  <c r="Q328" i="23"/>
  <c r="Q329" i="23"/>
  <c r="Q330" i="23"/>
  <c r="Q331" i="23"/>
  <c r="Q332" i="23"/>
  <c r="Q333" i="23"/>
  <c r="Q334" i="23"/>
  <c r="Q335" i="23"/>
  <c r="Q336" i="23"/>
  <c r="Q337" i="23"/>
  <c r="Q338" i="23"/>
  <c r="Q339" i="23"/>
  <c r="Q340" i="23"/>
  <c r="Q341" i="23"/>
  <c r="Q342" i="23"/>
  <c r="Q343" i="23"/>
  <c r="Q344" i="23"/>
  <c r="Q345" i="23"/>
  <c r="Q346" i="23"/>
  <c r="Q347" i="23"/>
  <c r="Q348" i="23"/>
  <c r="Q349" i="23"/>
  <c r="Q350" i="23"/>
  <c r="Q351" i="23"/>
  <c r="Q352" i="23"/>
  <c r="Q353" i="23"/>
  <c r="Q354" i="23"/>
  <c r="Q355" i="23"/>
  <c r="Q356" i="23"/>
  <c r="Q357" i="23"/>
  <c r="Q358" i="23"/>
  <c r="Q359" i="23"/>
  <c r="Q360" i="23"/>
  <c r="Q361" i="23"/>
  <c r="Q362" i="23"/>
  <c r="Q363" i="23"/>
  <c r="Q364" i="23"/>
  <c r="Q365" i="23"/>
  <c r="Q366" i="23"/>
  <c r="Q367" i="23"/>
  <c r="Q368" i="23"/>
  <c r="Q369" i="23"/>
  <c r="Q370" i="23"/>
  <c r="Q371" i="23"/>
  <c r="Q372" i="23"/>
  <c r="Q373" i="23"/>
  <c r="Q374" i="23"/>
  <c r="Q375" i="23"/>
  <c r="Q376" i="23"/>
  <c r="Q377" i="23"/>
  <c r="Q378" i="23"/>
  <c r="Q379" i="23"/>
  <c r="Q380" i="23"/>
  <c r="Q381" i="23"/>
  <c r="Q382" i="23"/>
  <c r="Q383" i="23"/>
  <c r="Q384" i="23"/>
  <c r="Q385" i="23"/>
  <c r="Q386" i="23"/>
  <c r="Q387" i="23"/>
  <c r="Q388" i="23"/>
  <c r="Q389" i="23"/>
  <c r="Q390" i="23"/>
  <c r="Q391" i="23"/>
  <c r="Q392" i="23"/>
  <c r="Q393" i="23"/>
  <c r="Q394" i="23"/>
  <c r="Q395" i="23"/>
  <c r="P2" i="23"/>
  <c r="P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P76" i="23"/>
  <c r="P77" i="23"/>
  <c r="P78" i="23"/>
  <c r="P79" i="23"/>
  <c r="P80" i="23"/>
  <c r="P81" i="23"/>
  <c r="P82" i="23"/>
  <c r="P83" i="23"/>
  <c r="P84" i="23"/>
  <c r="P85" i="23"/>
  <c r="P86" i="23"/>
  <c r="P87" i="23"/>
  <c r="P88" i="23"/>
  <c r="P89" i="23"/>
  <c r="P90" i="23"/>
  <c r="P91" i="23"/>
  <c r="P92" i="23"/>
  <c r="P93" i="23"/>
  <c r="P94" i="23"/>
  <c r="P95" i="23"/>
  <c r="P96" i="23"/>
  <c r="P97" i="23"/>
  <c r="P98" i="23"/>
  <c r="P99" i="23"/>
  <c r="P100" i="23"/>
  <c r="P101" i="23"/>
  <c r="P102" i="23"/>
  <c r="P103" i="23"/>
  <c r="P104" i="23"/>
  <c r="P105" i="23"/>
  <c r="P106" i="23"/>
  <c r="P107" i="23"/>
  <c r="P108" i="23"/>
  <c r="P109" i="23"/>
  <c r="P110" i="23"/>
  <c r="P111" i="23"/>
  <c r="P112" i="23"/>
  <c r="P113" i="23"/>
  <c r="P114" i="23"/>
  <c r="P115" i="23"/>
  <c r="P116" i="23"/>
  <c r="P117" i="23"/>
  <c r="P118" i="23"/>
  <c r="P119" i="23"/>
  <c r="P120" i="23"/>
  <c r="P121" i="23"/>
  <c r="P122" i="23"/>
  <c r="P123" i="23"/>
  <c r="P124" i="23"/>
  <c r="P125" i="23"/>
  <c r="P126" i="23"/>
  <c r="P127" i="23"/>
  <c r="P128" i="23"/>
  <c r="P129" i="23"/>
  <c r="P130" i="23"/>
  <c r="P131" i="23"/>
  <c r="P132" i="23"/>
  <c r="P133" i="23"/>
  <c r="P134" i="23"/>
  <c r="P135" i="23"/>
  <c r="P136" i="23"/>
  <c r="P137" i="23"/>
  <c r="P138" i="23"/>
  <c r="P139" i="23"/>
  <c r="P140" i="23"/>
  <c r="P141" i="23"/>
  <c r="P142" i="23"/>
  <c r="P143" i="23"/>
  <c r="P144" i="23"/>
  <c r="P145" i="23"/>
  <c r="P146" i="23"/>
  <c r="P147" i="23"/>
  <c r="P148" i="23"/>
  <c r="P149" i="23"/>
  <c r="P150" i="23"/>
  <c r="P151" i="23"/>
  <c r="P152" i="23"/>
  <c r="P153" i="23"/>
  <c r="P154" i="23"/>
  <c r="P155" i="23"/>
  <c r="P156" i="23"/>
  <c r="P157" i="23"/>
  <c r="P158" i="23"/>
  <c r="P159" i="23"/>
  <c r="P160" i="23"/>
  <c r="P161" i="23"/>
  <c r="P162" i="23"/>
  <c r="P163" i="23"/>
  <c r="P164" i="23"/>
  <c r="P165" i="23"/>
  <c r="P166" i="23"/>
  <c r="P167" i="23"/>
  <c r="P168" i="23"/>
  <c r="P169" i="23"/>
  <c r="P170" i="23"/>
  <c r="P171" i="23"/>
  <c r="P172" i="23"/>
  <c r="P173" i="23"/>
  <c r="P174" i="23"/>
  <c r="P175" i="23"/>
  <c r="P176" i="23"/>
  <c r="P177" i="23"/>
  <c r="P178" i="23"/>
  <c r="P179" i="23"/>
  <c r="P180" i="23"/>
  <c r="P181" i="23"/>
  <c r="P182" i="23"/>
  <c r="P183" i="23"/>
  <c r="P184" i="23"/>
  <c r="P185" i="23"/>
  <c r="P186" i="23"/>
  <c r="P187" i="23"/>
  <c r="P188" i="23"/>
  <c r="P189" i="23"/>
  <c r="P190" i="23"/>
  <c r="P191" i="23"/>
  <c r="P192" i="23"/>
  <c r="P193" i="23"/>
  <c r="P194" i="23"/>
  <c r="P195" i="23"/>
  <c r="P196" i="23"/>
  <c r="P197" i="23"/>
  <c r="P198" i="23"/>
  <c r="P199" i="23"/>
  <c r="P200" i="23"/>
  <c r="P201" i="23"/>
  <c r="P202" i="23"/>
  <c r="P203" i="23"/>
  <c r="P204" i="23"/>
  <c r="P205" i="23"/>
  <c r="P206" i="23"/>
  <c r="P207" i="23"/>
  <c r="P208" i="23"/>
  <c r="P209" i="23"/>
  <c r="P210" i="23"/>
  <c r="P211" i="23"/>
  <c r="P212" i="23"/>
  <c r="P213" i="23"/>
  <c r="P214" i="23"/>
  <c r="P215" i="23"/>
  <c r="P216" i="23"/>
  <c r="P217" i="23"/>
  <c r="P218" i="23"/>
  <c r="P219" i="23"/>
  <c r="P220" i="23"/>
  <c r="P221" i="23"/>
  <c r="P222" i="23"/>
  <c r="P223" i="23"/>
  <c r="P224" i="23"/>
  <c r="P225" i="23"/>
  <c r="P226" i="23"/>
  <c r="P227" i="23"/>
  <c r="P228" i="23"/>
  <c r="P229" i="23"/>
  <c r="P230" i="23"/>
  <c r="P231" i="23"/>
  <c r="P232" i="23"/>
  <c r="P233" i="23"/>
  <c r="P234" i="23"/>
  <c r="P235" i="23"/>
  <c r="P236" i="23"/>
  <c r="P237" i="23"/>
  <c r="P238" i="23"/>
  <c r="P239" i="23"/>
  <c r="P240" i="23"/>
  <c r="P241" i="23"/>
  <c r="P242" i="23"/>
  <c r="P243" i="23"/>
  <c r="P244" i="23"/>
  <c r="P245" i="23"/>
  <c r="P246" i="23"/>
  <c r="P247" i="23"/>
  <c r="P248" i="23"/>
  <c r="P249" i="23"/>
  <c r="P250" i="23"/>
  <c r="P251" i="23"/>
  <c r="P252" i="23"/>
  <c r="P253" i="23"/>
  <c r="P254" i="23"/>
  <c r="P255" i="23"/>
  <c r="P256" i="23"/>
  <c r="P257" i="23"/>
  <c r="P258" i="23"/>
  <c r="P259" i="23"/>
  <c r="P260" i="23"/>
  <c r="P261" i="23"/>
  <c r="P262" i="23"/>
  <c r="P263" i="23"/>
  <c r="P264" i="23"/>
  <c r="P265" i="23"/>
  <c r="P266" i="23"/>
  <c r="P267" i="23"/>
  <c r="P268" i="23"/>
  <c r="P269" i="23"/>
  <c r="P270" i="23"/>
  <c r="P271" i="23"/>
  <c r="P272" i="23"/>
  <c r="P273" i="23"/>
  <c r="P274" i="23"/>
  <c r="P275" i="23"/>
  <c r="P276" i="23"/>
  <c r="P277" i="23"/>
  <c r="P278" i="23"/>
  <c r="P279" i="23"/>
  <c r="P280" i="23"/>
  <c r="P281" i="23"/>
  <c r="P282" i="23"/>
  <c r="P283" i="23"/>
  <c r="P284" i="23"/>
  <c r="P285" i="23"/>
  <c r="P286" i="23"/>
  <c r="P287" i="23"/>
  <c r="P288" i="23"/>
  <c r="P289" i="23"/>
  <c r="P290" i="23"/>
  <c r="P291" i="23"/>
  <c r="P292" i="23"/>
  <c r="P293" i="23"/>
  <c r="P294" i="23"/>
  <c r="P295" i="23"/>
  <c r="P296" i="23"/>
  <c r="P297" i="23"/>
  <c r="P298" i="23"/>
  <c r="P299" i="23"/>
  <c r="P300" i="23"/>
  <c r="P301" i="23"/>
  <c r="P302" i="23"/>
  <c r="P303" i="23"/>
  <c r="P304" i="23"/>
  <c r="P305" i="23"/>
  <c r="P306" i="23"/>
  <c r="P307" i="23"/>
  <c r="P308" i="23"/>
  <c r="P309" i="23"/>
  <c r="P310" i="23"/>
  <c r="P311" i="23"/>
  <c r="P312" i="23"/>
  <c r="P313" i="23"/>
  <c r="P314" i="23"/>
  <c r="P315" i="23"/>
  <c r="P316" i="23"/>
  <c r="P317" i="23"/>
  <c r="P318" i="23"/>
  <c r="P319" i="23"/>
  <c r="P320" i="23"/>
  <c r="P321" i="23"/>
  <c r="P322" i="23"/>
  <c r="P323" i="23"/>
  <c r="P324" i="23"/>
  <c r="P325" i="23"/>
  <c r="P326" i="23"/>
  <c r="P327" i="23"/>
  <c r="P328" i="23"/>
  <c r="P329" i="23"/>
  <c r="P330" i="23"/>
  <c r="P331" i="23"/>
  <c r="P332" i="23"/>
  <c r="P333" i="23"/>
  <c r="P334" i="23"/>
  <c r="P335" i="23"/>
  <c r="P336" i="23"/>
  <c r="P337" i="23"/>
  <c r="P338" i="23"/>
  <c r="P339" i="23"/>
  <c r="P340" i="23"/>
  <c r="P341" i="23"/>
  <c r="P342" i="23"/>
  <c r="P343" i="23"/>
  <c r="P344" i="23"/>
  <c r="P345" i="23"/>
  <c r="P346" i="23"/>
  <c r="P347" i="23"/>
  <c r="P348" i="23"/>
  <c r="P349" i="23"/>
  <c r="P350" i="23"/>
  <c r="P351" i="23"/>
  <c r="P352" i="23"/>
  <c r="P353" i="23"/>
  <c r="P354" i="23"/>
  <c r="P355" i="23"/>
  <c r="P356" i="23"/>
  <c r="P357" i="23"/>
  <c r="P358" i="23"/>
  <c r="P359" i="23"/>
  <c r="P360" i="23"/>
  <c r="P361" i="23"/>
  <c r="P362" i="23"/>
  <c r="P363" i="23"/>
  <c r="P364" i="23"/>
  <c r="P365" i="23"/>
  <c r="P366" i="23"/>
  <c r="P367" i="23"/>
  <c r="P368" i="23"/>
  <c r="P369" i="23"/>
  <c r="P370" i="23"/>
  <c r="P371" i="23"/>
  <c r="P372" i="23"/>
  <c r="P373" i="23"/>
  <c r="P374" i="23"/>
  <c r="P375" i="23"/>
  <c r="P376" i="23"/>
  <c r="P377" i="23"/>
  <c r="P378" i="23"/>
  <c r="P379" i="23"/>
  <c r="P380" i="23"/>
  <c r="P381" i="23"/>
  <c r="P382" i="23"/>
  <c r="P383" i="23"/>
  <c r="P384" i="23"/>
  <c r="P385" i="23"/>
  <c r="P386" i="23"/>
  <c r="P387" i="23"/>
  <c r="P388" i="23"/>
  <c r="P389" i="23"/>
  <c r="P390" i="23"/>
  <c r="P391" i="23"/>
  <c r="P392" i="23"/>
  <c r="P393" i="23"/>
  <c r="P394" i="23"/>
  <c r="P395" i="23"/>
  <c r="X2" i="23"/>
  <c r="X3" i="23"/>
  <c r="X4" i="23"/>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6" i="23"/>
  <c r="X47" i="23"/>
  <c r="X48" i="23"/>
  <c r="X49" i="23"/>
  <c r="X50" i="23"/>
  <c r="X51" i="23"/>
  <c r="X52" i="23"/>
  <c r="X53" i="23"/>
  <c r="X54" i="23"/>
  <c r="X55" i="23"/>
  <c r="X56" i="23"/>
  <c r="X57" i="23"/>
  <c r="X58" i="23"/>
  <c r="X59" i="23"/>
  <c r="X60" i="23"/>
  <c r="X61" i="23"/>
  <c r="X62" i="23"/>
  <c r="X63" i="23"/>
  <c r="X64" i="23"/>
  <c r="X65" i="23"/>
  <c r="X66" i="23"/>
  <c r="X67" i="23"/>
  <c r="X68" i="23"/>
  <c r="X69" i="23"/>
  <c r="X70" i="23"/>
  <c r="X71" i="23"/>
  <c r="X72" i="23"/>
  <c r="X73" i="23"/>
  <c r="X74" i="23"/>
  <c r="X75" i="23"/>
  <c r="X76" i="23"/>
  <c r="X77" i="23"/>
  <c r="X78" i="23"/>
  <c r="X79" i="23"/>
  <c r="X80" i="23"/>
  <c r="X81" i="23"/>
  <c r="X82" i="23"/>
  <c r="X83" i="23"/>
  <c r="X84" i="23"/>
  <c r="X85" i="23"/>
  <c r="X86" i="23"/>
  <c r="X87" i="23"/>
  <c r="X88" i="23"/>
  <c r="X89" i="23"/>
  <c r="X90" i="23"/>
  <c r="X91" i="23"/>
  <c r="X92" i="23"/>
  <c r="X93" i="23"/>
  <c r="X94" i="23"/>
  <c r="X95" i="23"/>
  <c r="X96" i="23"/>
  <c r="X97" i="23"/>
  <c r="X98" i="23"/>
  <c r="X99" i="23"/>
  <c r="X100" i="23"/>
  <c r="X101" i="23"/>
  <c r="X102" i="23"/>
  <c r="X103" i="23"/>
  <c r="X104" i="23"/>
  <c r="X105" i="23"/>
  <c r="X106" i="23"/>
  <c r="X107" i="23"/>
  <c r="X108" i="23"/>
  <c r="X109" i="23"/>
  <c r="X110" i="23"/>
  <c r="X111" i="23"/>
  <c r="X112" i="23"/>
  <c r="X113" i="23"/>
  <c r="X114" i="23"/>
  <c r="X115" i="23"/>
  <c r="X116" i="23"/>
  <c r="X117" i="23"/>
  <c r="X118" i="23"/>
  <c r="X119" i="23"/>
  <c r="X120" i="23"/>
  <c r="X121" i="23"/>
  <c r="X122" i="23"/>
  <c r="X123" i="23"/>
  <c r="X124" i="23"/>
  <c r="X125" i="23"/>
  <c r="X126" i="23"/>
  <c r="X127" i="23"/>
  <c r="X128" i="23"/>
  <c r="X129" i="23"/>
  <c r="X130" i="23"/>
  <c r="X131" i="23"/>
  <c r="X132" i="23"/>
  <c r="X133" i="23"/>
  <c r="X134" i="23"/>
  <c r="X135" i="23"/>
  <c r="X136" i="23"/>
  <c r="X137" i="23"/>
  <c r="X138" i="23"/>
  <c r="X139" i="23"/>
  <c r="X140" i="23"/>
  <c r="X141" i="23"/>
  <c r="X142" i="23"/>
  <c r="X143" i="23"/>
  <c r="X144" i="23"/>
  <c r="X145" i="23"/>
  <c r="X146" i="23"/>
  <c r="X147" i="23"/>
  <c r="X148" i="23"/>
  <c r="X149" i="23"/>
  <c r="X150" i="23"/>
  <c r="X151" i="23"/>
  <c r="X152" i="23"/>
  <c r="X153" i="23"/>
  <c r="X154" i="23"/>
  <c r="X155" i="23"/>
  <c r="X156" i="23"/>
  <c r="X157" i="23"/>
  <c r="X158" i="23"/>
  <c r="X159" i="23"/>
  <c r="X160" i="23"/>
  <c r="X161" i="23"/>
  <c r="X162" i="23"/>
  <c r="X163" i="23"/>
  <c r="X164" i="23"/>
  <c r="X165" i="23"/>
  <c r="X166" i="23"/>
  <c r="X167" i="23"/>
  <c r="X168" i="23"/>
  <c r="X169" i="23"/>
  <c r="X170" i="23"/>
  <c r="X171" i="23"/>
  <c r="X172" i="23"/>
  <c r="X173" i="23"/>
  <c r="X174" i="23"/>
  <c r="X175" i="23"/>
  <c r="X176" i="23"/>
  <c r="X177" i="23"/>
  <c r="X178" i="23"/>
  <c r="X179" i="23"/>
  <c r="X180" i="23"/>
  <c r="X181" i="23"/>
  <c r="X182" i="23"/>
  <c r="X183" i="23"/>
  <c r="X184" i="23"/>
  <c r="X185" i="23"/>
  <c r="X186" i="23"/>
  <c r="X187" i="23"/>
  <c r="X188" i="23"/>
  <c r="X189" i="23"/>
  <c r="X190" i="23"/>
  <c r="X191" i="23"/>
  <c r="X192" i="23"/>
  <c r="X193" i="23"/>
  <c r="X194" i="23"/>
  <c r="X195" i="23"/>
  <c r="X196" i="23"/>
  <c r="X197" i="23"/>
  <c r="X198" i="23"/>
  <c r="X199" i="23"/>
  <c r="X200" i="23"/>
  <c r="X201" i="23"/>
  <c r="X202" i="23"/>
  <c r="X203" i="23"/>
  <c r="X204" i="23"/>
  <c r="X205" i="23"/>
  <c r="X206" i="23"/>
  <c r="X207" i="23"/>
  <c r="X208" i="23"/>
  <c r="X209" i="23"/>
  <c r="X210" i="23"/>
  <c r="X211" i="23"/>
  <c r="X212" i="23"/>
  <c r="X213" i="23"/>
  <c r="X214" i="23"/>
  <c r="X215" i="23"/>
  <c r="X216" i="23"/>
  <c r="X217" i="23"/>
  <c r="X218" i="23"/>
  <c r="X219" i="23"/>
  <c r="X220" i="23"/>
  <c r="X221" i="23"/>
  <c r="X222" i="23"/>
  <c r="X223" i="23"/>
  <c r="X224" i="23"/>
  <c r="X225" i="23"/>
  <c r="X226" i="23"/>
  <c r="X227" i="23"/>
  <c r="X228" i="23"/>
  <c r="X229" i="23"/>
  <c r="X230" i="23"/>
  <c r="X231" i="23"/>
  <c r="X232" i="23"/>
  <c r="X233" i="23"/>
  <c r="X234" i="23"/>
  <c r="X235" i="23"/>
  <c r="X236" i="23"/>
  <c r="X237" i="23"/>
  <c r="X238" i="23"/>
  <c r="X239" i="23"/>
  <c r="X240" i="23"/>
  <c r="X241" i="23"/>
  <c r="X242" i="23"/>
  <c r="X243" i="23"/>
  <c r="X244" i="23"/>
  <c r="X245" i="23"/>
  <c r="X246" i="23"/>
  <c r="X247" i="23"/>
  <c r="X248" i="23"/>
  <c r="X249" i="23"/>
  <c r="X250" i="23"/>
  <c r="X251" i="23"/>
  <c r="X252" i="23"/>
  <c r="X253" i="23"/>
  <c r="X254" i="23"/>
  <c r="X255" i="23"/>
  <c r="X256" i="23"/>
  <c r="X257" i="23"/>
  <c r="X258" i="23"/>
  <c r="X259" i="23"/>
  <c r="X260" i="23"/>
  <c r="X261" i="23"/>
  <c r="X262" i="23"/>
  <c r="X263" i="23"/>
  <c r="X264" i="23"/>
  <c r="X265" i="23"/>
  <c r="X266" i="23"/>
  <c r="X267" i="23"/>
  <c r="X268" i="23"/>
  <c r="X269" i="23"/>
  <c r="X270" i="23"/>
  <c r="X271" i="23"/>
  <c r="X272" i="23"/>
  <c r="X273" i="23"/>
  <c r="X274" i="23"/>
  <c r="X275" i="23"/>
  <c r="X276" i="23"/>
  <c r="X277" i="23"/>
  <c r="X278" i="23"/>
  <c r="X279" i="23"/>
  <c r="X280" i="23"/>
  <c r="X281" i="23"/>
  <c r="X282" i="23"/>
  <c r="X283" i="23"/>
  <c r="X284" i="23"/>
  <c r="X285" i="23"/>
  <c r="X286" i="23"/>
  <c r="X287" i="23"/>
  <c r="X288" i="23"/>
  <c r="X289" i="23"/>
  <c r="X290" i="23"/>
  <c r="X291" i="23"/>
  <c r="X292" i="23"/>
  <c r="X293" i="23"/>
  <c r="X294" i="23"/>
  <c r="X295" i="23"/>
  <c r="X296" i="23"/>
  <c r="X297" i="23"/>
  <c r="X298" i="23"/>
  <c r="X299" i="23"/>
  <c r="X300" i="23"/>
  <c r="X301" i="23"/>
  <c r="X302" i="23"/>
  <c r="X303" i="23"/>
  <c r="X304" i="23"/>
  <c r="X305" i="23"/>
  <c r="X306" i="23"/>
  <c r="X307" i="23"/>
  <c r="X308" i="23"/>
  <c r="X309" i="23"/>
  <c r="X310" i="23"/>
  <c r="X311" i="23"/>
  <c r="X312" i="23"/>
  <c r="X313" i="23"/>
  <c r="X314" i="23"/>
  <c r="X315" i="23"/>
  <c r="X316" i="23"/>
  <c r="X317" i="23"/>
  <c r="X318" i="23"/>
  <c r="X319" i="23"/>
  <c r="X320" i="23"/>
  <c r="X321" i="23"/>
  <c r="X322" i="23"/>
  <c r="X323" i="23"/>
  <c r="X324" i="23"/>
  <c r="X325" i="23"/>
  <c r="X326" i="23"/>
  <c r="X327" i="23"/>
  <c r="X328" i="23"/>
  <c r="X329" i="23"/>
  <c r="X330" i="23"/>
  <c r="X331" i="23"/>
  <c r="X332" i="23"/>
  <c r="X333" i="23"/>
  <c r="X334" i="23"/>
  <c r="X335" i="23"/>
  <c r="X336" i="23"/>
  <c r="X337" i="23"/>
  <c r="X338" i="23"/>
  <c r="X339" i="23"/>
  <c r="X340" i="23"/>
  <c r="X341" i="23"/>
  <c r="X342" i="23"/>
  <c r="X343" i="23"/>
  <c r="X344" i="23"/>
  <c r="X345" i="23"/>
  <c r="X346" i="23"/>
  <c r="X347" i="23"/>
  <c r="X348" i="23"/>
  <c r="X349" i="23"/>
  <c r="X350" i="23"/>
  <c r="X351" i="23"/>
  <c r="X352" i="23"/>
  <c r="X353" i="23"/>
  <c r="X354" i="23"/>
  <c r="X355" i="23"/>
  <c r="X356" i="23"/>
  <c r="X357" i="23"/>
  <c r="X358" i="23"/>
  <c r="X359" i="23"/>
  <c r="X360" i="23"/>
  <c r="X361" i="23"/>
  <c r="X362" i="23"/>
  <c r="X363" i="23"/>
  <c r="X364" i="23"/>
  <c r="X365" i="23"/>
  <c r="X366" i="23"/>
  <c r="X367" i="23"/>
  <c r="X368" i="23"/>
  <c r="X369" i="23"/>
  <c r="X370" i="23"/>
  <c r="X371" i="23"/>
  <c r="X372" i="23"/>
  <c r="X373" i="23"/>
  <c r="X374" i="23"/>
  <c r="X375" i="23"/>
  <c r="X376" i="23"/>
  <c r="X377" i="23"/>
  <c r="X378" i="23"/>
  <c r="X379" i="23"/>
  <c r="X380" i="23"/>
  <c r="X381" i="23"/>
  <c r="X382" i="23"/>
  <c r="X383" i="23"/>
  <c r="X384" i="23"/>
  <c r="X385" i="23"/>
  <c r="X386" i="23"/>
  <c r="X387" i="23"/>
  <c r="X388" i="23"/>
  <c r="X389" i="23"/>
  <c r="X390" i="23"/>
  <c r="X391" i="23"/>
  <c r="X392" i="23"/>
  <c r="X393" i="23"/>
  <c r="X394" i="23"/>
  <c r="X395"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2F514-7709-E141-98AC-9496B60C8580}" keepAlive="1" name="Query - CO Combined" description="Connection to the 'CO Combined' query in the workbook." type="5" refreshedVersion="8" background="1" saveData="1">
    <dbPr connection="Provider=Microsoft.Mashup.OleDb.1;Data Source=$Workbook$;Location=&quot;CO Combined&quot;;Extended Properties=&quot;&quot;" command="SELECT * FROM [CO Combined]"/>
  </connection>
  <connection id="2" xr16:uid="{C5CE4E45-4E4A-F44C-80B2-EBCE53A2520A}" keepAlive="1" name="Query - CO Combined (2)" description="Connection to the 'CO Combined (2)' query in the workbook." type="5" refreshedVersion="8" background="1" saveData="1">
    <dbPr connection="Provider=Microsoft.Mashup.OleDb.1;Data Source=$Workbook$;Location=&quot;CO Combined (2)&quot;;Extended Properties=&quot;&quot;" command="SELECT * FROM [CO Combined (2)]"/>
  </connection>
  <connection id="3" xr16:uid="{162F24EE-EA23-014A-9794-BA2906675AEC}" keepAlive="1" name="Query - CO Combined (3)" description="Connection to the 'CO Combined (3)' query in the workbook." type="5" refreshedVersion="8" background="1" saveData="1">
    <dbPr connection="Provider=Microsoft.Mashup.OleDb.1;Data Source=$Workbook$;Location=&quot;CO Combined (3)&quot;;Extended Properties=&quot;&quot;" command="SELECT * FROM [CO Combined (3)]"/>
  </connection>
  <connection id="4" xr16:uid="{D36161BB-6D08-6148-815C-6A471C3F2D38}"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5" xr16:uid="{62D10FBE-F61B-E24E-A90E-480B30BCC654}" keepAlive="1" name="Query - Customers (2)" description="Connection to the 'Customers (2)' query in the workbook." type="5" refreshedVersion="0" background="1">
    <dbPr connection="Provider=Microsoft.Mashup.OleDb.1;Data Source=$Workbook$;Location=&quot;Customers (2)&quot;;Extended Properties=&quot;&quot;" command="SELECT * FROM [Customers (2)]"/>
  </connection>
  <connection id="6" xr16:uid="{B7B8AC78-B3E3-E04F-AEB8-413DA9AB8934}" keepAlive="1" name="Query - Customers (3)" description="Connection to the 'Customers (3)' query in the workbook." type="5" refreshedVersion="8" background="1" saveData="1">
    <dbPr connection="Provider=Microsoft.Mashup.OleDb.1;Data Source=$Workbook$;Location=&quot;Customers (3)&quot;;Extended Properties=&quot;&quot;" command="SELECT * FROM [Customers (3)]"/>
  </connection>
  <connection id="7" xr16:uid="{84F9A5A3-DD9B-D142-A865-2357B673BC2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8" xr16:uid="{57265E50-61BD-884C-A139-4CF784F49657}"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9" xr16:uid="{30856A78-2C56-304E-8D5F-57BA5DE83C7C}" keepAlive="1" name="Query - Orders (3)" description="Connection to the 'Orders (3)' query in the workbook." type="5" refreshedVersion="8" background="1" saveData="1">
    <dbPr connection="Provider=Microsoft.Mashup.OleDb.1;Data Source=$Workbook$;Location=&quot;Orders (3)&quot;;Extended Properties=&quot;&quot;" command="SELECT * FROM [Orders (3)]"/>
  </connection>
</connections>
</file>

<file path=xl/sharedStrings.xml><?xml version="1.0" encoding="utf-8"?>
<sst xmlns="http://schemas.openxmlformats.org/spreadsheetml/2006/main" count="19327" uniqueCount="2333">
  <si>
    <t>Customer Name</t>
  </si>
  <si>
    <t>Segment</t>
  </si>
  <si>
    <t>City</t>
  </si>
  <si>
    <t>State</t>
  </si>
  <si>
    <t>Postal Code</t>
  </si>
  <si>
    <t>Region</t>
  </si>
  <si>
    <t>Country</t>
  </si>
  <si>
    <t>AA-10315</t>
  </si>
  <si>
    <t>Alex Avila</t>
  </si>
  <si>
    <t>CON</t>
  </si>
  <si>
    <t>Minneapolis</t>
  </si>
  <si>
    <t>Minnesota</t>
  </si>
  <si>
    <t>C</t>
  </si>
  <si>
    <t>United States</t>
  </si>
  <si>
    <t>AA-10317</t>
  </si>
  <si>
    <t>Andrew Avila</t>
  </si>
  <si>
    <t>San Francisco</t>
  </si>
  <si>
    <t>California</t>
  </si>
  <si>
    <t>W</t>
  </si>
  <si>
    <t>AA-10318</t>
  </si>
  <si>
    <t>Andrew Ayalla</t>
  </si>
  <si>
    <t>Round Rock</t>
  </si>
  <si>
    <t>Texas</t>
  </si>
  <si>
    <t>AA-10326</t>
  </si>
  <si>
    <t>Alex Atu</t>
  </si>
  <si>
    <t>New York City</t>
  </si>
  <si>
    <t>New York</t>
  </si>
  <si>
    <t>E</t>
  </si>
  <si>
    <t>AA-10375</t>
  </si>
  <si>
    <t>Allen Armold</t>
  </si>
  <si>
    <t>Mesa</t>
  </si>
  <si>
    <t>Arizona</t>
  </si>
  <si>
    <t>AA-10379</t>
  </si>
  <si>
    <t>Anh Athom</t>
  </si>
  <si>
    <t>Omaha</t>
  </si>
  <si>
    <t>Nebraska</t>
  </si>
  <si>
    <t>AA-10385</t>
  </si>
  <si>
    <t>Aaron An</t>
  </si>
  <si>
    <t>Los Angeles</t>
  </si>
  <si>
    <t>AA-10387</t>
  </si>
  <si>
    <t>Aaron Arie</t>
  </si>
  <si>
    <t>Salem</t>
  </si>
  <si>
    <t>Oregon</t>
  </si>
  <si>
    <t>AA-10390</t>
  </si>
  <si>
    <t>Alan Anderson</t>
  </si>
  <si>
    <t>Atlanta</t>
  </si>
  <si>
    <t>Georgia</t>
  </si>
  <si>
    <t>S</t>
  </si>
  <si>
    <t>AA-10395</t>
  </si>
  <si>
    <t>Andrew Anderson</t>
  </si>
  <si>
    <t>Rancho Cucamonga</t>
  </si>
  <si>
    <t>AA-10397</t>
  </si>
  <si>
    <t>Lebanon</t>
  </si>
  <si>
    <t>Tennessee</t>
  </si>
  <si>
    <t>AA-10399</t>
  </si>
  <si>
    <t>Anna Armold</t>
  </si>
  <si>
    <t>AA-10472</t>
  </si>
  <si>
    <t>Allen Atomi</t>
  </si>
  <si>
    <t>Providence</t>
  </si>
  <si>
    <t>Rhode Island</t>
  </si>
  <si>
    <t>AA-10480</t>
  </si>
  <si>
    <t>Andrew Allen</t>
  </si>
  <si>
    <t>Concord</t>
  </si>
  <si>
    <t>North Carolina</t>
  </si>
  <si>
    <t>AA-10645</t>
  </si>
  <si>
    <t>Anna Andreadi</t>
  </si>
  <si>
    <t>Chester</t>
  </si>
  <si>
    <t>Pennsylvania</t>
  </si>
  <si>
    <t>AA-10646</t>
  </si>
  <si>
    <t>Anna Avilla</t>
  </si>
  <si>
    <t>AA-10649</t>
  </si>
  <si>
    <t>Alexander Anderson</t>
  </si>
  <si>
    <t>Georgetown</t>
  </si>
  <si>
    <t>Kentucky</t>
  </si>
  <si>
    <t>AA-10654</t>
  </si>
  <si>
    <t>Aaron Allen</t>
  </si>
  <si>
    <t>San Diego</t>
  </si>
  <si>
    <t>AA-10658</t>
  </si>
  <si>
    <t>Lowell</t>
  </si>
  <si>
    <t>Massachusetts</t>
  </si>
  <si>
    <t>AA-10675</t>
  </si>
  <si>
    <t>An Tran</t>
  </si>
  <si>
    <t>Oklahoma City</t>
  </si>
  <si>
    <t>Oklahoma</t>
  </si>
  <si>
    <t>Aaron Bergman</t>
  </si>
  <si>
    <t>Seattle</t>
  </si>
  <si>
    <t>Washington</t>
  </si>
  <si>
    <t>Arlington</t>
  </si>
  <si>
    <t>Alex Andrews</t>
  </si>
  <si>
    <t>Adam Bellavance</t>
  </si>
  <si>
    <t>HOF</t>
  </si>
  <si>
    <t>Adel Brings</t>
  </si>
  <si>
    <t>New Hampshire</t>
  </si>
  <si>
    <t>Ann Boynes</t>
  </si>
  <si>
    <t>Waynesboro</t>
  </si>
  <si>
    <t>Virginia</t>
  </si>
  <si>
    <t>Antoine Beacon</t>
  </si>
  <si>
    <t>Philadelphia</t>
  </si>
  <si>
    <t>Anh Tam</t>
  </si>
  <si>
    <t>Antonio Bege</t>
  </si>
  <si>
    <t>Des Moines</t>
  </si>
  <si>
    <t>Ang Li</t>
  </si>
  <si>
    <t>Andy Burg</t>
  </si>
  <si>
    <t>Greenwood</t>
  </si>
  <si>
    <t>Indiana</t>
  </si>
  <si>
    <t>Adrian Barton</t>
  </si>
  <si>
    <t>Phoenix</t>
  </si>
  <si>
    <t>Aaron Beze</t>
  </si>
  <si>
    <t>Henderson</t>
  </si>
  <si>
    <t>Anh Bui</t>
  </si>
  <si>
    <t>Pearland</t>
  </si>
  <si>
    <t>Ashley Barr</t>
  </si>
  <si>
    <t>Indianapolis</t>
  </si>
  <si>
    <t>Alysa Benz</t>
  </si>
  <si>
    <t>Portland</t>
  </si>
  <si>
    <t>Ahz Brinez</t>
  </si>
  <si>
    <t>Ava Benidictine</t>
  </si>
  <si>
    <t>Anderson Benz</t>
  </si>
  <si>
    <t>Detroit</t>
  </si>
  <si>
    <t>Michigan</t>
  </si>
  <si>
    <t>Atulo Bruche</t>
  </si>
  <si>
    <t>Houston</t>
  </si>
  <si>
    <t>Adrian Boynes</t>
  </si>
  <si>
    <t>Bloomington</t>
  </si>
  <si>
    <t>Illinois</t>
  </si>
  <si>
    <t>Aimee Bixby</t>
  </si>
  <si>
    <t>Long Beach</t>
  </si>
  <si>
    <t>Angel Bui</t>
  </si>
  <si>
    <t>Carrollton</t>
  </si>
  <si>
    <t>Adita Baxter</t>
  </si>
  <si>
    <t>Tulsa</t>
  </si>
  <si>
    <t>Amy Banh</t>
  </si>
  <si>
    <t>Dallas</t>
  </si>
  <si>
    <t>Andy Bithis</t>
  </si>
  <si>
    <t>Yonkers</t>
  </si>
  <si>
    <t>Alejandro Ballentine</t>
  </si>
  <si>
    <t>Lorain</t>
  </si>
  <si>
    <t>Ohio</t>
  </si>
  <si>
    <t>Alex Ball</t>
  </si>
  <si>
    <t>Plano</t>
  </si>
  <si>
    <t>Andy Banez</t>
  </si>
  <si>
    <t>Carlsbad</t>
  </si>
  <si>
    <t>New Mexico</t>
  </si>
  <si>
    <t>Adel Bolivia</t>
  </si>
  <si>
    <t>Aye Burgez</t>
  </si>
  <si>
    <t>Jackson</t>
  </si>
  <si>
    <t>Mississippi</t>
  </si>
  <si>
    <t>Adrian Bidez</t>
  </si>
  <si>
    <t>Aiden Bea</t>
  </si>
  <si>
    <t>Ann Blume</t>
  </si>
  <si>
    <t>COR</t>
  </si>
  <si>
    <t>Tucson</t>
  </si>
  <si>
    <t>Anita Bam</t>
  </si>
  <si>
    <t>Chicago</t>
  </si>
  <si>
    <t>Alun Baveen</t>
  </si>
  <si>
    <t>Arthur Bon</t>
  </si>
  <si>
    <t>Jacksonville</t>
  </si>
  <si>
    <t>Alyssa Crouse</t>
  </si>
  <si>
    <t>Amy Cox</t>
  </si>
  <si>
    <t>Alexander Canne</t>
  </si>
  <si>
    <t>Anthony Chartes</t>
  </si>
  <si>
    <t>Lafayette</t>
  </si>
  <si>
    <t>Louisiana</t>
  </si>
  <si>
    <t>Aaron Chase</t>
  </si>
  <si>
    <t>Amie Charles</t>
  </si>
  <si>
    <t>Pembroke Pines</t>
  </si>
  <si>
    <t>Florida</t>
  </si>
  <si>
    <t>Ann Chong</t>
  </si>
  <si>
    <t>An Cillian</t>
  </si>
  <si>
    <t>Aaron Chu</t>
  </si>
  <si>
    <t>Amy Chulz</t>
  </si>
  <si>
    <t>Beaumont</t>
  </si>
  <si>
    <t>Anna Chung</t>
  </si>
  <si>
    <t>Parma</t>
  </si>
  <si>
    <t>Antoinnet Cruz</t>
  </si>
  <si>
    <t>Austin Canes</t>
  </si>
  <si>
    <t>Lawrence</t>
  </si>
  <si>
    <t>Alan Dominguez</t>
  </si>
  <si>
    <t>Great Falls</t>
  </si>
  <si>
    <t>Montana</t>
  </si>
  <si>
    <t>Alan Dao</t>
  </si>
  <si>
    <t>Angel Dumas</t>
  </si>
  <si>
    <t>Agustin Diaz</t>
  </si>
  <si>
    <t>Fairfield</t>
  </si>
  <si>
    <t>Connecticut</t>
  </si>
  <si>
    <t>Alena Diaz</t>
  </si>
  <si>
    <t>Alan Dole</t>
  </si>
  <si>
    <t>Art Ferguson</t>
  </si>
  <si>
    <t>College Station</t>
  </si>
  <si>
    <t>Arthur Feng</t>
  </si>
  <si>
    <t>Passaic</t>
  </si>
  <si>
    <t>New Jersey</t>
  </si>
  <si>
    <t>Annie Farnum</t>
  </si>
  <si>
    <t>Ava Finche</t>
  </si>
  <si>
    <t>Homestead</t>
  </si>
  <si>
    <t>Anil Fey</t>
  </si>
  <si>
    <t>Antonio Fu</t>
  </si>
  <si>
    <t>Alejandro Grove</t>
  </si>
  <si>
    <t>West Jordan</t>
  </si>
  <si>
    <t>Utah</t>
  </si>
  <si>
    <t>Alisa Guiterez</t>
  </si>
  <si>
    <t>Amie Grand</t>
  </si>
  <si>
    <t>Alphonso Greig</t>
  </si>
  <si>
    <t>Aleksandra Gannaway</t>
  </si>
  <si>
    <t>Allen Goldenen</t>
  </si>
  <si>
    <t>Cincinnati</t>
  </si>
  <si>
    <t>Andrew Gjertsen</t>
  </si>
  <si>
    <t>Anthonio Garcia</t>
  </si>
  <si>
    <t>Peoria</t>
  </si>
  <si>
    <t>Angel Gulian</t>
  </si>
  <si>
    <t>Amy Goue</t>
  </si>
  <si>
    <t>Abigal Gandi</t>
  </si>
  <si>
    <t>Saint Petersburg</t>
  </si>
  <si>
    <t>Anna Gayman</t>
  </si>
  <si>
    <t>Arthur Gonzalez</t>
  </si>
  <si>
    <t>Abi Green</t>
  </si>
  <si>
    <t>Allen</t>
  </si>
  <si>
    <t>Angie Gouge</t>
  </si>
  <si>
    <t>Columbus</t>
  </si>
  <si>
    <t>Ann Goefs</t>
  </si>
  <si>
    <t>Anthony Garverick</t>
  </si>
  <si>
    <t>Andy Green</t>
  </si>
  <si>
    <t>Hampton</t>
  </si>
  <si>
    <t>Abis Gurfiez</t>
  </si>
  <si>
    <t>Arthur Gainer</t>
  </si>
  <si>
    <t>Anh Ly</t>
  </si>
  <si>
    <t>Allen Golberg</t>
  </si>
  <si>
    <t>Waterbury</t>
  </si>
  <si>
    <t>August Ga</t>
  </si>
  <si>
    <t>Las Vegas</t>
  </si>
  <si>
    <t>Nevada</t>
  </si>
  <si>
    <t>Allan Gomez</t>
  </si>
  <si>
    <t>Eau Claire</t>
  </si>
  <si>
    <t>Wisconsin</t>
  </si>
  <si>
    <t>Aaron Hawkins</t>
  </si>
  <si>
    <t>Arthur Holmes</t>
  </si>
  <si>
    <t>Alisa Henry</t>
  </si>
  <si>
    <t>Troy</t>
  </si>
  <si>
    <t>Ana Hughes</t>
  </si>
  <si>
    <t>Adam Hart</t>
  </si>
  <si>
    <t>Aden Henry</t>
  </si>
  <si>
    <t>Aleen Hope</t>
  </si>
  <si>
    <t>Knoxville</t>
  </si>
  <si>
    <t>Andy Henry</t>
  </si>
  <si>
    <t>Alan Hernandez</t>
  </si>
  <si>
    <t>Angel Hirosi</t>
  </si>
  <si>
    <t>Cranston</t>
  </si>
  <si>
    <t>Adrian Hane</t>
  </si>
  <si>
    <t>Amy Hernandez</t>
  </si>
  <si>
    <t>Alex Hultz</t>
  </si>
  <si>
    <t>Art Himenez</t>
  </si>
  <si>
    <t>Louisville</t>
  </si>
  <si>
    <t>Alan Haines</t>
  </si>
  <si>
    <t>Tamarac</t>
  </si>
  <si>
    <t>Amie Humble</t>
  </si>
  <si>
    <t>Bethlehem</t>
  </si>
  <si>
    <t>Andrew Hertz</t>
  </si>
  <si>
    <t>Alan Hwang</t>
  </si>
  <si>
    <t>Brentwood</t>
  </si>
  <si>
    <t>Ali Hernandez</t>
  </si>
  <si>
    <t>Anaheim</t>
  </si>
  <si>
    <t>Andy Harper</t>
  </si>
  <si>
    <t>Amy Hunt</t>
  </si>
  <si>
    <t>Allen Hughes</t>
  </si>
  <si>
    <t>Angele Hood</t>
  </si>
  <si>
    <t>Anthony Handerson</t>
  </si>
  <si>
    <t>Anna Häberlin</t>
  </si>
  <si>
    <t>Plantation</t>
  </si>
  <si>
    <t>Andrew Heb</t>
  </si>
  <si>
    <t>Aaron Hadine</t>
  </si>
  <si>
    <t>Springfield</t>
  </si>
  <si>
    <t>Ava Himenez</t>
  </si>
  <si>
    <t>Adam Hsu</t>
  </si>
  <si>
    <t>Alisya Igor</t>
  </si>
  <si>
    <t>Arianne Irving</t>
  </si>
  <si>
    <t>Aturoa Ignes</t>
  </si>
  <si>
    <t>Glendale</t>
  </si>
  <si>
    <t>Alaine Igpal</t>
  </si>
  <si>
    <t>Anthony Jacobs</t>
  </si>
  <si>
    <t>Anderson Jibbs</t>
  </si>
  <si>
    <t>Beverly</t>
  </si>
  <si>
    <t>Agnes Johns</t>
  </si>
  <si>
    <t>Baltimore</t>
  </si>
  <si>
    <t>Maryland</t>
  </si>
  <si>
    <t>Anthony Johnson</t>
  </si>
  <si>
    <t>Alex Jimenez</t>
  </si>
  <si>
    <t>Alanza Jackson</t>
  </si>
  <si>
    <t>Apple Valley</t>
  </si>
  <si>
    <t>Alisio Johnson</t>
  </si>
  <si>
    <t>Allan Jackson</t>
  </si>
  <si>
    <t>Wilmington</t>
  </si>
  <si>
    <t>Ashley Jarboe</t>
  </si>
  <si>
    <t>Astrea Jones</t>
  </si>
  <si>
    <t>Rochester</t>
  </si>
  <si>
    <t>Alice McCarthy</t>
  </si>
  <si>
    <t>Grand Prairie</t>
  </si>
  <si>
    <t>Arie Mendoza</t>
  </si>
  <si>
    <t>Anne McFarland</t>
  </si>
  <si>
    <t>Auburn</t>
  </si>
  <si>
    <t>Alabama</t>
  </si>
  <si>
    <t>Al Mich</t>
  </si>
  <si>
    <t>Athur Maines</t>
  </si>
  <si>
    <t>Des Plaines</t>
  </si>
  <si>
    <t>Aaron Mitchel</t>
  </si>
  <si>
    <t>Anthony O'Donnell</t>
  </si>
  <si>
    <t>Anne Pryor</t>
  </si>
  <si>
    <t>Ann Porter</t>
  </si>
  <si>
    <t>Malden</t>
  </si>
  <si>
    <t>Agnes Peters</t>
  </si>
  <si>
    <t>Fort Lauderdale</t>
  </si>
  <si>
    <t>Alison Phage</t>
  </si>
  <si>
    <t>Arthur Prichep</t>
  </si>
  <si>
    <t>Alex Pennes</t>
  </si>
  <si>
    <t>Anita Preacher</t>
  </si>
  <si>
    <t>Fort Collins</t>
  </si>
  <si>
    <t>Colorado</t>
  </si>
  <si>
    <t>Alice Prince</t>
  </si>
  <si>
    <t>Andy Phillips</t>
  </si>
  <si>
    <t>Denver</t>
  </si>
  <si>
    <t>Antonio Pinebrook</t>
  </si>
  <si>
    <t>Alex Russell</t>
  </si>
  <si>
    <t>Allen Rosenblatt</t>
  </si>
  <si>
    <t>Franklin</t>
  </si>
  <si>
    <t>Andrew Roberts</t>
  </si>
  <si>
    <t>Andy Reiter</t>
  </si>
  <si>
    <t>Anemone Ratner</t>
  </si>
  <si>
    <t>Anthony Rawles</t>
  </si>
  <si>
    <t>Vancouver</t>
  </si>
  <si>
    <t>Alan Richies</t>
  </si>
  <si>
    <t>Austin</t>
  </si>
  <si>
    <t>Aaron Smayling</t>
  </si>
  <si>
    <t>Alison Summers</t>
  </si>
  <si>
    <t>Redmond</t>
  </si>
  <si>
    <t>Adam Shillingsburg</t>
  </si>
  <si>
    <t>Missouri</t>
  </si>
  <si>
    <t>Art Santana</t>
  </si>
  <si>
    <t>Ajay Santos</t>
  </si>
  <si>
    <t>Alphonso Sami</t>
  </si>
  <si>
    <t>Alejandro Smeltz</t>
  </si>
  <si>
    <t>Irving</t>
  </si>
  <si>
    <t>Al Saminuto</t>
  </si>
  <si>
    <t>Adrian Shami</t>
  </si>
  <si>
    <t>Alan Schoenberger</t>
  </si>
  <si>
    <t>Montgomery</t>
  </si>
  <si>
    <t>Andy Sherlock</t>
  </si>
  <si>
    <t>Provo</t>
  </si>
  <si>
    <t>Alan Shonely</t>
  </si>
  <si>
    <t>Tampa</t>
  </si>
  <si>
    <t>Anna Shoves</t>
  </si>
  <si>
    <t>Cleveland</t>
  </si>
  <si>
    <t>Ann Shrives</t>
  </si>
  <si>
    <t>Alejandro Savely</t>
  </si>
  <si>
    <t>Palatine</t>
  </si>
  <si>
    <t>Aaron Suchetz</t>
  </si>
  <si>
    <t>Noblesville</t>
  </si>
  <si>
    <t>Ann Steele</t>
  </si>
  <si>
    <t>Pasadena</t>
  </si>
  <si>
    <t>Ali Smiths</t>
  </si>
  <si>
    <t>Boynton Beach</t>
  </si>
  <si>
    <t>Alphonso Smiths</t>
  </si>
  <si>
    <t>Alyssa Tate</t>
  </si>
  <si>
    <t>Annie Thurman</t>
  </si>
  <si>
    <t>Nashville</t>
  </si>
  <si>
    <t>Alex Tam</t>
  </si>
  <si>
    <t>Alan Tran</t>
  </si>
  <si>
    <t>Morristown</t>
  </si>
  <si>
    <t>Alyssa Thompson</t>
  </si>
  <si>
    <t>Bristol</t>
  </si>
  <si>
    <t>Anthony Witt</t>
  </si>
  <si>
    <t>Bakersfield</t>
  </si>
  <si>
    <t>Arthur Wiediger</t>
  </si>
  <si>
    <t>Aurora</t>
  </si>
  <si>
    <t>Anna Whites</t>
  </si>
  <si>
    <t>Abraham Willison</t>
  </si>
  <si>
    <t>Helena</t>
  </si>
  <si>
    <t>Augustine Williamson</t>
  </si>
  <si>
    <t>Andy Yotov</t>
  </si>
  <si>
    <t>Oceanside</t>
  </si>
  <si>
    <t>Albert Yebsky</t>
  </si>
  <si>
    <t>Annie Zypern</t>
  </si>
  <si>
    <t>Wheeling</t>
  </si>
  <si>
    <t>Andrey Zackeriah</t>
  </si>
  <si>
    <t>Aiden Zelensky</t>
  </si>
  <si>
    <t>Customer Code</t>
  </si>
  <si>
    <t>BA-10015</t>
  </si>
  <si>
    <t>BA-10018</t>
  </si>
  <si>
    <t>BA-10023</t>
  </si>
  <si>
    <t>BA-10060</t>
  </si>
  <si>
    <t>BA-10063</t>
  </si>
  <si>
    <t>BA-10069</t>
  </si>
  <si>
    <t>BA-10071</t>
  </si>
  <si>
    <t>BA-10074</t>
  </si>
  <si>
    <t>BA-10082</t>
  </si>
  <si>
    <t>BA-10091</t>
  </si>
  <si>
    <t>BA-10096</t>
  </si>
  <si>
    <t>BA-10105</t>
  </si>
  <si>
    <t>BA-10108</t>
  </si>
  <si>
    <t>BA-10115</t>
  </si>
  <si>
    <t>BA-10119</t>
  </si>
  <si>
    <t>BA-10121</t>
  </si>
  <si>
    <t>BA-10124</t>
  </si>
  <si>
    <t>BA-10127</t>
  </si>
  <si>
    <t>BA-10129</t>
  </si>
  <si>
    <t>BA-10132</t>
  </si>
  <si>
    <t>BA-10142</t>
  </si>
  <si>
    <t>BA-10150</t>
  </si>
  <si>
    <t>BA-10156</t>
  </si>
  <si>
    <t>BA-10160</t>
  </si>
  <si>
    <t>BA-10161</t>
  </si>
  <si>
    <t>BA-10171</t>
  </si>
  <si>
    <t>BA-10255</t>
  </si>
  <si>
    <t>BA-10258</t>
  </si>
  <si>
    <t>BA-10262</t>
  </si>
  <si>
    <t>BA-10267</t>
  </si>
  <si>
    <t>BA-10275</t>
  </si>
  <si>
    <t>BA-10278</t>
  </si>
  <si>
    <t>BA-10280</t>
  </si>
  <si>
    <t>BA-10600</t>
  </si>
  <si>
    <t>BA-10602</t>
  </si>
  <si>
    <t>BA-10607</t>
  </si>
  <si>
    <t>BA-10609</t>
  </si>
  <si>
    <t>CA-10420</t>
  </si>
  <si>
    <t>CA-10450</t>
  </si>
  <si>
    <t>CA-10453</t>
  </si>
  <si>
    <t>CA-10459</t>
  </si>
  <si>
    <t>CA-10463</t>
  </si>
  <si>
    <t>CA-10471</t>
  </si>
  <si>
    <t>CA-10615</t>
  </si>
  <si>
    <t>CA-10625</t>
  </si>
  <si>
    <t>CA-10632</t>
  </si>
  <si>
    <t>CA-10635</t>
  </si>
  <si>
    <t>CA-10660</t>
  </si>
  <si>
    <t>CA-10668</t>
  </si>
  <si>
    <t>CA-10669</t>
  </si>
  <si>
    <t>DA-10180</t>
  </si>
  <si>
    <t>DA-10187</t>
  </si>
  <si>
    <t>DA-10194</t>
  </si>
  <si>
    <t>DA-10198</t>
  </si>
  <si>
    <t>DA-10199</t>
  </si>
  <si>
    <t>DA-10211</t>
  </si>
  <si>
    <t>FA-10870</t>
  </si>
  <si>
    <t>FA-10873</t>
  </si>
  <si>
    <t>FA-10877</t>
  </si>
  <si>
    <t>FA-10882</t>
  </si>
  <si>
    <t>FA-10884</t>
  </si>
  <si>
    <t>FA-10899</t>
  </si>
  <si>
    <t>GA-10270</t>
  </si>
  <si>
    <t>GA-10276</t>
  </si>
  <si>
    <t>GA-10278</t>
  </si>
  <si>
    <t>GA-10288</t>
  </si>
  <si>
    <t>GA-10300</t>
  </si>
  <si>
    <t>GA-10390</t>
  </si>
  <si>
    <t>GA-10495</t>
  </si>
  <si>
    <t>GA-10497</t>
  </si>
  <si>
    <t>GA-10506</t>
  </si>
  <si>
    <t>GA-10511</t>
  </si>
  <si>
    <t>GA-10528</t>
  </si>
  <si>
    <t>GA-10675</t>
  </si>
  <si>
    <t>GA-10683</t>
  </si>
  <si>
    <t>GA-10685</t>
  </si>
  <si>
    <t>GA-10682</t>
  </si>
  <si>
    <t>GA-10694</t>
  </si>
  <si>
    <t>GA-10765</t>
  </si>
  <si>
    <t>GA-10769</t>
  </si>
  <si>
    <t>GA-10776</t>
  </si>
  <si>
    <t>GA-10900</t>
  </si>
  <si>
    <t>GA-10903</t>
  </si>
  <si>
    <t>GA-10907</t>
  </si>
  <si>
    <t>GA-10908</t>
  </si>
  <si>
    <t>GA-10911</t>
  </si>
  <si>
    <t>HA-10030</t>
  </si>
  <si>
    <t>HA-10034</t>
  </si>
  <si>
    <t>HA-10036</t>
  </si>
  <si>
    <t>HA-10043</t>
  </si>
  <si>
    <t>HA-10075</t>
  </si>
  <si>
    <t>HA-10079</t>
  </si>
  <si>
    <t>HA-10082</t>
  </si>
  <si>
    <t>HA-10088</t>
  </si>
  <si>
    <t>HA-10091</t>
  </si>
  <si>
    <t>HA-10095</t>
  </si>
  <si>
    <t>HA-10120</t>
  </si>
  <si>
    <t>HA-10126</t>
  </si>
  <si>
    <t>HA-10127</t>
  </si>
  <si>
    <t>HA-10130</t>
  </si>
  <si>
    <t>HA-10195</t>
  </si>
  <si>
    <t>HA-10198</t>
  </si>
  <si>
    <t>HA-10199</t>
  </si>
  <si>
    <t>HA-10210</t>
  </si>
  <si>
    <t>HA-10212</t>
  </si>
  <si>
    <t>HA-10214</t>
  </si>
  <si>
    <t>HA-10465</t>
  </si>
  <si>
    <t>HA-10471</t>
  </si>
  <si>
    <t>HA-10585</t>
  </si>
  <si>
    <t>HA-10587</t>
  </si>
  <si>
    <t>HA-10690</t>
  </si>
  <si>
    <t>HA-10693</t>
  </si>
  <si>
    <t>HA-10696</t>
  </si>
  <si>
    <t>HA-10699</t>
  </si>
  <si>
    <t>HA-10700</t>
  </si>
  <si>
    <t>IA-10853</t>
  </si>
  <si>
    <t>IA-10855</t>
  </si>
  <si>
    <t>IA-10858</t>
  </si>
  <si>
    <t>IA-10865</t>
  </si>
  <si>
    <t>JA-10780</t>
  </si>
  <si>
    <t>JA-10784</t>
  </si>
  <si>
    <t>JA-10788</t>
  </si>
  <si>
    <t>JA-10795</t>
  </si>
  <si>
    <t>JA-10796</t>
  </si>
  <si>
    <t>JA-10797</t>
  </si>
  <si>
    <t>JA-10799</t>
  </si>
  <si>
    <t>JA-10940</t>
  </si>
  <si>
    <t>JA-10945</t>
  </si>
  <si>
    <t>JA-10960</t>
  </si>
  <si>
    <t>MA-10360</t>
  </si>
  <si>
    <t>MA-10364</t>
  </si>
  <si>
    <t>MA-10705</t>
  </si>
  <si>
    <t>MA-10709</t>
  </si>
  <si>
    <t>MA-10713</t>
  </si>
  <si>
    <t>MA-10715</t>
  </si>
  <si>
    <t>OA-10810</t>
  </si>
  <si>
    <t>PA-10720</t>
  </si>
  <si>
    <t>PA-10722</t>
  </si>
  <si>
    <t>PA-10727</t>
  </si>
  <si>
    <t>PA-10728</t>
  </si>
  <si>
    <t>PA-10915</t>
  </si>
  <si>
    <t>PA-10923</t>
  </si>
  <si>
    <t>PA-10925</t>
  </si>
  <si>
    <t>PA-10934</t>
  </si>
  <si>
    <t>PA-10942</t>
  </si>
  <si>
    <t>PA-10945</t>
  </si>
  <si>
    <t>RA-10345</t>
  </si>
  <si>
    <t>RA-10405</t>
  </si>
  <si>
    <t>RA-10510</t>
  </si>
  <si>
    <t>RA-10540</t>
  </si>
  <si>
    <t>RA-10570</t>
  </si>
  <si>
    <t>RA-10825</t>
  </si>
  <si>
    <t>RA-10828</t>
  </si>
  <si>
    <t>SA-10045</t>
  </si>
  <si>
    <t>SA-10041</t>
  </si>
  <si>
    <t>SA-10090</t>
  </si>
  <si>
    <t>SA-10092</t>
  </si>
  <si>
    <t>SA-10097</t>
  </si>
  <si>
    <t>SA-10099</t>
  </si>
  <si>
    <t>SA-10103</t>
  </si>
  <si>
    <t>SA-10105</t>
  </si>
  <si>
    <t>SA-10135</t>
  </si>
  <si>
    <t>SA-10225</t>
  </si>
  <si>
    <t>SA-10228</t>
  </si>
  <si>
    <t>SA-10240</t>
  </si>
  <si>
    <t>SA-10242</t>
  </si>
  <si>
    <t>SA-10251</t>
  </si>
  <si>
    <t>SA-10285</t>
  </si>
  <si>
    <t>SA-10287</t>
  </si>
  <si>
    <t>SA-10630</t>
  </si>
  <si>
    <t>SA-10633</t>
  </si>
  <si>
    <t>SA-10636</t>
  </si>
  <si>
    <t>TA-10435</t>
  </si>
  <si>
    <t>TA-10735</t>
  </si>
  <si>
    <t>TA-10738</t>
  </si>
  <si>
    <t>TA-10741</t>
  </si>
  <si>
    <t>TA-10744</t>
  </si>
  <si>
    <t>WA-10840</t>
  </si>
  <si>
    <t>WA-10930</t>
  </si>
  <si>
    <t>WA-10933</t>
  </si>
  <si>
    <t>WA-10937</t>
  </si>
  <si>
    <t>WA-10940</t>
  </si>
  <si>
    <t>YA-10555</t>
  </si>
  <si>
    <t>YA-10558</t>
  </si>
  <si>
    <t>ZA-10750</t>
  </si>
  <si>
    <t>ZA-10751</t>
  </si>
  <si>
    <t>ZA-10760</t>
  </si>
  <si>
    <t>Andy Gerbode</t>
  </si>
  <si>
    <t>GA-10525</t>
  </si>
  <si>
    <t>Alan Barnes</t>
  </si>
  <si>
    <t>BA-10165</t>
  </si>
  <si>
    <t>Art Foster</t>
  </si>
  <si>
    <t>FA-10885</t>
  </si>
  <si>
    <t>Alex Grayson</t>
  </si>
  <si>
    <t>Stockton</t>
  </si>
  <si>
    <t>GA-10330</t>
  </si>
  <si>
    <t>Row ID</t>
  </si>
  <si>
    <t>Order ID</t>
  </si>
  <si>
    <t>Order Date</t>
  </si>
  <si>
    <t>Ship Date</t>
  </si>
  <si>
    <t>Ship Mode</t>
  </si>
  <si>
    <t>Customer ID</t>
  </si>
  <si>
    <t>Product ID</t>
  </si>
  <si>
    <t>Quantity</t>
  </si>
  <si>
    <t>Discount</t>
  </si>
  <si>
    <t>Discount Percent</t>
  </si>
  <si>
    <t>IsHoliday</t>
  </si>
  <si>
    <t>CA-2017-114412</t>
  </si>
  <si>
    <t>OFF-PA-10002365</t>
  </si>
  <si>
    <t>CA-2014-167164</t>
  </si>
  <si>
    <t>OFF-ST-10000107</t>
  </si>
  <si>
    <t>US-2014-152030</t>
  </si>
  <si>
    <t>FUR-CH-10004063</t>
  </si>
  <si>
    <t>CA-2016-157000</t>
  </si>
  <si>
    <t>OFF-ST-10001328</t>
  </si>
  <si>
    <t>OFF-PA-10001950</t>
  </si>
  <si>
    <t>CA-2015-155040</t>
  </si>
  <si>
    <t>TEC-AC-10004469</t>
  </si>
  <si>
    <t>CA-2017-132976</t>
  </si>
  <si>
    <t>OFF-PA-10000673</t>
  </si>
  <si>
    <t>OFF-PA-10004470</t>
  </si>
  <si>
    <t>OFF-ST-10000876</t>
  </si>
  <si>
    <t>OFF-LA-10002043</t>
  </si>
  <si>
    <t>CA-2016-112697</t>
  </si>
  <si>
    <t>OFF-BI-10000778</t>
  </si>
  <si>
    <t>OFF-AP-10002684</t>
  </si>
  <si>
    <t>OFF-SU-10000646</t>
  </si>
  <si>
    <t>CA-2015-144253</t>
  </si>
  <si>
    <t>FUR-FU-10002671</t>
  </si>
  <si>
    <t>CA-2014-167850</t>
  </si>
  <si>
    <t>TEC-PH-10002398</t>
  </si>
  <si>
    <t>OFF-PA-10001937</t>
  </si>
  <si>
    <t>CA-2014-129924</t>
  </si>
  <si>
    <t>OFF-BI-10003314</t>
  </si>
  <si>
    <t>FUR-TA-10004575</t>
  </si>
  <si>
    <t>CA-2016-129714</t>
  </si>
  <si>
    <t>TEC-AC-10000290</t>
  </si>
  <si>
    <t>OFF-PA-10001970</t>
  </si>
  <si>
    <t>OFF-BI-10002160</t>
  </si>
  <si>
    <t>OFF-BI-10004995</t>
  </si>
  <si>
    <t>US-2014-119137</t>
  </si>
  <si>
    <t>OFF-BI-10001982</t>
  </si>
  <si>
    <t>TEC-AC-10003911</t>
  </si>
  <si>
    <t>OFF-AR-10000658</t>
  </si>
  <si>
    <t>TEC-AC-10002076</t>
  </si>
  <si>
    <t>US-2017-134481</t>
  </si>
  <si>
    <t>FUR-TA-10004915</t>
  </si>
  <si>
    <t>CA-2016-134775</t>
  </si>
  <si>
    <t>OFF-PA-10004734</t>
  </si>
  <si>
    <t>OFF-BI-10002225</t>
  </si>
  <si>
    <t>CA-2016-108987</t>
  </si>
  <si>
    <t>OFF-ST-10001580</t>
  </si>
  <si>
    <t>FUR-BO-10004834</t>
  </si>
  <si>
    <t>OFF-ST-10000934</t>
  </si>
  <si>
    <t>TEC-AC-10000158</t>
  </si>
  <si>
    <t>CA-2014-113362</t>
  </si>
  <si>
    <t>OFF-ST-10001809</t>
  </si>
  <si>
    <t>OFF-EN-10003845</t>
  </si>
  <si>
    <t>CA-2017-127432</t>
  </si>
  <si>
    <t>TEC-CO-10003236</t>
  </si>
  <si>
    <t>OFF-ST-10004507</t>
  </si>
  <si>
    <t>OFF-PA-10001667</t>
  </si>
  <si>
    <t>OFF-ST-10004459</t>
  </si>
  <si>
    <t>CA-2016-126613</t>
  </si>
  <si>
    <t>OFF-ST-10001325</t>
  </si>
  <si>
    <t>CA-2017-162929</t>
  </si>
  <si>
    <t>OFF-BI-10000404</t>
  </si>
  <si>
    <t>OFF-PA-10002986</t>
  </si>
  <si>
    <t>CA-2014-155852</t>
  </si>
  <si>
    <t>OFF-AR-10003560</t>
  </si>
  <si>
    <t>CA-2014-149958</t>
  </si>
  <si>
    <t>OFF-ST-10001490</t>
  </si>
  <si>
    <t>FUR-FU-10001756</t>
  </si>
  <si>
    <t>OFF-BI-10000773</t>
  </si>
  <si>
    <t>OFF-BI-10001543</t>
  </si>
  <si>
    <t>OFF-PA-10002120</t>
  </si>
  <si>
    <t>US-2014-105767</t>
  </si>
  <si>
    <t>OFF-BI-10000848</t>
  </si>
  <si>
    <t>OFF-AR-10001246</t>
  </si>
  <si>
    <t>TEC-PH-10003092</t>
  </si>
  <si>
    <t>CA-2017-153787</t>
  </si>
  <si>
    <t>OFF-AP-10001563</t>
  </si>
  <si>
    <t>CA-2016-160745</t>
  </si>
  <si>
    <t>FUR-FU-10001935</t>
  </si>
  <si>
    <t>TEC-PH-10003273</t>
  </si>
  <si>
    <t>TEC-AC-10001142</t>
  </si>
  <si>
    <t>CA-2017-140844</t>
  </si>
  <si>
    <t>OFF-PA-10003892</t>
  </si>
  <si>
    <t>TEC-AC-10001101</t>
  </si>
  <si>
    <t>CA-2015-131534</t>
  </si>
  <si>
    <t>TEC-AC-10002253</t>
  </si>
  <si>
    <t>OFF-PA-10000743</t>
  </si>
  <si>
    <t>CA-2016-163755</t>
  </si>
  <si>
    <t>FUR-FU-10003394</t>
  </si>
  <si>
    <t>CA-2017-146136</t>
  </si>
  <si>
    <t>OFF-EN-10001219</t>
  </si>
  <si>
    <t>CA-2015-112319</t>
  </si>
  <si>
    <t>OFF-PA-10003441</t>
  </si>
  <si>
    <t>CA-2014-106810</t>
  </si>
  <si>
    <t>FUR-FU-10004306</t>
  </si>
  <si>
    <t>CA-2015-140921</t>
  </si>
  <si>
    <t>FUR-FU-10003347</t>
  </si>
  <si>
    <t>TEC-AC-10004901</t>
  </si>
  <si>
    <t>CA-2015-114300</t>
  </si>
  <si>
    <t>TEC-PH-10001552</t>
  </si>
  <si>
    <t>FUR-CH-10001891</t>
  </si>
  <si>
    <t>CA-2016-134474</t>
  </si>
  <si>
    <t>TEC-AC-10001714</t>
  </si>
  <si>
    <t>OFF-AR-10003958</t>
  </si>
  <si>
    <t>TEC-PH-10002923</t>
  </si>
  <si>
    <t>CA-2014-149020</t>
  </si>
  <si>
    <t>OFF-LA-10004272</t>
  </si>
  <si>
    <t>FUR-FU-10000965</t>
  </si>
  <si>
    <t>US-2014-158638</t>
  </si>
  <si>
    <t>OFF-BI-10003712</t>
  </si>
  <si>
    <t>CA-2016-149797</t>
  </si>
  <si>
    <t>OFF-BI-10003650</t>
  </si>
  <si>
    <t>CA-2017-144932</t>
  </si>
  <si>
    <t>OFF-AR-10001468</t>
  </si>
  <si>
    <t>OFF-PA-10004971</t>
  </si>
  <si>
    <t>CA-2017-100314</t>
  </si>
  <si>
    <t>OFF-LA-10001569</t>
  </si>
  <si>
    <t>OFF-EN-10000461</t>
  </si>
  <si>
    <t>TEC-MA-10003066</t>
  </si>
  <si>
    <t>CA-2017-135034</t>
  </si>
  <si>
    <t>TEC-PH-10003931</t>
  </si>
  <si>
    <t>CA-2016-109820</t>
  </si>
  <si>
    <t>OFF-PA-10000955</t>
  </si>
  <si>
    <t>OFF-BI-10003460</t>
  </si>
  <si>
    <t>OFF-BI-10000474</t>
  </si>
  <si>
    <t>CA-2014-146969</t>
  </si>
  <si>
    <t>FUR-FU-10004188</t>
  </si>
  <si>
    <t>OFF-FA-10001561</t>
  </si>
  <si>
    <t>OFF-PA-10002105</t>
  </si>
  <si>
    <t>TEC-MA-10004241</t>
  </si>
  <si>
    <t>OFF-ST-10004340</t>
  </si>
  <si>
    <t>CA-2017-147039</t>
  </si>
  <si>
    <t>OFF-AP-10000576</t>
  </si>
  <si>
    <t>OFF-BI-10004654</t>
  </si>
  <si>
    <t>CA-2014-127964</t>
  </si>
  <si>
    <t>TEC-PH-10004700</t>
  </si>
  <si>
    <t>OFF-BI-10004593</t>
  </si>
  <si>
    <t>OFF-BI-10003429</t>
  </si>
  <si>
    <t>CA-2014-158064</t>
  </si>
  <si>
    <t>OFF-BI-10002976</t>
  </si>
  <si>
    <t>CA-2016-161207</t>
  </si>
  <si>
    <t>OFF-SU-10000381</t>
  </si>
  <si>
    <t>CA-2014-120243</t>
  </si>
  <si>
    <t>OFF-LA-10004425</t>
  </si>
  <si>
    <t>CA-2015-124268</t>
  </si>
  <si>
    <t>OFF-AR-10004817</t>
  </si>
  <si>
    <t>CA-2015-121391</t>
  </si>
  <si>
    <t>OFF-ST-10001590</t>
  </si>
  <si>
    <t>CA-2015-120439</t>
  </si>
  <si>
    <t>FUR-FU-10001867</t>
  </si>
  <si>
    <t>CA-2017-127705</t>
  </si>
  <si>
    <t>TEC-PH-10000347</t>
  </si>
  <si>
    <t>CA-2017-113481</t>
  </si>
  <si>
    <t>TEC-MA-10002178</t>
  </si>
  <si>
    <t>OFF-BI-10003694</t>
  </si>
  <si>
    <t>CA-2016-162901</t>
  </si>
  <si>
    <t>OFF-ST-10000649</t>
  </si>
  <si>
    <t>US-2017-155425</t>
  </si>
  <si>
    <t>OFF-BI-10001036</t>
  </si>
  <si>
    <t>TEC-MA-10003183</t>
  </si>
  <si>
    <t>TEC-AC-10001314</t>
  </si>
  <si>
    <t>TEC-PH-10002563</t>
  </si>
  <si>
    <t>FUR-CH-10003312</t>
  </si>
  <si>
    <t>US-2016-122245</t>
  </si>
  <si>
    <t>FUR-TA-10002356</t>
  </si>
  <si>
    <t>CA-2014-155271</t>
  </si>
  <si>
    <t>FUR-FU-10001473</t>
  </si>
  <si>
    <t>CA-2016-100468</t>
  </si>
  <si>
    <t>TEC-PH-10001300</t>
  </si>
  <si>
    <t>FUR-FU-10000010</t>
  </si>
  <si>
    <t>CA-2017-154935</t>
  </si>
  <si>
    <t>OFF-BI-10003708</t>
  </si>
  <si>
    <t>US-2017-160759</t>
  </si>
  <si>
    <t>FUR-CH-10002961</t>
  </si>
  <si>
    <t>CA-2017-120761</t>
  </si>
  <si>
    <t>TEC-AC-10000171</t>
  </si>
  <si>
    <t>CA-2015-129112</t>
  </si>
  <si>
    <t>TEC-AC-10003038</t>
  </si>
  <si>
    <t>OFF-BI-10000088</t>
  </si>
  <si>
    <t>CA-2017-165029</t>
  </si>
  <si>
    <t>OFF-AR-10003504</t>
  </si>
  <si>
    <t>CA-2016-154403</t>
  </si>
  <si>
    <t>OFF-PA-10001526</t>
  </si>
  <si>
    <t>CA-2017-158876</t>
  </si>
  <si>
    <t>OFF-PA-10000308</t>
  </si>
  <si>
    <t>OFF-SU-10001165</t>
  </si>
  <si>
    <t>OFF-AR-10003373</t>
  </si>
  <si>
    <t>FUR-FU-10001967</t>
  </si>
  <si>
    <t>CA-2017-101049</t>
  </si>
  <si>
    <t>FUR-FU-10004415</t>
  </si>
  <si>
    <t>OFF-BI-10001510</t>
  </si>
  <si>
    <t>CA-2017-143798</t>
  </si>
  <si>
    <t>OFF-PA-10000788</t>
  </si>
  <si>
    <t>US-2016-158708</t>
  </si>
  <si>
    <t>TEC-AC-10003133</t>
  </si>
  <si>
    <t>CA-2015-148376</t>
  </si>
  <si>
    <t>OFF-AP-10000240</t>
  </si>
  <si>
    <t>OFF-LA-10002381</t>
  </si>
  <si>
    <t>CA-2017-101483</t>
  </si>
  <si>
    <t>OFF-AP-10002082</t>
  </si>
  <si>
    <t>TEC-PH-10003442</t>
  </si>
  <si>
    <t>OFF-AR-10002833</t>
  </si>
  <si>
    <t>CA-2015-130785</t>
  </si>
  <si>
    <t>FUR-BO-10000330</t>
  </si>
  <si>
    <t>OFF-BI-10001900</t>
  </si>
  <si>
    <t>FUR-BO-10003159</t>
  </si>
  <si>
    <t>CA-2016-149461</t>
  </si>
  <si>
    <t>FUR-FU-10004270</t>
  </si>
  <si>
    <t>CA-2017-162691</t>
  </si>
  <si>
    <t>TEC-MA-10000488</t>
  </si>
  <si>
    <t>OFF-PA-10003729</t>
  </si>
  <si>
    <t>US-2017-158218</t>
  </si>
  <si>
    <t>OFF-ST-10000563</t>
  </si>
  <si>
    <t>OFF-BI-10002133</t>
  </si>
  <si>
    <t>CA-2017-118857</t>
  </si>
  <si>
    <t>FUR-FU-10004460</t>
  </si>
  <si>
    <t>US-2017-108063</t>
  </si>
  <si>
    <t>OFF-AR-10001446</t>
  </si>
  <si>
    <t>CA-2017-141789</t>
  </si>
  <si>
    <t>OFF-BI-10001359</t>
  </si>
  <si>
    <t>CA-2017-124597</t>
  </si>
  <si>
    <t>OFF-LA-10003190</t>
  </si>
  <si>
    <t>OFF-AR-10002280</t>
  </si>
  <si>
    <t>CA-2017-157987</t>
  </si>
  <si>
    <t>FUR-FU-10001196</t>
  </si>
  <si>
    <t>FUR-TA-10001889</t>
  </si>
  <si>
    <t>OFF-AP-10000358</t>
  </si>
  <si>
    <t>OFF-BI-10004970</t>
  </si>
  <si>
    <t>TEC-PH-10003885</t>
  </si>
  <si>
    <t>OFF-LA-10001641</t>
  </si>
  <si>
    <t>FUR-CH-10003379</t>
  </si>
  <si>
    <t>OFF-AR-10004582</t>
  </si>
  <si>
    <t>TEC-AC-10002842</t>
  </si>
  <si>
    <t>TEC-AC-10000109</t>
  </si>
  <si>
    <t>OFF-PA-10003893</t>
  </si>
  <si>
    <t>CA-2014-110408</t>
  </si>
  <si>
    <t>OFF-ST-10001522</t>
  </si>
  <si>
    <t>TEC-PH-10002352</t>
  </si>
  <si>
    <t>FUR-CH-10003774</t>
  </si>
  <si>
    <t>CA-2015-109939</t>
  </si>
  <si>
    <t>OFF-AR-10000127</t>
  </si>
  <si>
    <t>CA-2015-127509</t>
  </si>
  <si>
    <t>OFF-BI-10002393</t>
  </si>
  <si>
    <t>FUR-TA-10002855</t>
  </si>
  <si>
    <t>OFF-EN-10000781</t>
  </si>
  <si>
    <t>OFF-PA-10002160</t>
  </si>
  <si>
    <t>CA-2016-145905</t>
  </si>
  <si>
    <t>FUR-CH-10001854</t>
  </si>
  <si>
    <t>OFF-PA-10000533</t>
  </si>
  <si>
    <t>OFF-ST-10003716</t>
  </si>
  <si>
    <t>CA-2015-149678</t>
  </si>
  <si>
    <t>OFF-SU-10004498</t>
  </si>
  <si>
    <t>CA-2014-123295</t>
  </si>
  <si>
    <t>FUR-CH-10002372</t>
  </si>
  <si>
    <t>US-2017-139969</t>
  </si>
  <si>
    <t>FUR-CH-10001973</t>
  </si>
  <si>
    <t>CA-2015-123505</t>
  </si>
  <si>
    <t>OFF-PA-10002586</t>
  </si>
  <si>
    <t>CA-2016-118913</t>
  </si>
  <si>
    <t>OFF-AP-10000692</t>
  </si>
  <si>
    <t>CA-2016-128412</t>
  </si>
  <si>
    <t>OFF-BI-10001718</t>
  </si>
  <si>
    <t>OFF-PA-10001125</t>
  </si>
  <si>
    <t>OFF-AP-10000252</t>
  </si>
  <si>
    <t>CA-2016-136483</t>
  </si>
  <si>
    <t>OFF-AR-10000940</t>
  </si>
  <si>
    <t>US-2014-103905</t>
  </si>
  <si>
    <t>OFF-BI-10001098</t>
  </si>
  <si>
    <t>CA-2014-128055</t>
  </si>
  <si>
    <t>OFF-BI-10004390</t>
  </si>
  <si>
    <t>OFF-AP-10002765</t>
  </si>
  <si>
    <t>CA-2016-131065</t>
  </si>
  <si>
    <t>TEC-AC-10004145</t>
  </si>
  <si>
    <t>OFF-PA-10002479</t>
  </si>
  <si>
    <t>CA-2014-157882</t>
  </si>
  <si>
    <t>FUR-TA-10001866</t>
  </si>
  <si>
    <t>FUR-CH-10002774</t>
  </si>
  <si>
    <t>CA-2017-109701</t>
  </si>
  <si>
    <t>OFF-BI-10004187</t>
  </si>
  <si>
    <t>OFF-BI-10000632</t>
  </si>
  <si>
    <t>OFF-PA-10003724</t>
  </si>
  <si>
    <t>OFF-AR-10001868</t>
  </si>
  <si>
    <t>US-2016-108637</t>
  </si>
  <si>
    <t>FUR-FU-10004864</t>
  </si>
  <si>
    <t>OFF-AP-10004540</t>
  </si>
  <si>
    <t>OFF-BI-10004965</t>
  </si>
  <si>
    <t>CA-2017-145877</t>
  </si>
  <si>
    <t>OFF-EN-10001990</t>
  </si>
  <si>
    <t>CA-2014-162684</t>
  </si>
  <si>
    <t>OFF-FA-10000992</t>
  </si>
  <si>
    <t>CA-2014-148586</t>
  </si>
  <si>
    <t>FUR-CH-10002439</t>
  </si>
  <si>
    <t>CA-2016-146934</t>
  </si>
  <si>
    <t>TEC-PH-10004614</t>
  </si>
  <si>
    <t>FUR-TA-10003748</t>
  </si>
  <si>
    <t>OFF-AP-10003217</t>
  </si>
  <si>
    <t>TEC-AC-10002399</t>
  </si>
  <si>
    <t>OFF-EN-10002973</t>
  </si>
  <si>
    <t>TEC-PH-10001336</t>
  </si>
  <si>
    <t>CA-2015-100573</t>
  </si>
  <si>
    <t>CA-2017-147956</t>
  </si>
  <si>
    <t>OFF-ST-10001097</t>
  </si>
  <si>
    <t>CA-2016-136812</t>
  </si>
  <si>
    <t>OFF-ST-10003470</t>
  </si>
  <si>
    <t>US-2016-114174</t>
  </si>
  <si>
    <t>FUR-BO-10003450</t>
  </si>
  <si>
    <t>OFF-LA-10000248</t>
  </si>
  <si>
    <t>CA-2017-101042</t>
  </si>
  <si>
    <t>FUR-FU-10004665</t>
  </si>
  <si>
    <t>CA-2014-147298</t>
  </si>
  <si>
    <t>FUR-CH-10004886</t>
  </si>
  <si>
    <t>OFF-BI-10001525</t>
  </si>
  <si>
    <t>CA-2015-168186</t>
  </si>
  <si>
    <t>OFF-PA-10000477</t>
  </si>
  <si>
    <t>CA-2017-112515</t>
  </si>
  <si>
    <t>OFF-BI-10000829</t>
  </si>
  <si>
    <t>OFF-PA-10000062</t>
  </si>
  <si>
    <t>FUR-BO-10003404</t>
  </si>
  <si>
    <t>OFF-BI-10004233</t>
  </si>
  <si>
    <t>OFF-ST-10001272</t>
  </si>
  <si>
    <t>OFF-LA-10001175</t>
  </si>
  <si>
    <t>CA-2016-138079</t>
  </si>
  <si>
    <t>FUR-FU-10001475</t>
  </si>
  <si>
    <t>CA-2017-155873</t>
  </si>
  <si>
    <t>OFF-PA-10001246</t>
  </si>
  <si>
    <t>OFF-PA-10001815</t>
  </si>
  <si>
    <t>US-2015-165449</t>
  </si>
  <si>
    <t>TEC-AC-10004127</t>
  </si>
  <si>
    <t>US-2016-106677</t>
  </si>
  <si>
    <t>TEC-PH-10003187</t>
  </si>
  <si>
    <t>CA-2017-135650</t>
  </si>
  <si>
    <t>CA-2016-123617</t>
  </si>
  <si>
    <t>CA-2016-115588</t>
  </si>
  <si>
    <t>OFF-SU-10001225</t>
  </si>
  <si>
    <t>OFF-ST-10001558</t>
  </si>
  <si>
    <t>CA-2017-137428</t>
  </si>
  <si>
    <t>FUR-CH-10003817</t>
  </si>
  <si>
    <t>OFF-BI-10002949</t>
  </si>
  <si>
    <t>FUR-FU-10002445</t>
  </si>
  <si>
    <t>CA-2017-111808</t>
  </si>
  <si>
    <t>OFF-BI-10004656</t>
  </si>
  <si>
    <t>CA-2015-137512</t>
  </si>
  <si>
    <t>FUR-TA-10001095</t>
  </si>
  <si>
    <t>OFF-PA-10000213</t>
  </si>
  <si>
    <t>CA-2016-112893</t>
  </si>
  <si>
    <t>CA-2014-130729</t>
  </si>
  <si>
    <t>OFF-BI-10002706</t>
  </si>
  <si>
    <t>CA-2015-164441</t>
  </si>
  <si>
    <t>OFF-BI-10001922</t>
  </si>
  <si>
    <t>CA-2017-116855</t>
  </si>
  <si>
    <t>FUR-CH-10003846</t>
  </si>
  <si>
    <t>CA-2017-134173</t>
  </si>
  <si>
    <t>OFF-PA-10004355</t>
  </si>
  <si>
    <t>CA-2017-101749</t>
  </si>
  <si>
    <t>FUR-TA-10001520</t>
  </si>
  <si>
    <t>CA-2016-121671</t>
  </si>
  <si>
    <t>OFF-PA-10001471</t>
  </si>
  <si>
    <t>OFF-ST-10002344</t>
  </si>
  <si>
    <t>OFF-PA-10001892</t>
  </si>
  <si>
    <t>OFF-PA-10001934</t>
  </si>
  <si>
    <t>OFF-ST-10000078</t>
  </si>
  <si>
    <t>US-2016-148110</t>
  </si>
  <si>
    <t>FUR-CH-10002647</t>
  </si>
  <si>
    <t>CA-2014-109218</t>
  </si>
  <si>
    <t>OFF-AR-10001374</t>
  </si>
  <si>
    <t>US-2017-132059</t>
  </si>
  <si>
    <t>FUR-BO-10001811</t>
  </si>
  <si>
    <t>TEC-AC-10003280</t>
  </si>
  <si>
    <t>CA-2017-164000</t>
  </si>
  <si>
    <t>OFF-AR-10003183</t>
  </si>
  <si>
    <t>CA-2014-103702</t>
  </si>
  <si>
    <t>OFF-BI-10002429</t>
  </si>
  <si>
    <t>CA-2016-162747</t>
  </si>
  <si>
    <t>FUR-FU-10003691</t>
  </si>
  <si>
    <t>CA-2017-154732</t>
  </si>
  <si>
    <t>CA-2016-147536</t>
  </si>
  <si>
    <t>CA-2016-139234</t>
  </si>
  <si>
    <t>TEC-AC-10004510</t>
  </si>
  <si>
    <t>CA-2017-131212</t>
  </si>
  <si>
    <t>OFF-BI-10001617</t>
  </si>
  <si>
    <t>OFF-BI-10000145</t>
  </si>
  <si>
    <t>CA-2016-158869</t>
  </si>
  <si>
    <t>OFF-PA-10000474</t>
  </si>
  <si>
    <t>CA-2016-166485</t>
  </si>
  <si>
    <t>OFF-PA-10004996</t>
  </si>
  <si>
    <t>CA-2017-136448</t>
  </si>
  <si>
    <t>TEC-AC-10001109</t>
  </si>
  <si>
    <t>FUR-FU-10003832</t>
  </si>
  <si>
    <t>TEC-AC-10003628</t>
  </si>
  <si>
    <t>CA-2017-161823</t>
  </si>
  <si>
    <t>OFF-AR-10002053</t>
  </si>
  <si>
    <t>CA-2017-158729</t>
  </si>
  <si>
    <t>OFF-SU-10002881</t>
  </si>
  <si>
    <t>CA-2015-110093</t>
  </si>
  <si>
    <t>OFF-PA-10000174</t>
  </si>
  <si>
    <t>CA-2017-133004</t>
  </si>
  <si>
    <t>OFF-AP-10002439</t>
  </si>
  <si>
    <t>CA-2017-160416</t>
  </si>
  <si>
    <t>TEC-AC-10004114</t>
  </si>
  <si>
    <t>CA-2017-169411</t>
  </si>
  <si>
    <t>FUR-FU-10001602</t>
  </si>
  <si>
    <t>CA-2016-151155</t>
  </si>
  <si>
    <t>FUR-FU-10001918</t>
  </si>
  <si>
    <t>OFF-BI-10003910</t>
  </si>
  <si>
    <t>CA-2014-113047</t>
  </si>
  <si>
    <t>OFF-FA-10002763</t>
  </si>
  <si>
    <t>CA-2015-113628</t>
  </si>
  <si>
    <t>OFF-BI-10003291</t>
  </si>
  <si>
    <t>OFF-BI-10002799</t>
  </si>
  <si>
    <t>FUR-CH-10003298</t>
  </si>
  <si>
    <t>TEC-PH-10000441</t>
  </si>
  <si>
    <t>FUR-CH-10004477</t>
  </si>
  <si>
    <t>CA-2017-123246</t>
  </si>
  <si>
    <t>OFF-AR-10001770</t>
  </si>
  <si>
    <t>CA-2017-126788</t>
  </si>
  <si>
    <t>TEC-PH-10001619</t>
  </si>
  <si>
    <t>CA-2017-123001</t>
  </si>
  <si>
    <t>OFF-AR-10001919</t>
  </si>
  <si>
    <t>OFF-LA-10004544</t>
  </si>
  <si>
    <t>TEC-PH-10003484</t>
  </si>
  <si>
    <t>CA-2017-167871</t>
  </si>
  <si>
    <t>OFF-PA-10001977</t>
  </si>
  <si>
    <t>CA-2014-122588</t>
  </si>
  <si>
    <t>FUR-FU-10001095</t>
  </si>
  <si>
    <t>CA-2014-154963</t>
  </si>
  <si>
    <t>FUR-CH-10004698</t>
  </si>
  <si>
    <t>TEC-PH-10004093</t>
  </si>
  <si>
    <t>FUR-CH-10000454</t>
  </si>
  <si>
    <t>CA-2014-110786</t>
  </si>
  <si>
    <t>FUR-FU-10000550</t>
  </si>
  <si>
    <t>OFF-PA-10000528</t>
  </si>
  <si>
    <t>OFF-BI-10003305</t>
  </si>
  <si>
    <t>TEC-PH-10001425</t>
  </si>
  <si>
    <t>OFF-LA-10001474</t>
  </si>
  <si>
    <t>FUR-FU-10000672</t>
  </si>
  <si>
    <t>CA-2016-163573</t>
  </si>
  <si>
    <t>OFF-BI-10004632</t>
  </si>
  <si>
    <t>CA-2014-115336</t>
  </si>
  <si>
    <t>OFF-BI-10001107</t>
  </si>
  <si>
    <t>US-2016-164588</t>
  </si>
  <si>
    <t>OFF-AR-10003056</t>
  </si>
  <si>
    <t>CA-2017-115546</t>
  </si>
  <si>
    <t>TEC-PH-10002834</t>
  </si>
  <si>
    <t>OFF-ST-10002214</t>
  </si>
  <si>
    <t>CA-2015-160213</t>
  </si>
  <si>
    <t>OFF-PA-10003848</t>
  </si>
  <si>
    <t>CA-2016-143749</t>
  </si>
  <si>
    <t>FUR-BO-10002853</t>
  </si>
  <si>
    <t>CA-2014-145387</t>
  </si>
  <si>
    <t>OFF-AR-10001683</t>
  </si>
  <si>
    <t>OFF-PA-10002195</t>
  </si>
  <si>
    <t>FUR-FU-10002364</t>
  </si>
  <si>
    <t>OFF-BI-10004001</t>
  </si>
  <si>
    <t>FUR-FU-10000023</t>
  </si>
  <si>
    <t>FUR-CH-10002320</t>
  </si>
  <si>
    <t>FUR-TA-10003238</t>
  </si>
  <si>
    <t>CA-2017-109715</t>
  </si>
  <si>
    <t>OFF-PA-10004965</t>
  </si>
  <si>
    <t>CA-2015-111234</t>
  </si>
  <si>
    <t>OFF-LA-10002271</t>
  </si>
  <si>
    <t>US-2017-124821</t>
  </si>
  <si>
    <t>FUR-TA-10000688</t>
  </si>
  <si>
    <t>CA-2015-142692</t>
  </si>
  <si>
    <t>OFF-BI-10004140</t>
  </si>
  <si>
    <t>CA-2014-103100</t>
  </si>
  <si>
    <t>OFF-LA-10003720</t>
  </si>
  <si>
    <t>OFF-BI-10004600</t>
  </si>
  <si>
    <t>CA-2017-102407</t>
  </si>
  <si>
    <t>OFF-AR-10000122</t>
  </si>
  <si>
    <t>OFF-AP-10001394</t>
  </si>
  <si>
    <t>CA-2014-162278</t>
  </si>
  <si>
    <t>FUR-FU-10000448</t>
  </si>
  <si>
    <t>TEC-PH-10000526</t>
  </si>
  <si>
    <t>CA-2015-115945</t>
  </si>
  <si>
    <t>OFF-AR-10004062</t>
  </si>
  <si>
    <t>OFF-BI-10004330</t>
  </si>
  <si>
    <t>OFF-ST-10001963</t>
  </si>
  <si>
    <t>CA-2017-107748</t>
  </si>
  <si>
    <t>TEC-PH-10003215</t>
  </si>
  <si>
    <t>OFF-PA-10002005</t>
  </si>
  <si>
    <t>CA-2016-148740</t>
  </si>
  <si>
    <t>TEC-PH-10002549</t>
  </si>
  <si>
    <t>CA-2014-153983</t>
  </si>
  <si>
    <t>TEC-PH-10004586</t>
  </si>
  <si>
    <t>OFF-FA-10003495</t>
  </si>
  <si>
    <t>CA-2016-168893</t>
  </si>
  <si>
    <t>OFF-FA-10002280</t>
  </si>
  <si>
    <t>FUR-FU-10002885</t>
  </si>
  <si>
    <t>OFF-AR-10003772</t>
  </si>
  <si>
    <t>FUR-TA-10003392</t>
  </si>
  <si>
    <t>CA-2016-147137</t>
  </si>
  <si>
    <t>FUR-FU-10000221</t>
  </si>
  <si>
    <t>OFF-EN-10003567</t>
  </si>
  <si>
    <t>OFF-ST-10002486</t>
  </si>
  <si>
    <t>US-2015-146745</t>
  </si>
  <si>
    <t>OFF-BI-10003274</t>
  </si>
  <si>
    <t>CA-2017-126662</t>
  </si>
  <si>
    <t>TEC-CO-10004202</t>
  </si>
  <si>
    <t>CA-2015-110947</t>
  </si>
  <si>
    <t>OFF-BI-10001670</t>
  </si>
  <si>
    <t>US-2014-150126</t>
  </si>
  <si>
    <t>OFF-PA-10002709</t>
  </si>
  <si>
    <t>CA-2015-164427</t>
  </si>
  <si>
    <t>CA-2016-120250</t>
  </si>
  <si>
    <t>FUR-FU-10003424</t>
  </si>
  <si>
    <t>CA-2017-168228</t>
  </si>
  <si>
    <t>OFF-AR-10000390</t>
  </si>
  <si>
    <t>OFF-AR-10001725</t>
  </si>
  <si>
    <t>CA-2017-150987</t>
  </si>
  <si>
    <t>OFF-PA-10001878</t>
  </si>
  <si>
    <t>OFF-PA-10002923</t>
  </si>
  <si>
    <t>CA-2016-116232</t>
  </si>
  <si>
    <t>OFF-BI-10004022</t>
  </si>
  <si>
    <t>OFF-LA-10001158</t>
  </si>
  <si>
    <t>CA-2017-139416</t>
  </si>
  <si>
    <t>CA-2016-158435</t>
  </si>
  <si>
    <t>OFF-LA-10002475</t>
  </si>
  <si>
    <t>FUR-FU-10003975</t>
  </si>
  <si>
    <t>CA-2017-121643</t>
  </si>
  <si>
    <t>TEC-PH-10002200</t>
  </si>
  <si>
    <t>US-2014-167262</t>
  </si>
  <si>
    <t>TEC-PH-10000486</t>
  </si>
  <si>
    <t>CA-2017-104080</t>
  </si>
  <si>
    <t>OFF-BI-10003876</t>
  </si>
  <si>
    <t>OFF-AR-10001972</t>
  </si>
  <si>
    <t>US-2014-122021</t>
  </si>
  <si>
    <t>FUR-CH-10003761</t>
  </si>
  <si>
    <t>OFF-PA-10002230</t>
  </si>
  <si>
    <t>CA-2017-126438</t>
  </si>
  <si>
    <t>OFF-AR-10003338</t>
  </si>
  <si>
    <t>CA-2017-143245</t>
  </si>
  <si>
    <t>OFF-PA-10001972</t>
  </si>
  <si>
    <t>FUR-CH-10000155</t>
  </si>
  <si>
    <t>CA-2017-117926</t>
  </si>
  <si>
    <t>OFF-AP-10002670</t>
  </si>
  <si>
    <t>CA-2014-156587</t>
  </si>
  <si>
    <t>OFF-AR-10001427</t>
  </si>
  <si>
    <t>CA-2015-165050</t>
  </si>
  <si>
    <t>OFF-BI-10001031</t>
  </si>
  <si>
    <t>OFF-BI-10003727</t>
  </si>
  <si>
    <t>CA-2014-160066</t>
  </si>
  <si>
    <t>OFF-LA-10001045</t>
  </si>
  <si>
    <t>CA-2014-125171</t>
  </si>
  <si>
    <t>CA-2017-107321</t>
  </si>
  <si>
    <t>CA-2017-159688</t>
  </si>
  <si>
    <t>TEC-AC-10000736</t>
  </si>
  <si>
    <t>CA-2016-158694</t>
  </si>
  <si>
    <t>OFF-PA-10002421</t>
  </si>
  <si>
    <t>OFF-AP-10000055</t>
  </si>
  <si>
    <t>OFF-PA-10001363</t>
  </si>
  <si>
    <t>OFF-ST-10001496</t>
  </si>
  <si>
    <t>OFF-AR-10001227</t>
  </si>
  <si>
    <t>CA-2015-150511</t>
  </si>
  <si>
    <t>OFF-PA-10001776</t>
  </si>
  <si>
    <t>CA-2015-141243</t>
  </si>
  <si>
    <t>TEC-AC-10003198</t>
  </si>
  <si>
    <t>FUR-BO-10003272</t>
  </si>
  <si>
    <t>CA-2014-158442</t>
  </si>
  <si>
    <t>OFF-AR-10003732</t>
  </si>
  <si>
    <t>CA-2016-147970</t>
  </si>
  <si>
    <t>OFF-PA-10003936</t>
  </si>
  <si>
    <t>CA-2016-151323</t>
  </si>
  <si>
    <t>OFF-FA-10002983</t>
  </si>
  <si>
    <t>CA-2015-156146</t>
  </si>
  <si>
    <t>TEC-PH-10001700</t>
  </si>
  <si>
    <t>TEC-PH-10001527</t>
  </si>
  <si>
    <t>CA-2016-115378</t>
  </si>
  <si>
    <t>FUR-CH-10000863</t>
  </si>
  <si>
    <t>CA-2016-123015</t>
  </si>
  <si>
    <t>OFF-BI-10004967</t>
  </si>
  <si>
    <t>CA-2017-163335</t>
  </si>
  <si>
    <t>OFF-ST-10000885</t>
  </si>
  <si>
    <t>OFF-BI-10002827</t>
  </si>
  <si>
    <t>CA-2014-159709</t>
  </si>
  <si>
    <t>OFF-EN-10001434</t>
  </si>
  <si>
    <t>TEC-PH-10003988</t>
  </si>
  <si>
    <t>CA-2016-103982</t>
  </si>
  <si>
    <t>OFF-SU-10000151</t>
  </si>
  <si>
    <t>OFF-FA-10001332</t>
  </si>
  <si>
    <t>TEC-PH-10000895</t>
  </si>
  <si>
    <t>TEC-AC-10002857</t>
  </si>
  <si>
    <t>CA-2015-130876</t>
  </si>
  <si>
    <t>OFF-ST-10004258</t>
  </si>
  <si>
    <t>CA-2016-119865</t>
  </si>
  <si>
    <t>OFF-BI-10001553</t>
  </si>
  <si>
    <t>OFF-BI-10003007</t>
  </si>
  <si>
    <t>CA-2015-125185</t>
  </si>
  <si>
    <t>FUR-FU-10003247</t>
  </si>
  <si>
    <t>US-2017-104094</t>
  </si>
  <si>
    <t>TEC-AC-10002134</t>
  </si>
  <si>
    <t>US-2017-136784</t>
  </si>
  <si>
    <t>OFF-PA-10000675</t>
  </si>
  <si>
    <t>CA-2016-113831</t>
  </si>
  <si>
    <t>FUR-TA-10002645</t>
  </si>
  <si>
    <t>TEC-AC-10003033</t>
  </si>
  <si>
    <t>OFF-LA-10001297</t>
  </si>
  <si>
    <t>US-2014-139500</t>
  </si>
  <si>
    <t>FUR-CH-10002017</t>
  </si>
  <si>
    <t>CA-2017-111577</t>
  </si>
  <si>
    <t>CA-2014-113768</t>
  </si>
  <si>
    <t>OFF-PA-10003063</t>
  </si>
  <si>
    <t>CA-2016-138037</t>
  </si>
  <si>
    <t>OFF-BI-10002982</t>
  </si>
  <si>
    <t>CA-2015-118738</t>
  </si>
  <si>
    <t>OFF-PA-10003177</t>
  </si>
  <si>
    <t>FUR-TA-10002607</t>
  </si>
  <si>
    <t>OFF-PA-10001166</t>
  </si>
  <si>
    <t>CA-2017-123043</t>
  </si>
  <si>
    <t>OFF-BI-10000138</t>
  </si>
  <si>
    <t>CA-2014-132542</t>
  </si>
  <si>
    <t>OFF-BI-10004099</t>
  </si>
  <si>
    <t>CA-2017-155929</t>
  </si>
  <si>
    <t>OFF-PA-10000859</t>
  </si>
  <si>
    <t>CA-2015-142055</t>
  </si>
  <si>
    <t>OFF-PA-10003465</t>
  </si>
  <si>
    <t>CA-2015-168634</t>
  </si>
  <si>
    <t>OFF-AP-10001626</t>
  </si>
  <si>
    <t>CA-2016-147431</t>
  </si>
  <si>
    <t>OFF-ST-10003994</t>
  </si>
  <si>
    <t>CA-2017-106355</t>
  </si>
  <si>
    <t>OFF-AR-10000246</t>
  </si>
  <si>
    <t>CA-2015-166604</t>
  </si>
  <si>
    <t>OFF-EN-10004147</t>
  </si>
  <si>
    <t>CA-2015-104241</t>
  </si>
  <si>
    <t>CA-2017-142342</t>
  </si>
  <si>
    <t>OFF-PA-10004609</t>
  </si>
  <si>
    <t>OFF-EN-10002592</t>
  </si>
  <si>
    <t>OFF-ST-10002957</t>
  </si>
  <si>
    <t>FUR-BO-10002613</t>
  </si>
  <si>
    <t>CA-2016-145261</t>
  </si>
  <si>
    <t>OFF-AR-10004078</t>
  </si>
  <si>
    <t>OFF-PA-10003036</t>
  </si>
  <si>
    <t>TEC-AC-10000991</t>
  </si>
  <si>
    <t>FUR-TA-10002530</t>
  </si>
  <si>
    <t>OFF-LA-10000407</t>
  </si>
  <si>
    <t>TEC-PH-10004833</t>
  </si>
  <si>
    <t>CA-2016-126165</t>
  </si>
  <si>
    <t>FUR-TA-10001676</t>
  </si>
  <si>
    <t>CA-2017-126123</t>
  </si>
  <si>
    <t>OFF-BI-10000309</t>
  </si>
  <si>
    <t>OFF-BI-10004224</t>
  </si>
  <si>
    <t>CA-2017-116939</t>
  </si>
  <si>
    <t>OFF-ST-10001476</t>
  </si>
  <si>
    <t>CA-2015-110548</t>
  </si>
  <si>
    <t>TEC-PH-10002922</t>
  </si>
  <si>
    <t>CA-2015-150749</t>
  </si>
  <si>
    <t>CA-2017-126396</t>
  </si>
  <si>
    <t>TEC-AC-10003116</t>
  </si>
  <si>
    <t>CA-2014-105270</t>
  </si>
  <si>
    <t>OFF-AR-10003156</t>
  </si>
  <si>
    <t>FUR-CH-10000988</t>
  </si>
  <si>
    <t>US-2015-106495</t>
  </si>
  <si>
    <t>TEC-AC-10002718</t>
  </si>
  <si>
    <t>CA-2014-115056</t>
  </si>
  <si>
    <t>OFF-AP-10003971</t>
  </si>
  <si>
    <t>CA-2015-112214</t>
  </si>
  <si>
    <t>OFF-ST-10001505</t>
  </si>
  <si>
    <t>OFF-SU-10003567</t>
  </si>
  <si>
    <t>CA-2017-107244</t>
  </si>
  <si>
    <t>FUR-FU-10002597</t>
  </si>
  <si>
    <t>CA-2014-102652</t>
  </si>
  <si>
    <t>FUR-FU-10000747</t>
  </si>
  <si>
    <t>OFF-PA-10003309</t>
  </si>
  <si>
    <t>CA-2017-136007</t>
  </si>
  <si>
    <t>OFF-FA-10002701</t>
  </si>
  <si>
    <t>TEC-PH-10003589</t>
  </si>
  <si>
    <t>US-2017-152492</t>
  </si>
  <si>
    <t>CA-2016-131205</t>
  </si>
  <si>
    <t>OFF-BI-10000315</t>
  </si>
  <si>
    <t>OFF-ST-10002583</t>
  </si>
  <si>
    <t>OFF-AR-10003469</t>
  </si>
  <si>
    <t>CA-2017-145702</t>
  </si>
  <si>
    <t>FUR-CH-10001482</t>
  </si>
  <si>
    <t>CA-2015-151547</t>
  </si>
  <si>
    <t>OFF-SU-10000898</t>
  </si>
  <si>
    <t>CA-2016-150007</t>
  </si>
  <si>
    <t>OFF-LA-10001982</t>
  </si>
  <si>
    <t>OFF-BI-10004141</t>
  </si>
  <si>
    <t>US-2014-158400</t>
  </si>
  <si>
    <t>OFF-BI-10002353</t>
  </si>
  <si>
    <t>CA-2017-145737</t>
  </si>
  <si>
    <t>OFF-PA-10001033</t>
  </si>
  <si>
    <t>CA-2016-148096</t>
  </si>
  <si>
    <t>FUR-TA-10004152</t>
  </si>
  <si>
    <t>CA-2016-161928</t>
  </si>
  <si>
    <t>CA-2016-104150</t>
  </si>
  <si>
    <t>OFF-EN-10002504</t>
  </si>
  <si>
    <t>TEC-AC-10004803</t>
  </si>
  <si>
    <t>CA-2017-157903</t>
  </si>
  <si>
    <t>TEC-PH-10004345</t>
  </si>
  <si>
    <t>CA-2017-104927</t>
  </si>
  <si>
    <t>OFF-PA-10000019</t>
  </si>
  <si>
    <t>OFF-PA-10000176</t>
  </si>
  <si>
    <t>CA-2014-128538</t>
  </si>
  <si>
    <t>CA-2016-144400</t>
  </si>
  <si>
    <t>OFF-EN-10004386</t>
  </si>
  <si>
    <t>CA-2015-133977</t>
  </si>
  <si>
    <t>OFF-BI-10003166</t>
  </si>
  <si>
    <t>CA-2017-141425</t>
  </si>
  <si>
    <t>CA-2014-146731</t>
  </si>
  <si>
    <t>OFF-PA-10000141</t>
  </si>
  <si>
    <t>OFF-PA-10001019</t>
  </si>
  <si>
    <t>CA-2017-149706</t>
  </si>
  <si>
    <t>TEC-AC-10001284</t>
  </si>
  <si>
    <t>CA-2015-151253</t>
  </si>
  <si>
    <t>OFF-AR-10004691</t>
  </si>
  <si>
    <t>CA-2014-141313</t>
  </si>
  <si>
    <t>OFF-AP-10002651</t>
  </si>
  <si>
    <t>OFF-ST-10000689</t>
  </si>
  <si>
    <t>OFF-PA-10003302</t>
  </si>
  <si>
    <t>CA-2017-166919</t>
  </si>
  <si>
    <t>TEC-PH-10001305</t>
  </si>
  <si>
    <t>CA-2017-107552</t>
  </si>
  <si>
    <t>OFF-PA-10002947</t>
  </si>
  <si>
    <t>CA-2017-161557</t>
  </si>
  <si>
    <t>FUR-FU-10004622</t>
  </si>
  <si>
    <t>CA-2016-163216</t>
  </si>
  <si>
    <t>OFF-LA-10000134</t>
  </si>
  <si>
    <t>CA-2017-131632</t>
  </si>
  <si>
    <t>OFF-AR-10003651</t>
  </si>
  <si>
    <t>CA-2017-151211</t>
  </si>
  <si>
    <t>OFF-BI-10002735</t>
  </si>
  <si>
    <t>US-2017-133361</t>
  </si>
  <si>
    <t>OFF-AR-10003045</t>
  </si>
  <si>
    <t>US-2016-155404</t>
  </si>
  <si>
    <t>FUR-FU-10004586</t>
  </si>
  <si>
    <t>CA-2015-114503</t>
  </si>
  <si>
    <t>OFF-ST-10003572</t>
  </si>
  <si>
    <t>CA-2017-138289</t>
  </si>
  <si>
    <t>FUR-CH-10004626</t>
  </si>
  <si>
    <t>OFF-PA-10001260</t>
  </si>
  <si>
    <t>CA-2017-104731</t>
  </si>
  <si>
    <t>OFF-AR-10003727</t>
  </si>
  <si>
    <t>TEC-PH-10002660</t>
  </si>
  <si>
    <t>FUR-FU-10003274</t>
  </si>
  <si>
    <t>OFF-AR-10003829</t>
  </si>
  <si>
    <t>FUR-BO-10003441</t>
  </si>
  <si>
    <t>OFF-BI-10003355</t>
  </si>
  <si>
    <t>OFF-SU-10003505</t>
  </si>
  <si>
    <t>CA-2016-168921</t>
  </si>
  <si>
    <t>OFF-BI-10004209</t>
  </si>
  <si>
    <t>CA-2014-108609</t>
  </si>
  <si>
    <t>FUR-TA-10003954</t>
  </si>
  <si>
    <t>CA-2017-100230</t>
  </si>
  <si>
    <t>OFF-BI-10002498</t>
  </si>
  <si>
    <t>OFF-PA-10002245</t>
  </si>
  <si>
    <t>TEC-PH-10004522</t>
  </si>
  <si>
    <t>CA-2016-123946</t>
  </si>
  <si>
    <t>TEC-AC-10004877</t>
  </si>
  <si>
    <t>OFF-FA-10002975</t>
  </si>
  <si>
    <t>OFF-ST-10000419</t>
  </si>
  <si>
    <t>FUR-CH-10002073</t>
  </si>
  <si>
    <t>CA-2017-149468</t>
  </si>
  <si>
    <t>CA-2017-143021</t>
  </si>
  <si>
    <t>OFF-BI-10001628</t>
  </si>
  <si>
    <t>CA-2016-157588</t>
  </si>
  <si>
    <t>OFF-BI-10003963</t>
  </si>
  <si>
    <t>FUR-FU-10004848</t>
  </si>
  <si>
    <t>CA-2017-153822</t>
  </si>
  <si>
    <t>OFF-ST-10000321</t>
  </si>
  <si>
    <t>TEC-PH-10002415</t>
  </si>
  <si>
    <t>OFF-BI-10001460</t>
  </si>
  <si>
    <t>CA-2015-166800</t>
  </si>
  <si>
    <t>OFF-AP-10004868</t>
  </si>
  <si>
    <t>CA-2014-124737</t>
  </si>
  <si>
    <t>OFF-PA-10001837</t>
  </si>
  <si>
    <t>OFF-SU-10004661</t>
  </si>
  <si>
    <t>TEC-PH-10000149</t>
  </si>
  <si>
    <t>CA-2017-103443</t>
  </si>
  <si>
    <t>OFF-ST-10002276</t>
  </si>
  <si>
    <t>FUR-FU-10000308</t>
  </si>
  <si>
    <t>CA-2016-114209</t>
  </si>
  <si>
    <t>OFF-BI-10000343</t>
  </si>
  <si>
    <t>OFF-PA-10003591</t>
  </si>
  <si>
    <t>CA-2017-118724</t>
  </si>
  <si>
    <t>CA-2017-112004</t>
  </si>
  <si>
    <t>OFF-BI-10003476</t>
  </si>
  <si>
    <t>OFF-SU-10000157</t>
  </si>
  <si>
    <t>CA-2017-142909</t>
  </si>
  <si>
    <t>FUR-TA-10003008</t>
  </si>
  <si>
    <t>CA-2014-122070</t>
  </si>
  <si>
    <t>OFF-EN-10004773</t>
  </si>
  <si>
    <t>CA-2016-133368</t>
  </si>
  <si>
    <t>OFF-PA-10004039</t>
  </si>
  <si>
    <t>FUR-FU-10003374</t>
  </si>
  <si>
    <t>CA-2015-144519</t>
  </si>
  <si>
    <t>TEC-PH-10004908</t>
  </si>
  <si>
    <t>FUR-FU-10000794</t>
  </si>
  <si>
    <t>CA-2014-158281</t>
  </si>
  <si>
    <t>TEC-MA-10002210</t>
  </si>
  <si>
    <t>CA-2015-139780</t>
  </si>
  <si>
    <t>OFF-BI-10004139</t>
  </si>
  <si>
    <t>US-2014-115189</t>
  </si>
  <si>
    <t>TEC-PH-10002170</t>
  </si>
  <si>
    <t>CA-2016-105732</t>
  </si>
  <si>
    <t>OFF-LA-10004559</t>
  </si>
  <si>
    <t>TEC-PH-10001644</t>
  </si>
  <si>
    <t>OFF-SU-10004782</t>
  </si>
  <si>
    <t>OFF-PA-10002250</t>
  </si>
  <si>
    <t>OFF-PA-10001838</t>
  </si>
  <si>
    <t>FUR-FU-10003664</t>
  </si>
  <si>
    <t>TEC-PH-10004897</t>
  </si>
  <si>
    <t>CA-2014-103058</t>
  </si>
  <si>
    <t>US-2015-136987</t>
  </si>
  <si>
    <t>TEC-CO-10001943</t>
  </si>
  <si>
    <t>OFF-PA-10003127</t>
  </si>
  <si>
    <t>CA-2016-138282</t>
  </si>
  <si>
    <t>OFF-AP-10001366</t>
  </si>
  <si>
    <t>CA-2014-138100</t>
  </si>
  <si>
    <t>OFF-PA-10000349</t>
  </si>
  <si>
    <t>FUR-FU-10002456</t>
  </si>
  <si>
    <t>CA-2015-100734</t>
  </si>
  <si>
    <t>OFF-BI-10002609</t>
  </si>
  <si>
    <t>CA-2017-157196</t>
  </si>
  <si>
    <t>OFF-PA-10003172</t>
  </si>
  <si>
    <t>CA-2014-114181</t>
  </si>
  <si>
    <t>FUR-BO-10004467</t>
  </si>
  <si>
    <t>OFF-AR-10000716</t>
  </si>
  <si>
    <t>CA-2015-123113</t>
  </si>
  <si>
    <t>OFF-AP-10000275</t>
  </si>
  <si>
    <t>OFF-AR-10004999</t>
  </si>
  <si>
    <t>CA-2014-102330</t>
  </si>
  <si>
    <t>OFF-LA-10003923</t>
  </si>
  <si>
    <t>TEC-PH-10001051</t>
  </si>
  <si>
    <t>CA-2017-107958</t>
  </si>
  <si>
    <t>OFF-PA-10000357</t>
  </si>
  <si>
    <t>OFF-BI-10001787</t>
  </si>
  <si>
    <t>CA-2016-114601</t>
  </si>
  <si>
    <t>OFF-PA-10000605</t>
  </si>
  <si>
    <t>FUR-TA-10004147</t>
  </si>
  <si>
    <t>OFF-AR-10002578</t>
  </si>
  <si>
    <t>CA-2015-139374</t>
  </si>
  <si>
    <t>FUR-CH-10003981</t>
  </si>
  <si>
    <t>CA-2017-108287</t>
  </si>
  <si>
    <t>OFF-AR-10001315</t>
  </si>
  <si>
    <t>CA-2015-158323</t>
  </si>
  <si>
    <t>FUR-FU-10001546</t>
  </si>
  <si>
    <t>CA-2015-161795</t>
  </si>
  <si>
    <t>CA-2016-116603</t>
  </si>
  <si>
    <t>OFF-AP-10002892</t>
  </si>
  <si>
    <t>CA-2014-158470</t>
  </si>
  <si>
    <t>OFF-BI-10003638</t>
  </si>
  <si>
    <t>OFF-PA-10001569</t>
  </si>
  <si>
    <t>CA-2016-104311</t>
  </si>
  <si>
    <t>OFF-LA-10000973</t>
  </si>
  <si>
    <t>CA-2014-143210</t>
  </si>
  <si>
    <t>TEC-PH-10004434</t>
  </si>
  <si>
    <t>FUR-FU-10003878</t>
  </si>
  <si>
    <t>FUR-FU-10002268</t>
  </si>
  <si>
    <t>CA-2015-110863</t>
  </si>
  <si>
    <t>OFF-ST-10002756</t>
  </si>
  <si>
    <t>CA-2015-153738</t>
  </si>
  <si>
    <t>OFF-BI-10001308</t>
  </si>
  <si>
    <t>CA-2014-101392</t>
  </si>
  <si>
    <t>OFF-ST-10000532</t>
  </si>
  <si>
    <t>CA-2016-100993</t>
  </si>
  <si>
    <t>OFF-LA-10003223</t>
  </si>
  <si>
    <t>TEC-PH-10001448</t>
  </si>
  <si>
    <t>US-2017-146822</t>
  </si>
  <si>
    <t>OFF-PA-10000249</t>
  </si>
  <si>
    <t>CA-2016-144148</t>
  </si>
  <si>
    <t>FUR-TA-10002774</t>
  </si>
  <si>
    <t>CA-2017-107174</t>
  </si>
  <si>
    <t>TEC-AC-10001465</t>
  </si>
  <si>
    <t>CA-2015-136728</t>
  </si>
  <si>
    <t>OFF-EN-10002621</t>
  </si>
  <si>
    <t>CA-2017-125269</t>
  </si>
  <si>
    <t>OFF-ST-10004123</t>
  </si>
  <si>
    <t>CA-2014-152905</t>
  </si>
  <si>
    <t>CA-2015-138457</t>
  </si>
  <si>
    <t>OFF-BI-10000014</t>
  </si>
  <si>
    <t>CA-2014-131800</t>
  </si>
  <si>
    <t>OFF-AP-10004136</t>
  </si>
  <si>
    <t>CA-2016-134544</t>
  </si>
  <si>
    <t>TEC-PH-10003800</t>
  </si>
  <si>
    <t>CA-2016-147109</t>
  </si>
  <si>
    <t>TEC-AC-10002942</t>
  </si>
  <si>
    <t>CA-2015-151470</t>
  </si>
  <si>
    <t>OFF-BI-10004040</t>
  </si>
  <si>
    <t>CA-2014-131387</t>
  </si>
  <si>
    <t>TEC-PH-10001459</t>
  </si>
  <si>
    <t>CA-2014-146500</t>
  </si>
  <si>
    <t>OFF-BI-10002432</t>
  </si>
  <si>
    <t>CA-2015-144043</t>
  </si>
  <si>
    <t>US-2016-164196</t>
  </si>
  <si>
    <t>FUR-TA-10001950</t>
  </si>
  <si>
    <t>CA-2017-106824</t>
  </si>
  <si>
    <t>OFF-FA-10001135</t>
  </si>
  <si>
    <t>CA-2016-143154</t>
  </si>
  <si>
    <t>CA-2014-169061</t>
  </si>
  <si>
    <t>OFF-AR-10000588</t>
  </si>
  <si>
    <t>TEC-AC-10002001</t>
  </si>
  <si>
    <t>CA-2015-164084</t>
  </si>
  <si>
    <t>OFF-ST-10003638</t>
  </si>
  <si>
    <t>TEC-AC-10002305</t>
  </si>
  <si>
    <t>OFF-BI-10000605</t>
  </si>
  <si>
    <t>FUR-TA-10003569</t>
  </si>
  <si>
    <t>OFF-FA-10003059</t>
  </si>
  <si>
    <t>CA-2017-126634</t>
  </si>
  <si>
    <t>FUR-FU-10004973</t>
  </si>
  <si>
    <t>CA-2015-158918</t>
  </si>
  <si>
    <t>OFF-PA-10004947</t>
  </si>
  <si>
    <t>CA-2016-144015</t>
  </si>
  <si>
    <t>OFF-FA-10000624</t>
  </si>
  <si>
    <t>OFF-PA-10002870</t>
  </si>
  <si>
    <t>CA-2014-101427</t>
  </si>
  <si>
    <t>OFF-AR-10002257</t>
  </si>
  <si>
    <t>CA-2016-120824</t>
  </si>
  <si>
    <t>OFF-AP-10001242</t>
  </si>
  <si>
    <t>FUR-FU-10001424</t>
  </si>
  <si>
    <t>OFF-PA-10000232</t>
  </si>
  <si>
    <t>FUR-CH-10000229</t>
  </si>
  <si>
    <t>OFF-ST-10002562</t>
  </si>
  <si>
    <t>CA-2015-113222</t>
  </si>
  <si>
    <t>OFF-BI-10001890</t>
  </si>
  <si>
    <t>US-2017-129224</t>
  </si>
  <si>
    <t>CA-2015-169572</t>
  </si>
  <si>
    <t>CA-2016-140935</t>
  </si>
  <si>
    <t>TEC-PH-10000562</t>
  </si>
  <si>
    <t>FUR-BO-10003966</t>
  </si>
  <si>
    <t>CA-2014-157644</t>
  </si>
  <si>
    <t>TEC-AC-10003614</t>
  </si>
  <si>
    <t>OFF-LA-10003148</t>
  </si>
  <si>
    <t>CA-2015-115399</t>
  </si>
  <si>
    <t>US-2015-107944</t>
  </si>
  <si>
    <t>OFF-PA-10000659</t>
  </si>
  <si>
    <t>CA-2016-135594</t>
  </si>
  <si>
    <t>CA-2016-139934</t>
  </si>
  <si>
    <t>CA-2014-160276</t>
  </si>
  <si>
    <t>FUR-FU-10003192</t>
  </si>
  <si>
    <t>CA-2016-145709</t>
  </si>
  <si>
    <t>TEC-PH-10003095</t>
  </si>
  <si>
    <t>CA-2014-132913</t>
  </si>
  <si>
    <t>OFF-AP-10003278</t>
  </si>
  <si>
    <t>CA-2016-117121</t>
  </si>
  <si>
    <t>OFF-BI-10000545</t>
  </si>
  <si>
    <t>CA-2015-165554</t>
  </si>
  <si>
    <t>CA-2016-132304</t>
  </si>
  <si>
    <t>FUR-TA-10004619</t>
  </si>
  <si>
    <t>US-2017-148831</t>
  </si>
  <si>
    <t>OFF-ST-10002974</t>
  </si>
  <si>
    <t>US-2015-132836</t>
  </si>
  <si>
    <t>TEC-PH-10001299</t>
  </si>
  <si>
    <t>OFF-LA-10004178</t>
  </si>
  <si>
    <t>CA-2015-163181</t>
  </si>
  <si>
    <t>OFF-ST-10001713</t>
  </si>
  <si>
    <t>FUR-FU-10000193</t>
  </si>
  <si>
    <t>OFF-ST-10000129</t>
  </si>
  <si>
    <t>TEC-MA-10001016</t>
  </si>
  <si>
    <t>US-2017-147655</t>
  </si>
  <si>
    <t>OFF-BI-10002931</t>
  </si>
  <si>
    <t>CA-2016-160108</t>
  </si>
  <si>
    <t>FUR-CH-10002335</t>
  </si>
  <si>
    <t>CA-2017-140781</t>
  </si>
  <si>
    <t>TEC-AC-10000682</t>
  </si>
  <si>
    <t>CA-2015-167479</t>
  </si>
  <si>
    <t>US-2017-118157</t>
  </si>
  <si>
    <t>OFF-EN-10004459</t>
  </si>
  <si>
    <t>CA-2017-146983</t>
  </si>
  <si>
    <t>CA-2017-161340</t>
  </si>
  <si>
    <t>OFF-PA-10002464</t>
  </si>
  <si>
    <t>FUR-BO-10004709</t>
  </si>
  <si>
    <t>CA-2015-111948</t>
  </si>
  <si>
    <t>OFF-ST-10003282</t>
  </si>
  <si>
    <t>OFF-AP-10002311</t>
  </si>
  <si>
    <t>US-2017-108343</t>
  </si>
  <si>
    <t>FUR-CH-10002780</t>
  </si>
  <si>
    <t>CA-2015-164497</t>
  </si>
  <si>
    <t>OFF-AP-10004655</t>
  </si>
  <si>
    <t>CA-2017-110198</t>
  </si>
  <si>
    <t>FUR-BO-10001798</t>
  </si>
  <si>
    <t>OFF-LA-10004409</t>
  </si>
  <si>
    <t>CA-2015-126347</t>
  </si>
  <si>
    <t>TEC-AC-10003063</t>
  </si>
  <si>
    <t>CA-2016-160479</t>
  </si>
  <si>
    <t>OFF-AR-10002445</t>
  </si>
  <si>
    <t>CA-2016-158617</t>
  </si>
  <si>
    <t>CA-2014-122679</t>
  </si>
  <si>
    <t>OFF-AR-10004757</t>
  </si>
  <si>
    <t>CA-2017-118213</t>
  </si>
  <si>
    <t>OFF-PA-10002615</t>
  </si>
  <si>
    <t>OFF-PA-10000565</t>
  </si>
  <si>
    <t>OFF-PA-10003673</t>
  </si>
  <si>
    <t>CA-2017-101637</t>
  </si>
  <si>
    <t>OFF-ST-10002352</t>
  </si>
  <si>
    <t>CA-2016-148747</t>
  </si>
  <si>
    <t>US-2017-169488</t>
  </si>
  <si>
    <t>OFF-PA-10002659</t>
  </si>
  <si>
    <t>OFF-PA-10000157</t>
  </si>
  <si>
    <t>CA-2017-110940</t>
  </si>
  <si>
    <t>OFF-AR-10000380</t>
  </si>
  <si>
    <t>CA-2014-156160</t>
  </si>
  <si>
    <t>FUR-FU-10001876</t>
  </si>
  <si>
    <t>OFF-AR-10003876</t>
  </si>
  <si>
    <t>FUR-CH-10004983</t>
  </si>
  <si>
    <t>CA-2016-126270</t>
  </si>
  <si>
    <t>OFF-BI-10002764</t>
  </si>
  <si>
    <t>CA-2017-145275</t>
  </si>
  <si>
    <t>CA-2015-130113</t>
  </si>
  <si>
    <t>OFF-ST-10000046</t>
  </si>
  <si>
    <t>TEC-PH-10003505</t>
  </si>
  <si>
    <t>CA-2016-108210</t>
  </si>
  <si>
    <t>TEC-PH-10002293</t>
  </si>
  <si>
    <t>CA-2014-128062</t>
  </si>
  <si>
    <t>OFF-PA-10001583</t>
  </si>
  <si>
    <t>CA-2016-136322</t>
  </si>
  <si>
    <t>FUR-FU-10002878</t>
  </si>
  <si>
    <t>OFF-BI-10004817</t>
  </si>
  <si>
    <t>CA-2015-162201</t>
  </si>
  <si>
    <t>OFF-PA-10002581</t>
  </si>
  <si>
    <t>FUR-FU-10001185</t>
  </si>
  <si>
    <t>OFF-AR-10003856</t>
  </si>
  <si>
    <t>OFF-PA-10001215</t>
  </si>
  <si>
    <t>CA-2014-111360</t>
  </si>
  <si>
    <t>OFF-BI-10003350</t>
  </si>
  <si>
    <t>CA-2016-114405</t>
  </si>
  <si>
    <t>OFF-ST-10001627</t>
  </si>
  <si>
    <t>CA-2017-137421</t>
  </si>
  <si>
    <t>OFF-AR-10001761</t>
  </si>
  <si>
    <t>CA-2015-143700</t>
  </si>
  <si>
    <t>OFF-PA-10003072</t>
  </si>
  <si>
    <t>US-2016-103674</t>
  </si>
  <si>
    <t>TEC-PH-10004080</t>
  </si>
  <si>
    <t>OFF-AR-10004752</t>
  </si>
  <si>
    <t>TEC-PH-10002496</t>
  </si>
  <si>
    <t>OFF-FA-10003467</t>
  </si>
  <si>
    <t>OFF-BI-10002026</t>
  </si>
  <si>
    <t>Region ID</t>
  </si>
  <si>
    <t>Description</t>
  </si>
  <si>
    <t>Central</t>
  </si>
  <si>
    <t>Central part of the United States</t>
  </si>
  <si>
    <t>East</t>
  </si>
  <si>
    <t>Easten part of the United States</t>
  </si>
  <si>
    <t>N</t>
  </si>
  <si>
    <t>North</t>
  </si>
  <si>
    <t>Northern part of the United States</t>
  </si>
  <si>
    <t>South</t>
  </si>
  <si>
    <t>Southern part of the United States</t>
  </si>
  <si>
    <t>West</t>
  </si>
  <si>
    <t>Western part of the United States</t>
  </si>
  <si>
    <t>Category</t>
  </si>
  <si>
    <t>Sub-Category</t>
  </si>
  <si>
    <t>Product Name</t>
  </si>
  <si>
    <t>Item Cost</t>
  </si>
  <si>
    <t>Furniture</t>
  </si>
  <si>
    <t>Bookcases</t>
  </si>
  <si>
    <t>Sauder Camden County Barrister Bookcase, Planked Cherry Finish</t>
  </si>
  <si>
    <t>Bush Somerset Collection Bookcase</t>
  </si>
  <si>
    <t>Atlantic Metals Mobile 5-Shelf Bookcases, Custom Colors</t>
  </si>
  <si>
    <t>O'Sullivan 5-Shelf Heavy-Duty Bookcases</t>
  </si>
  <si>
    <t>Sauder Camden County Collection Libraries, Planked Cherry Finish</t>
  </si>
  <si>
    <t>O'Sullivan Living Dimensions 5-Shelf Bookcases</t>
  </si>
  <si>
    <t>Global Adaptabilites Bookcase, Cherry/Storm Gray Finish</t>
  </si>
  <si>
    <t>Bush Westfield Collection Bookcases, Fully Assembled</t>
  </si>
  <si>
    <t>Bush Westfield Collection Bookcases, Dark Cherry Finish</t>
  </si>
  <si>
    <t>Sauder Facets Collection Library, Sky Alder Finish</t>
  </si>
  <si>
    <t>Bestar Classic Bookcase</t>
  </si>
  <si>
    <t>Bush Westfield Collection Bookcases, Medium Cherry Finish</t>
  </si>
  <si>
    <t>Riverside Palais Royal Lawyers Bookcase, Royale Cherry Finish</t>
  </si>
  <si>
    <t>Chairs</t>
  </si>
  <si>
    <t>Global Comet Stacking Armless Chair</t>
  </si>
  <si>
    <t>Global Enterprise Series Seating High-Back Swivel/Tilt Chairs</t>
  </si>
  <si>
    <t>Hon Deluxe Fabric Upholstered Stacking Chairs, Rounded Back</t>
  </si>
  <si>
    <t>Novimex Swivel Fabric Task Chair</t>
  </si>
  <si>
    <t>Hon Olson Stacker Stools</t>
  </si>
  <si>
    <t>Office Star - Mesh Screen back chair with Vinyl seat</t>
  </si>
  <si>
    <t>Office Star - Professional Matrix Back Chair with 2-to-1 Synchro Tilt and Mesh Fabric Seat</t>
  </si>
  <si>
    <t>Global Deluxe Office Fabric Chairs</t>
  </si>
  <si>
    <t>Office Star Flex Back Scooter Chair with White Frame</t>
  </si>
  <si>
    <t>SAFCO Optional Arm Kit for Workspace Cribbage Stacking Chair</t>
  </si>
  <si>
    <t>Hon Olson Stacker Chairs</t>
  </si>
  <si>
    <t>Hon Pagoda Stacking Chairs</t>
  </si>
  <si>
    <t>Hon GuestStacker Chair</t>
  </si>
  <si>
    <t>Office Star - Ergonomically Designed Knee Chair</t>
  </si>
  <si>
    <t>Iceberg Nesting Folding Chair, 19w x 6d x 43h</t>
  </si>
  <si>
    <t>Situations Contoured Folding Chairs, 4/Set</t>
  </si>
  <si>
    <t>Global Deluxe Stacking Chair, Gray</t>
  </si>
  <si>
    <t>Office Star - Task Chair with Contemporary Loop Arms</t>
  </si>
  <si>
    <t>Leather Task Chair, Black</t>
  </si>
  <si>
    <t>Office Star - Contemporary Task Swivel chair with Loop Arms, Charcoal</t>
  </si>
  <si>
    <t>Hon 2090 ìPillow Softî Series Mid Back Swivel/Tilt Chairs</t>
  </si>
  <si>
    <t>Global Commerce Series High-Back Swivel/Tilt Chairs</t>
  </si>
  <si>
    <t>Global Italian Leather Office Chair</t>
  </si>
  <si>
    <t>Global Wood Trimmed Manager's Task Chair, Khaki</t>
  </si>
  <si>
    <t>Global Value Steno Chair, Gray</t>
  </si>
  <si>
    <t>Hon Valutask Swivel Chairs</t>
  </si>
  <si>
    <t>Global Commerce Series Low-Back Swivel/Tilt Chairs</t>
  </si>
  <si>
    <t>Global Deluxe High-Back Manager's Chair</t>
  </si>
  <si>
    <t>Global Push Button Manager's Chair, Indigo</t>
  </si>
  <si>
    <t>Office Star Flex Back Scooter Chair with Aluminum Finish Frame</t>
  </si>
  <si>
    <t>Padded Folding Chairs, Black, 4/Carton</t>
  </si>
  <si>
    <t>Bevis Steel Folding Chairs</t>
  </si>
  <si>
    <t>Office Star - Mid Back Dual function Ergonomic High Back Chair with 2-Way Adjustable Arms</t>
  </si>
  <si>
    <t>Furnishings</t>
  </si>
  <si>
    <t>DAX Value U-Channel Document Frames, Easel Back</t>
  </si>
  <si>
    <t>Eldon Wave Desk Accessories</t>
  </si>
  <si>
    <t>Tenex Chairmats For Use with Hard Floors</t>
  </si>
  <si>
    <t>Master Caster Door Stop, Brown</t>
  </si>
  <si>
    <t>Deflect-o Glass Clear Studded Chair Mats</t>
  </si>
  <si>
    <t>Tenex Chairmats For Use With Carpeted Floors</t>
  </si>
  <si>
    <t>Stacking Trays by OIC</t>
  </si>
  <si>
    <t>Executive Impressions 10" Spectator Wall Clock</t>
  </si>
  <si>
    <t>Tenex B1-RE Series Chair Mats for Low Pile Carpets</t>
  </si>
  <si>
    <t>Eldon Stackable Tray, Side-Load, Legal, Smoke</t>
  </si>
  <si>
    <t>Howard Miller 11-1/2" Diameter Ridgewood Wall Clock</t>
  </si>
  <si>
    <t>DAX Black Cherry Wood-Tone Poster Frame</t>
  </si>
  <si>
    <t>Advantus Employee of the Month Certificate Frame, 11 x 13-1/2</t>
  </si>
  <si>
    <t>DAX Cubicle Frames - 8x10</t>
  </si>
  <si>
    <t>Dax Clear Box Frame</t>
  </si>
  <si>
    <t>DAX Wood Document Frame</t>
  </si>
  <si>
    <t>Contract Clock, 14", Brown</t>
  </si>
  <si>
    <t>Dana Swing-Arm Lamps</t>
  </si>
  <si>
    <t>Eldon Delta Triangular Chair Mat, 52" x 58", Clear</t>
  </si>
  <si>
    <t>Eldon Expressions Desk Accessory, Wood Photo Frame, Mahogany</t>
  </si>
  <si>
    <t>Eldon Expressions Punched Metal &amp; Wood Desk Accessories, Pewter &amp; Cherry</t>
  </si>
  <si>
    <t>Computer Room Manger, 14"</t>
  </si>
  <si>
    <t>C-Line Cubicle Keepers Polyproplyene Holder With Velcro Backings</t>
  </si>
  <si>
    <t>3M Hangers With Command Adhesive</t>
  </si>
  <si>
    <t>Telescoping Adjustable Floor Lamp</t>
  </si>
  <si>
    <t>Ultra Door Push Plate</t>
  </si>
  <si>
    <t>Eldon Expressions Wood Desk Accessories, Oak</t>
  </si>
  <si>
    <t>DAX Two-Tone Rosewood/Black Document Frame, Desktop, 5 x 7</t>
  </si>
  <si>
    <t>Master Caster Door Stop, Large Neon Orange</t>
  </si>
  <si>
    <t>C-Line Magnetic Cubicle Keepers, Clear Polypropylene</t>
  </si>
  <si>
    <t>Electrix 20W Halogen Replacement Bulb for Zoom-In Desk Lamp</t>
  </si>
  <si>
    <t>Seth Thomas 14" Day/Date Wall Clock</t>
  </si>
  <si>
    <t>Magna Visual Magnetic Picture Hangers</t>
  </si>
  <si>
    <t>Luxo Adjustable Task Clamp Lamp</t>
  </si>
  <si>
    <t>36X48 HARDFLOOR CHAIRMAT</t>
  </si>
  <si>
    <t>Regeneration Desk Collection</t>
  </si>
  <si>
    <t>Coloredge Poster Frame</t>
  </si>
  <si>
    <t>Electrix Fluorescent Magnifier Lamps &amp; Weighted Base</t>
  </si>
  <si>
    <t>Tenex "The Solids" Textured Chair Mats</t>
  </si>
  <si>
    <t>Nu-Dell Oak Frame</t>
  </si>
  <si>
    <t>Electrix Architect's Clamp-On Swing Arm Lamp, Black</t>
  </si>
  <si>
    <t>Eldon Image Series Desk Accessories, Ebony</t>
  </si>
  <si>
    <t>Eldon Expressions Punched Metal &amp; Wood Desk Accessories, Black &amp; Cherry</t>
  </si>
  <si>
    <t>Linden 10" Round Wall Clock, Black</t>
  </si>
  <si>
    <t>Eldon Advantage Chair Mats for Low to Medium Pile Carpets</t>
  </si>
  <si>
    <t>Luxo Professional Combination Clamp-On Lamps</t>
  </si>
  <si>
    <t>Eldon Image Series Desk Accessories, Burgundy</t>
  </si>
  <si>
    <t>Electrix Halogen Magnifier Lamp</t>
  </si>
  <si>
    <t>Stacking Tray, Side-Loading, Legal, Smoke</t>
  </si>
  <si>
    <t>Howard Miller 12" Round Wall Clock</t>
  </si>
  <si>
    <t>G.E. Longer-Life Indoor Recessed Floodlight Bulbs</t>
  </si>
  <si>
    <t>Eldon Advantage Foldable Chair Mats for Low Pile Carpets</t>
  </si>
  <si>
    <t>3M Polarizing Task Lamp with Clamp Arm, Light Gray</t>
  </si>
  <si>
    <t>Howard Miller 13-3/4" Diameter Brushed Chrome Round Wall Clock</t>
  </si>
  <si>
    <t>Howard Miller 14-1/2" Diameter Chrome Round Wall Clock</t>
  </si>
  <si>
    <t>Flat Face Poster Frame</t>
  </si>
  <si>
    <t>Tables</t>
  </si>
  <si>
    <t>Chromcraft Bull-Nose Wood Round Conference Table Top, Wood Base</t>
  </si>
  <si>
    <t>Chromcraft Round Conference Tables</t>
  </si>
  <si>
    <t>Lesro Sheffield Collection Coffee Table, End Table, Center Table, Corner Table</t>
  </si>
  <si>
    <t>Hon 61000 Series Interactive Training Tables</t>
  </si>
  <si>
    <t>Bevis Round Conference Room Tables and Bases</t>
  </si>
  <si>
    <t>Bush Advantage Collection Racetrack Conference Table</t>
  </si>
  <si>
    <t>Balt Solid Wood Round Tables</t>
  </si>
  <si>
    <t>Bevis Boat-Shaped Conference Table</t>
  </si>
  <si>
    <t>Iceberg OfficeWorks 42" Round Tables</t>
  </si>
  <si>
    <t>KI Conference Tables</t>
  </si>
  <si>
    <t>Hon Rectangular Conference Tables</t>
  </si>
  <si>
    <t>Laminate Occasional Tables</t>
  </si>
  <si>
    <t>Bevis Round Conference Table Top &amp; Single Column Base</t>
  </si>
  <si>
    <t>Lesro Round Back Collection Coffee Table, End Table</t>
  </si>
  <si>
    <t>Chromcraft Bull-Nose Wood 48" x 96" Rectangular Conference Tables</t>
  </si>
  <si>
    <t>Global Adaptabilities Conference Tables</t>
  </si>
  <si>
    <t>Bretford CR8500 Series Meeting Room Furniture</t>
  </si>
  <si>
    <t>Bevis 36 x 72 Conference Tables</t>
  </si>
  <si>
    <t>Hon 94000 Series Round Tables</t>
  </si>
  <si>
    <t>Hon 4060 Series Tables</t>
  </si>
  <si>
    <t>Barricks 18" x 48" Non-Folding Utility Table with Bottom Storage Shelf</t>
  </si>
  <si>
    <t>Hon 5100 Series Wood Tables</t>
  </si>
  <si>
    <t>Hon Non-Folding Utility Tables</t>
  </si>
  <si>
    <t>Office Impressions End Table, 20-1/2"H x 24"W x 20"D</t>
  </si>
  <si>
    <t>Office Supplies</t>
  </si>
  <si>
    <t>Appliances</t>
  </si>
  <si>
    <t>Belkin F9S820V06 8 Outlet Surge</t>
  </si>
  <si>
    <t>Belkin F9G930V10-GRY 9 Outlet Surge</t>
  </si>
  <si>
    <t>Harmony HEPA Quiet Air Purifiers</t>
  </si>
  <si>
    <t>Sanyo Counter Height Refrigerator with Crisper, 3.6 Cubic Foot, Stainless Steel/Black</t>
  </si>
  <si>
    <t>Fellowes Basic Home/Office Series Surge Protectors</t>
  </si>
  <si>
    <t>Belkin 325VA UPS Surge Protector, 6'</t>
  </si>
  <si>
    <t>Fellowes Mighty 8 Compact Surge Protector</t>
  </si>
  <si>
    <t>APC 7 Outlet Network SurgeArrest Surge Protector</t>
  </si>
  <si>
    <t>Staple holder</t>
  </si>
  <si>
    <t>Harmony Air Purifier</t>
  </si>
  <si>
    <t>Belkin Premiere Surge Master II 8-outlet surge protector</t>
  </si>
  <si>
    <t>Commercial WindTunnel Clean Air Upright Vacuum, Replacement Belts, Filtration Bags</t>
  </si>
  <si>
    <t>Holmes HEPA Air Purifier</t>
  </si>
  <si>
    <t>Holmes Replacement Filter for HEPA Air Cleaner, Very Large Room, HEPA Filter</t>
  </si>
  <si>
    <t>Tripp Lite Isotel 8 Ultra 8 Outlet Metal Surge</t>
  </si>
  <si>
    <t>Hoover Upright Vacuum With Dirt Cup</t>
  </si>
  <si>
    <t>Belkin 8-Outlet Premiere SurgeMaster II Surge Protectors</t>
  </si>
  <si>
    <t>Acco 7-Outlet Masterpiece Power Center, Wihtout Fax/Phone Line Protection</t>
  </si>
  <si>
    <t>Fellowes Advanced Computer Series Surge Protectors</t>
  </si>
  <si>
    <t>Belkin F5C206VTEL 6 Outlet Surge</t>
  </si>
  <si>
    <t>Eureka Sanitaire  Commercial Upright</t>
  </si>
  <si>
    <t>Belkin 7-Outlet SurgeMaster Home Series</t>
  </si>
  <si>
    <t>Belkin 6 Outlet Metallic Surge Strip</t>
  </si>
  <si>
    <t>Kensington 6 Outlet SmartSocket Surge Protector</t>
  </si>
  <si>
    <t>Eureka The Boss Lite 10-Amp Upright Vacuum, Blue</t>
  </si>
  <si>
    <t>Holmes Visible Mist Ultrasonic Humidifier with 2.3-Gallon Output per Day, Replacement Filter</t>
  </si>
  <si>
    <t>Hoover Commercial Soft Guard Upright Vacuum And Disposable Filtration Bags</t>
  </si>
  <si>
    <t>Art</t>
  </si>
  <si>
    <t>Newell 314</t>
  </si>
  <si>
    <t>Newell 321</t>
  </si>
  <si>
    <t>Newell 318</t>
  </si>
  <si>
    <t>Hunt PowerHouse Electric Pencil Sharpener, Blue</t>
  </si>
  <si>
    <t>Newell Chalk Holder</t>
  </si>
  <si>
    <t>Newell 345</t>
  </si>
  <si>
    <t>Newell 324</t>
  </si>
  <si>
    <t>DIXON Ticonderoga Erasable Checking Pencils</t>
  </si>
  <si>
    <t>Newell 343</t>
  </si>
  <si>
    <t>Newell 338</t>
  </si>
  <si>
    <t>Newell 317</t>
  </si>
  <si>
    <t>Newell 310</t>
  </si>
  <si>
    <t>BIC Brite Liner Highlighters, Chisel Tip</t>
  </si>
  <si>
    <t>Newell 330</t>
  </si>
  <si>
    <t>Newell 309</t>
  </si>
  <si>
    <t>Sanford Prismacolor Professional Thick Lead Art Pencils, 36-Color Set</t>
  </si>
  <si>
    <t>Lumber Crayons</t>
  </si>
  <si>
    <t>Boston Home &amp; Office Model 2000 Electric Pencil Sharpeners</t>
  </si>
  <si>
    <t>Avery Hi-Liter Smear-Safe Highlighters</t>
  </si>
  <si>
    <t>Economy #2 Pencils</t>
  </si>
  <si>
    <t>Prang Dustless Chalk Sticks</t>
  </si>
  <si>
    <t>OIC #2 Pencils, Medium Soft</t>
  </si>
  <si>
    <t>Newell 323</t>
  </si>
  <si>
    <t>Premium Writing Pencils, Soft, #2 by Central Association for the Blind</t>
  </si>
  <si>
    <t>Eldon Spacemaker Box, Quick-Snap Lid, Clear</t>
  </si>
  <si>
    <t>Staples in misc. colors</t>
  </si>
  <si>
    <t>SANFORD Major Accent Highlighters</t>
  </si>
  <si>
    <t>Newell 335</t>
  </si>
  <si>
    <t>Newell 322</t>
  </si>
  <si>
    <t>Prang Colored Pencils</t>
  </si>
  <si>
    <t>Newell 341</t>
  </si>
  <si>
    <t>50 Colored Long Pencils</t>
  </si>
  <si>
    <t>Avery Fluorescent Highlighter Four-Color Set</t>
  </si>
  <si>
    <t>Eberhard Faber 3 1/2" Golf Pencils</t>
  </si>
  <si>
    <t>Boston School Pro Electric Pencil Sharpener, 1670</t>
  </si>
  <si>
    <t>Nontoxic Chalk</t>
  </si>
  <si>
    <t>Newell 347</t>
  </si>
  <si>
    <t>Zebra Zazzle Fluorescent Highlighters</t>
  </si>
  <si>
    <t>Newell 350</t>
  </si>
  <si>
    <t>Berol Giant Pencil Sharpener</t>
  </si>
  <si>
    <t>Newell 333</t>
  </si>
  <si>
    <t>Boston 16750 Black Compact Battery Pencil Sharpener</t>
  </si>
  <si>
    <t>Newell 35</t>
  </si>
  <si>
    <t>Newell 344</t>
  </si>
  <si>
    <t>Avery Hi-Liter GlideStik Fluorescent Highlighter, Yellow Ink</t>
  </si>
  <si>
    <t>Newell 337</t>
  </si>
  <si>
    <t>Newell 312</t>
  </si>
  <si>
    <t>BIC Brite Liner Grip Highlighters</t>
  </si>
  <si>
    <t>Boston 1730 StandUp Electric Pencil Sharpener</t>
  </si>
  <si>
    <t>Blackstonian Pencils</t>
  </si>
  <si>
    <t>Crayola Colored Pencils</t>
  </si>
  <si>
    <t>Colorific Watercolor Pencils</t>
  </si>
  <si>
    <t>Newell 315</t>
  </si>
  <si>
    <t>Binders</t>
  </si>
  <si>
    <t>Heavy-Duty E-Z-D Binders</t>
  </si>
  <si>
    <t>GBC Imprintable Covers</t>
  </si>
  <si>
    <t>Acco Translucent Poly Ring Binders</t>
  </si>
  <si>
    <t>Zipper Ring Binder Pockets</t>
  </si>
  <si>
    <t>GBC Twin Loop Wire Binding Elements, 9/16" Spine, Black</t>
  </si>
  <si>
    <t>Poly Designer Cover &amp; Back</t>
  </si>
  <si>
    <t>Pressboard Covers with Storage Hooks, 9 1/2" x 11", Light Blue</t>
  </si>
  <si>
    <t>Avery Printable Repositionable Plastic Tabs</t>
  </si>
  <si>
    <t>Avery Recycled Flexi-View Covers for Binding Systems</t>
  </si>
  <si>
    <t>GBC Ibimaster 500 Manual ProClick Binding System</t>
  </si>
  <si>
    <t>Acco Pressboard Covers with Storage Hooks, 9 1/2" x 11", Executive Red</t>
  </si>
  <si>
    <t>Satellite Sectional Post Binders</t>
  </si>
  <si>
    <t>Insertable Tab Post Binder Dividers</t>
  </si>
  <si>
    <t>GBC VeloBinder Electric Binding Machine</t>
  </si>
  <si>
    <t>Avery Non-Stick Binders</t>
  </si>
  <si>
    <t>Angle-D Ring Binders</t>
  </si>
  <si>
    <t>Pressboard Data Binders by Wilson Jones</t>
  </si>
  <si>
    <t>Cardinal EasyOpen D-Ring Binders</t>
  </si>
  <si>
    <t>Acco D-Ring Binder w/DublLock</t>
  </si>
  <si>
    <t>GBC White Gloss Covers, Plain Front</t>
  </si>
  <si>
    <t>GBC Standard Plastic Binding Systems' Combs</t>
  </si>
  <si>
    <t>GBC DocuBind TL300 Electric Binding System</t>
  </si>
  <si>
    <t>Plastic Binding Combs</t>
  </si>
  <si>
    <t>Deluxe Heavy-Duty Vinyl Round Ring Binder</t>
  </si>
  <si>
    <t>Acco Pressboard Covers with Storage Hooks, 14 7/8" x 11", Executive Red</t>
  </si>
  <si>
    <t>GBC VeloBinder Manual Binding System</t>
  </si>
  <si>
    <t>SpineVue Locking Slant-D Ring Binders by Cardinal</t>
  </si>
  <si>
    <t>GBC Wire Binding Combs</t>
  </si>
  <si>
    <t>Acco Data Flex Cable Posts For Top &amp; Bottom Load Binders, 6" Capacity</t>
  </si>
  <si>
    <t>Vinyl Sectional Post Binders</t>
  </si>
  <si>
    <t>GBC DocuBind P50 Personal Binding Machine</t>
  </si>
  <si>
    <t>Wilson Jones Four-Pocket Poly Binders</t>
  </si>
  <si>
    <t>Avery Poly Binder Pockets</t>
  </si>
  <si>
    <t>DXL Angle-View Binders with Locking Rings, Black</t>
  </si>
  <si>
    <t>Storex Dura Pro Binders</t>
  </si>
  <si>
    <t>Wilson Jones Custom Binder Spines &amp; Labels</t>
  </si>
  <si>
    <t>Ibico Recycled Linen-Style Covers</t>
  </si>
  <si>
    <t>Wilson Jones Elliptical Ring 3 1/2" Capacity Binders, 800 sheets</t>
  </si>
  <si>
    <t>Acco Hanging Data Binders</t>
  </si>
  <si>
    <t>Square Ring Data Binders, Rigid 75 Pt. Covers, 11" x 14-7/8"</t>
  </si>
  <si>
    <t>GBC VeloBind Cover Sets</t>
  </si>
  <si>
    <t>Binder Posts</t>
  </si>
  <si>
    <t>Premier Elliptical Ring Binder, Black</t>
  </si>
  <si>
    <t>Wilson Jones Standard D-Ring Binders</t>
  </si>
  <si>
    <t>Clear Mylar Reinforcing Strips</t>
  </si>
  <si>
    <t>Avery Hidden Tab Dividers for Binding Systems</t>
  </si>
  <si>
    <t>Avery Premier Heavy-Duty Binder with Round Locking Rings</t>
  </si>
  <si>
    <t>GBC Prestige Therm-A-Bind Covers</t>
  </si>
  <si>
    <t>Recycled Pressboard Report Cover with Reinforced Top Hinge</t>
  </si>
  <si>
    <t>SlimView Poly Binder, 3/8"</t>
  </si>
  <si>
    <t>Avery Durable Poly Binders</t>
  </si>
  <si>
    <t>Avery Trapezoid Extra Heavy Duty 4" Binders</t>
  </si>
  <si>
    <t>Prestige Round Ring Binders</t>
  </si>
  <si>
    <t>ACCOHIDE Binder by Acco</t>
  </si>
  <si>
    <t>Avery Self-Adhesive Photo Pockets for Polaroid Photos</t>
  </si>
  <si>
    <t>Premium Transparent Presentation Covers, No Pattern/Clear, 8 1/2" x 11"</t>
  </si>
  <si>
    <t>GBC Plasticlear Binding Covers</t>
  </si>
  <si>
    <t>Avery Durable Slant Ring Binders, No Labels</t>
  </si>
  <si>
    <t>Wilson Jones Leather-Like Binders with DublLock Round Rings</t>
  </si>
  <si>
    <t>Avery Hanging File Binders</t>
  </si>
  <si>
    <t>Tuff Stuff Recycled Round Ring Binders</t>
  </si>
  <si>
    <t>Acco Expandable Hanging Binders</t>
  </si>
  <si>
    <t>Cardinal Holdit Business Card Pockets</t>
  </si>
  <si>
    <t>Cardinal HOLDit! Binder Insert Strips,Extra Strips</t>
  </si>
  <si>
    <t>Acco 3-Hole Punch</t>
  </si>
  <si>
    <t>Avery Metallic Poly Binders</t>
  </si>
  <si>
    <t>GBC Durable Plastic Covers</t>
  </si>
  <si>
    <t>GBC DocuBind 300 Electric Binding Machine</t>
  </si>
  <si>
    <t>Avery 3 1/2" Diskette Storage Pages, 10/Pack</t>
  </si>
  <si>
    <t>Acco Four Pocket Poly Ring Binder with Label Holder, Smoke, 1"</t>
  </si>
  <si>
    <t>Acco Pressboard Covers with Storage Hooks, 14 7/8" x 11", Light Blue</t>
  </si>
  <si>
    <t>Avery Durable Slant Ring Binders With Label Holder</t>
  </si>
  <si>
    <t>Green Canvas Binder for 8-1/2" x 14" Sheets</t>
  </si>
  <si>
    <t>DXL Angle-View Binders with Locking Rings by Samsill</t>
  </si>
  <si>
    <t>Cardinal Holdit Data Disk Pockets</t>
  </si>
  <si>
    <t>GBC Recycled VeloBinder Covers</t>
  </si>
  <si>
    <t>Acco Suede Grain Vinyl Round Ring Binder</t>
  </si>
  <si>
    <t>Wilson Jones Impact Binders</t>
  </si>
  <si>
    <t>GBC VeloBinder Strips</t>
  </si>
  <si>
    <t>Fellowes Presentation Covers for Comb Binding Machines</t>
  </si>
  <si>
    <t>Insertable Tab Indexes For Data Binders</t>
  </si>
  <si>
    <t>3-ring staple pack</t>
  </si>
  <si>
    <t>Fellowes Twister Kit, Gray/Clear, 3/pkg</t>
  </si>
  <si>
    <t>Catalog Binders with Expanding Posts</t>
  </si>
  <si>
    <t>GBC Pre-Punched Binding Paper, Plastic, White, 8-1/2" x 11"</t>
  </si>
  <si>
    <t>GBC Velobind Prepunched Cover Sets, Regency Series</t>
  </si>
  <si>
    <t>GBC DocuBind 200 Manual Binding Machine</t>
  </si>
  <si>
    <t>Ibico Laser Imprintable Binding System Covers</t>
  </si>
  <si>
    <t>Ibico Ibimaster 300 Manual Binding System</t>
  </si>
  <si>
    <t>Ibico Hi-Tech Manual Binding System</t>
  </si>
  <si>
    <t>Avery Binding System Hidden Tab Executive Style Index Sets</t>
  </si>
  <si>
    <t>Peel &amp; Stick Add-On Corner Pockets</t>
  </si>
  <si>
    <t>GBC Personal VeloBind Strips</t>
  </si>
  <si>
    <t>Ibico Covers for Plastic or Wire Binding Elements</t>
  </si>
  <si>
    <t>Round Ring Binders</t>
  </si>
  <si>
    <t>ACCOHIDE 3-Ring Binder, Blue, 1"</t>
  </si>
  <si>
    <t>GBC DocuBind P400 Electric Binding System</t>
  </si>
  <si>
    <t>Envelopes</t>
  </si>
  <si>
    <t>#10- 4 1/8" x 9 1/2" Recycled Envelopes</t>
  </si>
  <si>
    <t>#10- 4 1/8" x 9 1/2" Security-Tint Envelopes</t>
  </si>
  <si>
    <t>Strathmore #10 Envelopes, Ultimate White</t>
  </si>
  <si>
    <t>Staple envelope</t>
  </si>
  <si>
    <t>Tyvek  Top-Opening Peel &amp; Seel Envelopes, Plain White</t>
  </si>
  <si>
    <t>Peel &amp; Seel Recycled Catalog Envelopes, Brown</t>
  </si>
  <si>
    <t>Ampad #10 Peel &amp; Seel Holiday Envelopes</t>
  </si>
  <si>
    <t>Inter-Office Recycled Envelopes, Brown Kraft, Button-String,10" x 13" , 100/Box</t>
  </si>
  <si>
    <t>Colored Envelopes</t>
  </si>
  <si>
    <t>Wausau Papers Astrobrights Colored Envelopes</t>
  </si>
  <si>
    <t>Recycled Interoffice Envelopes with String and Button Closure, 10 x 13</t>
  </si>
  <si>
    <t>Security-Tint Envelopes</t>
  </si>
  <si>
    <t>Fasteners</t>
  </si>
  <si>
    <t>OIC Binder Clips</t>
  </si>
  <si>
    <t>Acco Clips to Go Binder Clips, 24 Clips in Two Sizes</t>
  </si>
  <si>
    <t>Brites Rubber Bands, 1 1/2 oz. Box</t>
  </si>
  <si>
    <t>Acco Banker's Clasps, 5 3/4"-Long</t>
  </si>
  <si>
    <t>Stockwell Push Pins</t>
  </si>
  <si>
    <t>Advantus Plastic Paper Clips</t>
  </si>
  <si>
    <t>Alliance Rubber Bands</t>
  </si>
  <si>
    <t>Advantus Map Pennant Flags and Round Head Tacks</t>
  </si>
  <si>
    <t>Staples</t>
  </si>
  <si>
    <t>Advantus SlideClip Paper Clips</t>
  </si>
  <si>
    <t>Assorted Color Push Pins</t>
  </si>
  <si>
    <t>Alliance Big Bands Rubber Bands, 12/Pack</t>
  </si>
  <si>
    <t>Labels</t>
  </si>
  <si>
    <t>Avery 511</t>
  </si>
  <si>
    <t>Avery 52</t>
  </si>
  <si>
    <t>Avery White Multi-Purpose Labels</t>
  </si>
  <si>
    <t>Avery 502</t>
  </si>
  <si>
    <t>Permanent Self-Adhesive File Folder Labels for Typewriters by Universal</t>
  </si>
  <si>
    <t>Avery Address/Shipping Labels for Typewriters, 4" x 2"</t>
  </si>
  <si>
    <t>Avery 514</t>
  </si>
  <si>
    <t>Avery 473</t>
  </si>
  <si>
    <t>Avery 477</t>
  </si>
  <si>
    <t>Avery 499</t>
  </si>
  <si>
    <t>Avery 518</t>
  </si>
  <si>
    <t>Smead Alpha-Z Color-Coded Name Labels First Letter Starter Set</t>
  </si>
  <si>
    <t>Avery 489</t>
  </si>
  <si>
    <t>Smead Alpha-Z Color-Coded Second Alphabetical Labels and Starter Set</t>
  </si>
  <si>
    <t>Avery 497</t>
  </si>
  <si>
    <t>Avery 519</t>
  </si>
  <si>
    <t>Avery 51</t>
  </si>
  <si>
    <t>Avery 474</t>
  </si>
  <si>
    <t>Avery 508</t>
  </si>
  <si>
    <t>Avery 487</t>
  </si>
  <si>
    <t>Alphabetical Labels for Top Tab Filing</t>
  </si>
  <si>
    <t>Avery 491</t>
  </si>
  <si>
    <t>Avery 482</t>
  </si>
  <si>
    <t>Avery 492</t>
  </si>
  <si>
    <t>Staple-on labels</t>
  </si>
  <si>
    <t>Avery 505</t>
  </si>
  <si>
    <t>Avery 49</t>
  </si>
  <si>
    <t>Paper</t>
  </si>
  <si>
    <t>Xerox 1931</t>
  </si>
  <si>
    <t>Green Bar Computer Printout Paper</t>
  </si>
  <si>
    <t>Ampad Evidence Wirebond Steno Books, 6" x 9"</t>
  </si>
  <si>
    <t>Xerox 191</t>
  </si>
  <si>
    <t>Message Book, Wirebound, Four 5 1/2" X 4" Forms/Pg., 200 Dupl. Sets/Book</t>
  </si>
  <si>
    <t>Xerox 1887</t>
  </si>
  <si>
    <t>Xerox 198</t>
  </si>
  <si>
    <t>Xerox 1975</t>
  </si>
  <si>
    <t>Easy-staple paper</t>
  </si>
  <si>
    <t>Xerox 1901</t>
  </si>
  <si>
    <t>White Dual Perf Computer Printout Paper, 2700 Sheets, 1 Part, Heavyweight, 20 lbs., 14 7/8 x 11</t>
  </si>
  <si>
    <t>Xerox 1952</t>
  </si>
  <si>
    <t>Xerox 1981</t>
  </si>
  <si>
    <t>Southworth Parchment Paper &amp; Envelopes</t>
  </si>
  <si>
    <t>Xerox 1950</t>
  </si>
  <si>
    <t>TOPS Carbonless Receipt Book, Four 2-3/4 x 7-1/4 Money Receipts per Page</t>
  </si>
  <si>
    <t>Post-it ìImportant Messageî Note Pad, Neon Colors, 50 Sheets/Pad</t>
  </si>
  <si>
    <t>Xerox 1919</t>
  </si>
  <si>
    <t>Xerox 1977</t>
  </si>
  <si>
    <t>Xerox 210</t>
  </si>
  <si>
    <t>Unpadded Memo Slips</t>
  </si>
  <si>
    <t>Southworth 25% Cotton Granite Paper &amp; Envelopes</t>
  </si>
  <si>
    <t>Xerox 1884</t>
  </si>
  <si>
    <t>Xerox 1893</t>
  </si>
  <si>
    <t>Xerox 1988</t>
  </si>
  <si>
    <t>Xerox 2</t>
  </si>
  <si>
    <t>Xerox 1963</t>
  </si>
  <si>
    <t>Xerox 215</t>
  </si>
  <si>
    <t>TOPS Money Receipt Book, Consecutively Numbered in Red,</t>
  </si>
  <si>
    <t>Xerox 1933</t>
  </si>
  <si>
    <t>Strathmore Photo Frame Cards</t>
  </si>
  <si>
    <t>Xerox 1949</t>
  </si>
  <si>
    <t>Xerox 232</t>
  </si>
  <si>
    <t>1/4 Fold Party Design Invitations &amp; White Envelopes, 24 8-1/2" X 11" Cards, 25 Env./Pack</t>
  </si>
  <si>
    <t>Great White Multi-Use Recycled Paper (20Lb. and 84 Bright)</t>
  </si>
  <si>
    <t>Wirebound Message Books, Four 2 3/4" x 5" Forms per Page, 600 Sets per Book</t>
  </si>
  <si>
    <t>Xerox 1885</t>
  </si>
  <si>
    <t>Xerox 1976</t>
  </si>
  <si>
    <t>Adams Telephone Message Book W/Dividers/Space For Phone Numbers, 5 1/4"X8 1/2", 300/Messages</t>
  </si>
  <si>
    <t>Xerox 1891</t>
  </si>
  <si>
    <t>Rediform Wirebound "Phone Memo" Message Book, 11 x 5-3/4</t>
  </si>
  <si>
    <t>Xerox 1993</t>
  </si>
  <si>
    <t>Xerox 21</t>
  </si>
  <si>
    <t>Southworth 25% Cotton Antique Laid Paper &amp; Envelopes</t>
  </si>
  <si>
    <t>Xerox 1881</t>
  </si>
  <si>
    <t>Xerox 214</t>
  </si>
  <si>
    <t>Xerox 194</t>
  </si>
  <si>
    <t>Xerox 223</t>
  </si>
  <si>
    <t>Xerox 1889</t>
  </si>
  <si>
    <t>Xerox 1978</t>
  </si>
  <si>
    <t>RSVP Cards &amp; Envelopes, Blank White, 8-1/2" X 11", 24 Cards/25 Envelopes/Set</t>
  </si>
  <si>
    <t>Xerox 1897</t>
  </si>
  <si>
    <t>Xerox 1895</t>
  </si>
  <si>
    <t>Things To Do Today Pad</t>
  </si>
  <si>
    <t>Xerox 1967</t>
  </si>
  <si>
    <t>Embossed Ink Jet Note Cards</t>
  </si>
  <si>
    <t>HP Office Recycled Paper (20Lb. and 87 Bright)</t>
  </si>
  <si>
    <t>Xerox 4200 Series MultiUse Premium Copy Paper (20Lb. and 84 Bright)</t>
  </si>
  <si>
    <t>Xerox 1951</t>
  </si>
  <si>
    <t>Xerox 1970</t>
  </si>
  <si>
    <t>Ampad Gold Fibre Wirebound Steno Books, 6" x 9", Gregg Ruled</t>
  </si>
  <si>
    <t>Avoid Verbal Orders Carbonless Minifold Book</t>
  </si>
  <si>
    <t>Xerox 1956</t>
  </si>
  <si>
    <t>Ampad Phone Message Book, Recycled, 400 Message Capacity, 5 æî x 11î</t>
  </si>
  <si>
    <t>Xerox 1942</t>
  </si>
  <si>
    <t>Xerox 1923</t>
  </si>
  <si>
    <t>Xerox 1898</t>
  </si>
  <si>
    <t>Black Print Carbonless 8 1/2" x 8 1/4" Rapid Memo Book</t>
  </si>
  <si>
    <t>EcoTones Memo Sheets</t>
  </si>
  <si>
    <t>Eureka Recycled Copy Paper 8 1/2" x 11", Ream</t>
  </si>
  <si>
    <t>Xerox 1996</t>
  </si>
  <si>
    <t>Xerox 1999</t>
  </si>
  <si>
    <t>Xerox 1906</t>
  </si>
  <si>
    <t>Xerox 211</t>
  </si>
  <si>
    <t>Xerox 226</t>
  </si>
  <si>
    <t>Xerox 1912</t>
  </si>
  <si>
    <t>Southworth 100% Cotton The Best Paper</t>
  </si>
  <si>
    <t>Strathmore Photo Mount Cards</t>
  </si>
  <si>
    <t>Wirebound Message Book, 4 per Page</t>
  </si>
  <si>
    <t>Xerox 1998</t>
  </si>
  <si>
    <t>Xerox 1997</t>
  </si>
  <si>
    <t>Xerox 1943</t>
  </si>
  <si>
    <t>Xerox 1962</t>
  </si>
  <si>
    <t>Xerox 1994</t>
  </si>
  <si>
    <t>Xerox 1882</t>
  </si>
  <si>
    <t>Xerox 231</t>
  </si>
  <si>
    <t>Adams Write n' Stick Phone Message Book, 11" X 5 1/4", 200 Messages</t>
  </si>
  <si>
    <t>Xerox 221</t>
  </si>
  <si>
    <t>Southworth Structures Collection</t>
  </si>
  <si>
    <t>Xerox 1921</t>
  </si>
  <si>
    <t>Xerox 196</t>
  </si>
  <si>
    <t>Speediset Carbonless Redi-Letter 7" x 8 1/2"</t>
  </si>
  <si>
    <t>Storage</t>
  </si>
  <si>
    <t>Fellowes Super Stor/Drawer Files</t>
  </si>
  <si>
    <t>Tennsco 6- and 18-Compartment Lockers</t>
  </si>
  <si>
    <t>Fellowes Super Stor/Drawer</t>
  </si>
  <si>
    <t>Fellowes Recycled Storage Drawers</t>
  </si>
  <si>
    <t>Akro Stacking Bins</t>
  </si>
  <si>
    <t>Rogers Jumbo File, Granite</t>
  </si>
  <si>
    <t>Advantus Rolling Drawer Organizers</t>
  </si>
  <si>
    <t>Fellowes Bankers Box Stor/Drawer Steel Plus</t>
  </si>
  <si>
    <t>Hanging Personal Folder File</t>
  </si>
  <si>
    <t>Fellowes Strictly Business Drawer File, Letter/Legal Size</t>
  </si>
  <si>
    <t>Eldon Simplefile Box Office</t>
  </si>
  <si>
    <t>Fellowes Desktop Hanging File Manager</t>
  </si>
  <si>
    <t>Contico 72"H Heavy-Duty Storage System</t>
  </si>
  <si>
    <t>Office Impressions Heavy Duty Welded Shelving &amp; Multimedia Storage Drawers</t>
  </si>
  <si>
    <t>Mini 13-1/2 Capacity Data Binder Rack, Pearl</t>
  </si>
  <si>
    <t>Sterilite Officeware Hinged File Box</t>
  </si>
  <si>
    <t>Personal Filing Tote with Lid, Black/Gray</t>
  </si>
  <si>
    <t>Steel Personal Filing/Posting Tote</t>
  </si>
  <si>
    <t>Hot File 7-Pocket, Floor Stand</t>
  </si>
  <si>
    <t>Standard Rollaway File with Lock</t>
  </si>
  <si>
    <t>Perma STOR-ALL Hanging File Box, 13 1/8"W x 12 1/4"D x 10 1/2"H</t>
  </si>
  <si>
    <t>Gould Plastics 18-Pocket Panel Bin, 34w x 5-1/4d x 20-1/2h</t>
  </si>
  <si>
    <t>Acco Perma 4000 Stacking Storage Drawers</t>
  </si>
  <si>
    <t>Super Decoflex Portable Personal File</t>
  </si>
  <si>
    <t>Tenex Personal Project File with Scoop Front Design, Black</t>
  </si>
  <si>
    <t>Eldon Jumbo ProFile Portable File Boxes Graphite/Black</t>
  </si>
  <si>
    <t>Gould Plastics 9-Pocket Panel Bin, 18-3/8w x 5-1/4d x 20-1/2h, Black</t>
  </si>
  <si>
    <t>Fellowes Officeware Wire Shelving</t>
  </si>
  <si>
    <t>Tennsco Regal Shelving Units</t>
  </si>
  <si>
    <t>X-Rack File for Hanging Folders</t>
  </si>
  <si>
    <t>Safco Steel Mobile File Cart</t>
  </si>
  <si>
    <t>Carina 42"Hx23 3/4"W Media Storage Unit</t>
  </si>
  <si>
    <t>Iris Project Case</t>
  </si>
  <si>
    <t>Eldon Shelf Savers Cubes and Bins</t>
  </si>
  <si>
    <t>Staple magnet</t>
  </si>
  <si>
    <t>Fellowes Neat Ideas Storage Cubes</t>
  </si>
  <si>
    <t>Tennsco Stur-D-Stor Boltless Shelving, 5 Shelves, 24" Deep, Sand</t>
  </si>
  <si>
    <t>Sterilite Show Offs Storage Containers</t>
  </si>
  <si>
    <t>Trav-L-File Heavy-Duty Shuttle II, Black</t>
  </si>
  <si>
    <t>Advantus 10-Drawer Portable Organizer, Chrome Metal Frame, Smoke Drawers</t>
  </si>
  <si>
    <t>Tennsco Snap-Together Open Shelving Units, Starter Sets and Add-On Units</t>
  </si>
  <si>
    <t>Portfile Personal File Boxes</t>
  </si>
  <si>
    <t>Mobile Personal File Cube</t>
  </si>
  <si>
    <t>Tennsco Double-Tier Lockers</t>
  </si>
  <si>
    <t>Belkin 19" Center-Weighted Shelf, Gray</t>
  </si>
  <si>
    <t>Safco Industrial Wire Shelving System</t>
  </si>
  <si>
    <t>Portable Personal File Box</t>
  </si>
  <si>
    <t>Fellowes Mobile File Cart, Black</t>
  </si>
  <si>
    <t>Tennsco Single-Tier Lockers</t>
  </si>
  <si>
    <t>Advantus Rolling Storage Box</t>
  </si>
  <si>
    <t>Supplies</t>
  </si>
  <si>
    <t>High Speed Automatic Electric Letter Opener</t>
  </si>
  <si>
    <t>Compact Automatic Electric Letter Opener</t>
  </si>
  <si>
    <t>Acme Forged Steel Scissors with Black Enamel Handles</t>
  </si>
  <si>
    <t>Premier Automatic Letter Opener</t>
  </si>
  <si>
    <t>Acme Hot Forged Carbon Steel Scissors with Nickel-Plated Handles, 3 7/8" Cut, 8"L</t>
  </si>
  <si>
    <t>Acme Elite Stainless Steel Scissors</t>
  </si>
  <si>
    <t>Staple remover</t>
  </si>
  <si>
    <t>Martin Yale Chadless Opener Electric Letter Opener</t>
  </si>
  <si>
    <t>Premier Electric Letter Opener</t>
  </si>
  <si>
    <t>Stiletto Hand Letter Openers</t>
  </si>
  <si>
    <t>Martin-Yale Premier Letter Opener</t>
  </si>
  <si>
    <t>Acme Titanium Bonded Scissors</t>
  </si>
  <si>
    <t>Elite 5" Scissors</t>
  </si>
  <si>
    <t>Technology</t>
  </si>
  <si>
    <t>Accessories</t>
  </si>
  <si>
    <t>Sony Micro Vault Click 16 GB USB 2.0 Flash Drive</t>
  </si>
  <si>
    <t>Sony 64GB Class 10 Micro SDHC R40 Memory Card</t>
  </si>
  <si>
    <t>Verbatim 25 GB 6x Blu-ray Single Layer Recordable Disc, 25/Pack</t>
  </si>
  <si>
    <t>Sabrent 4-Port USB 2.0 Hub</t>
  </si>
  <si>
    <t>Kensington K72356US Mouse-in-a-Box USB Desktop Mouse</t>
  </si>
  <si>
    <t>Logitech G600 MMO Gaming Mouse</t>
  </si>
  <si>
    <t>Sony Micro Vault Click 8 GB USB 2.0 Flash Drive</t>
  </si>
  <si>
    <t>Sony 16GB Class 10 Micro SDHC R40 Memory Card</t>
  </si>
  <si>
    <t>Logitech Trackman Marble Mouse</t>
  </si>
  <si>
    <t>First Data FD10 PIN Pad</t>
  </si>
  <si>
    <t>Enermax Briskie RF Wireless Keyboard and Mouse Combo</t>
  </si>
  <si>
    <t>Case Logic 2.4GHz Wireless Keyboard</t>
  </si>
  <si>
    <t>SanDisk Cruzer 64 GB USB Flash Drive</t>
  </si>
  <si>
    <t>Logitech†MX Performance Wireless Mouse</t>
  </si>
  <si>
    <t>Logitech Wireless Gaming Headset G930</t>
  </si>
  <si>
    <t>Microsoft Natural Keyboard Elite</t>
  </si>
  <si>
    <t>Rosewill 107 Normal Keys USB Wired Standard Keyboard</t>
  </si>
  <si>
    <t>Imation Bio 8GB USB†Flash Drive Imation†Corp</t>
  </si>
  <si>
    <t>KeyTronic†E03601U1 -†Keyboard†- Beige</t>
  </si>
  <si>
    <t>SanDisk Cruzer 32 GB USB Flash Drive</t>
  </si>
  <si>
    <t>Belkin Standard 104 key USB Keyboard</t>
  </si>
  <si>
    <t>WD My Passport Ultra 2TB Portable External Hard Drive</t>
  </si>
  <si>
    <t>Verbatim 25 GB 6x Blu-ray Single Layer Recordable Disc, 1/Pack</t>
  </si>
  <si>
    <t>WD My Passport Ultra 1TB Portable External Hard Drive</t>
  </si>
  <si>
    <t>Plantronics CS510 - Over-the-Head monaural Wireless Headset System</t>
  </si>
  <si>
    <t>Kingston Digital DataTraveler 16GB USB 2.0</t>
  </si>
  <si>
    <t>Micro Innovations USB RF Wireless Keyboard with Mouse</t>
  </si>
  <si>
    <t>Memorex Froggy Flash Drive 8 GB</t>
  </si>
  <si>
    <t>Memorex Mini Travel Drive 4 GB USB 2.0 Flash Drive</t>
  </si>
  <si>
    <t>Enermax Acrylux Wireless Keyboard</t>
  </si>
  <si>
    <t>Belkin F8E887 USB Wired Ergonomic Keyboard</t>
  </si>
  <si>
    <t>Verbatim 25 GB 6x Blu-ray Single Layer Recordable Disc, 10/Pack</t>
  </si>
  <si>
    <t>Logitech 910-002974 M325 Wireless Mouse for Web Scrolling</t>
  </si>
  <si>
    <t>NETGEAR AC1750 Dual Band Gigabit†Smart WiFi Router</t>
  </si>
  <si>
    <t>KeyTronic†6101 Series -†Keyboard†- Black</t>
  </si>
  <si>
    <t>SanDisk Cruzer 8 GB USB Flash Drive</t>
  </si>
  <si>
    <t>Logitech diNovo Edge Keyboard</t>
  </si>
  <si>
    <t>Microsoft Sculpt Comfort Mouse</t>
  </si>
  <si>
    <t>Logitech Desktop MK120 Mouse and keyboard Combo</t>
  </si>
  <si>
    <t>Sony Micro Vault Click 4 GB USB 2.0 Flash Drive</t>
  </si>
  <si>
    <t>Imation†30456 USB†Flash Drive†8GB</t>
  </si>
  <si>
    <t xml:space="preserve">Kensington SlimBlade Notebook Wireless Mouse with Nano Receiver </t>
  </si>
  <si>
    <t>Copiers</t>
  </si>
  <si>
    <t>Canon PC-428 Personal Copier</t>
  </si>
  <si>
    <t>Canon Image Class D660 Copier</t>
  </si>
  <si>
    <t>Brother DCP1000 Digital 3 in 1 Multifunction Machine</t>
  </si>
  <si>
    <t>Machines</t>
  </si>
  <si>
    <t>Bady BDG101FRU Card Printer</t>
  </si>
  <si>
    <t>Canon PC170 Desktop Personal Copier</t>
  </si>
  <si>
    <t>Cisco CP-7937G Unified IP Conference Station Phone</t>
  </si>
  <si>
    <t>Epson TM-T88V Direct Thermal Printer - Monochrome - Desktop</t>
  </si>
  <si>
    <t>Wasp CCD Handheld Bar Code Reader</t>
  </si>
  <si>
    <t>DYMO CardScan Personal V9 Business Card Scanner</t>
  </si>
  <si>
    <t>Star Micronics TSP800 TSP847IIU Receipt Printer</t>
  </si>
  <si>
    <t>Phones</t>
  </si>
  <si>
    <t>Cisco SPA525G2 IP Phone - Wireless</t>
  </si>
  <si>
    <t>Cush Cases Heavy Duty Rugged Cover Case for Samsung Galaxy S5 - Purple</t>
  </si>
  <si>
    <t>VTech DS6151</t>
  </si>
  <si>
    <t>Plantronics HL10 Handset Lifter</t>
  </si>
  <si>
    <t>Vtech CS6719</t>
  </si>
  <si>
    <t>Samsung Convoy 3</t>
  </si>
  <si>
    <t>Polycom VVX 310 VoIP phone</t>
  </si>
  <si>
    <t>HTC One</t>
  </si>
  <si>
    <t>Polycom CX300 Desktop Phone USB VoIP phone</t>
  </si>
  <si>
    <t>iKross Bluetooth Portable Keyboard + Cell Phone Stand Holder + Brush for Apple iPhone 5S 5C 5, 4S 4</t>
  </si>
  <si>
    <t>Panasonic KX TS208W Corded phone</t>
  </si>
  <si>
    <t>Digium D40 VoIP phone</t>
  </si>
  <si>
    <t>Mophie Juice Pack Helium for iPhone</t>
  </si>
  <si>
    <t>Anker Astro 15000mAh USB Portable Charger</t>
  </si>
  <si>
    <t>Samsung Galaxy Mega 6.3</t>
  </si>
  <si>
    <t>Plantronics MX500i Earset</t>
  </si>
  <si>
    <t>I Need's 3d Hello Kitty Hybrid Silicone Case Cover for HTC One X 4g with 3d Hello Kitty Stylus Pen Green/pink</t>
  </si>
  <si>
    <t>LG G3</t>
  </si>
  <si>
    <t>BlueLounge Milo Smartphone Stand, White/Metallic</t>
  </si>
  <si>
    <t>Panasonic KX-TG6844B Expandable Digital Cordless Telephone</t>
  </si>
  <si>
    <t>ClearSounds CSC500 Amplified Spirit Phone Corded phone</t>
  </si>
  <si>
    <t>Aastra 6757i CT Wireless VoIP phone</t>
  </si>
  <si>
    <t>Anker 36W 4-Port USB Wall Charger Travel Power Adapter for iPhone 5s 5c 5</t>
  </si>
  <si>
    <t>Avaya IP Phone 1140E VoIP phone</t>
  </si>
  <si>
    <t>AT&amp;T 1070 Corded Phone</t>
  </si>
  <si>
    <t>Polycom VoiceStation 500 Conference†phone</t>
  </si>
  <si>
    <t>Cisco SPA301</t>
  </si>
  <si>
    <t>Polycom SoundPoint IP 450 VoIP phone</t>
  </si>
  <si>
    <t>Adtran 1202752G1</t>
  </si>
  <si>
    <t>Nortel Networks T7316 E Nt8 B27</t>
  </si>
  <si>
    <t>Google Nexus 5</t>
  </si>
  <si>
    <t>ShoreTel ShorePhone IP 230 VoIP phone</t>
  </si>
  <si>
    <t>Logitech B530 USB†Headset†-†headset†- Full size, Binaural</t>
  </si>
  <si>
    <t>Motorola L804</t>
  </si>
  <si>
    <t>Samsung HM1900 Bluetooth Headset</t>
  </si>
  <si>
    <t>Anker Astro Mini 3000mAh Ultra-Compact Portable Charger</t>
  </si>
  <si>
    <t>Jackery Bar Premium Fast-charging Portable Charger</t>
  </si>
  <si>
    <t>AT&amp;T TR1909W</t>
  </si>
  <si>
    <t>Samsung Replacement EH64AVFWE Premium Headset</t>
  </si>
  <si>
    <t>Ooma Telo VoIP Home Phone System</t>
  </si>
  <si>
    <t>Geemarc AmpliPOWER60</t>
  </si>
  <si>
    <t>invisibleSHIELD by ZAGG Smudge-Free Screen Protector</t>
  </si>
  <si>
    <t>i.Sound Portable Power - 8000 mAh</t>
  </si>
  <si>
    <t>Cisco SPA508G</t>
  </si>
  <si>
    <t>JBL Micro Wireless Portable Bluetooth Speaker</t>
  </si>
  <si>
    <t>LF Elite 3D Dazzle Designer Hard Case Cover, Lf Stylus Pen and Wiper For Apple Iphone 5c Mini Lite</t>
  </si>
  <si>
    <t>Avaya 5410 Digital phone</t>
  </si>
  <si>
    <t>Panasonic Kx-TS550</t>
  </si>
  <si>
    <t>Cisco SPA 502G IP Phone</t>
  </si>
  <si>
    <t>Cisco IP†Phone†7961G VoIP†phone†- Dark gray</t>
  </si>
  <si>
    <t>Dexim XPower Skin Super-Thin Power Case for iPhone 5 - Black</t>
  </si>
  <si>
    <t>Wilson SignalBoost 841262 DB PRO Amplifier Kit</t>
  </si>
  <si>
    <t>AT&amp;T 841000 Phone</t>
  </si>
  <si>
    <t>PowerGen Dual USB Car Charger</t>
  </si>
  <si>
    <t>Macally Suction Cup Mount</t>
  </si>
  <si>
    <t>Mediabridge Sport Armband iPhone 5s</t>
  </si>
  <si>
    <t>Panasonic KX TS3282W Corded phone</t>
  </si>
  <si>
    <t>SegID</t>
  </si>
  <si>
    <t>SegApp</t>
  </si>
  <si>
    <t xml:space="preserve"> Customer Segment</t>
  </si>
  <si>
    <t>Consumer</t>
  </si>
  <si>
    <t>Corporate</t>
  </si>
  <si>
    <t>Home Office</t>
  </si>
  <si>
    <t>OrderLagDays</t>
  </si>
  <si>
    <t>Second Class</t>
  </si>
  <si>
    <t>First Class</t>
  </si>
  <si>
    <t>Same Day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</si>
  <si>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</si>
  <si>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</si>
  <si>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</si>
  <si>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</si>
  <si>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</si>
  <si>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</si>
  <si>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</si>
  <si>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</si>
  <si>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</si>
  <si>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</si>
  <si>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</si>
  <si>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</si>
  <si>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</si>
  <si>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</si>
  <si>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</si>
  <si>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</si>
  <si>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</si>
  <si>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</si>
  <si>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</si>
  <si>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</si>
  <si>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</si>
  <si>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</si>
  <si>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RESIDUAL OUTPUT</t>
  </si>
  <si>
    <t>Observation</t>
  </si>
  <si>
    <t>Predicted OrderLagDays</t>
  </si>
  <si>
    <t>Residuals</t>
  </si>
  <si>
    <t>Standard Residuals</t>
  </si>
  <si>
    <t>Discount Used</t>
  </si>
  <si>
    <t xml:space="preserve">Region </t>
  </si>
  <si>
    <t>Not Holiday</t>
  </si>
  <si>
    <t>Average Lag</t>
  </si>
  <si>
    <t>Standard (4)</t>
  </si>
  <si>
    <t>Same Day (1)</t>
  </si>
  <si>
    <t>First Class (2)</t>
  </si>
  <si>
    <t>Second Class (3)</t>
  </si>
  <si>
    <t>OrderLagDays = 4.646 - 2.629 (Same Day) - 2.265 (First Class) - 1.382 (Second Class) + ε</t>
  </si>
  <si>
    <t>Intercept (4.646):</t>
  </si>
  <si>
    <t>Same Day (−2.629):</t>
  </si>
  <si>
    <r>
      <t xml:space="preserve">Orders shipped using Same Day delivery arrive, on average, </t>
    </r>
    <r>
      <rPr>
        <b/>
        <sz val="11"/>
        <color theme="1"/>
        <rFont val="Calibri"/>
        <family val="2"/>
        <scheme val="minor"/>
      </rPr>
      <t>2.63 fewer days later</t>
    </r>
    <r>
      <rPr>
        <sz val="11"/>
        <color theme="1"/>
        <rFont val="Calibri"/>
        <family val="2"/>
        <scheme val="minor"/>
      </rPr>
      <t xml:space="preserve"> than the baseline shipping method, holding all other variables constant.</t>
    </r>
  </si>
  <si>
    <t>First Class (−2.265):</t>
  </si>
  <si>
    <r>
      <t xml:space="preserve">First Class shipments reduce order lag time by </t>
    </r>
    <r>
      <rPr>
        <b/>
        <sz val="11"/>
        <color theme="1"/>
        <rFont val="Calibri"/>
        <family val="2"/>
        <scheme val="minor"/>
      </rPr>
      <t>approximately 2.27 days</t>
    </r>
    <r>
      <rPr>
        <sz val="11"/>
        <color theme="1"/>
        <rFont val="Calibri"/>
        <family val="2"/>
        <scheme val="minor"/>
      </rPr>
      <t xml:space="preserve"> compared to the baseline shipping method, all else equal.</t>
    </r>
  </si>
  <si>
    <t>Second Class (−1.382):</t>
  </si>
  <si>
    <r>
      <t xml:space="preserve">Second Class shipments reduce order lag time by </t>
    </r>
    <r>
      <rPr>
        <b/>
        <sz val="11"/>
        <color theme="1"/>
        <rFont val="Calibri"/>
        <family val="2"/>
        <scheme val="minor"/>
      </rPr>
      <t>approximately 1.38 days</t>
    </r>
    <r>
      <rPr>
        <sz val="11"/>
        <color theme="1"/>
        <rFont val="Calibri"/>
        <family val="2"/>
        <scheme val="minor"/>
      </rPr>
      <t xml:space="preserve"> relative to the baseline shipping method, holding other factors constant.</t>
    </r>
  </si>
  <si>
    <t>Standard Error (1.366):</t>
  </si>
  <si>
    <t>Reflects the average size of the error term in days.</t>
  </si>
  <si>
    <t>R² = 0.346:</t>
  </si>
  <si>
    <r>
      <t xml:space="preserve">Indicates that about </t>
    </r>
    <r>
      <rPr>
        <b/>
        <sz val="11"/>
        <color theme="1"/>
        <rFont val="Calibri"/>
        <family val="2"/>
        <scheme val="minor"/>
      </rPr>
      <t>34.6% of the variation in order lag days</t>
    </r>
    <r>
      <rPr>
        <sz val="11"/>
        <color theme="1"/>
        <rFont val="Calibri"/>
        <family val="2"/>
        <scheme val="minor"/>
      </rPr>
      <t xml:space="preserve"> is explained by the model, while the remaining variation is captured by </t>
    </r>
    <r>
      <rPr>
        <b/>
        <sz val="11"/>
        <color theme="1"/>
        <rFont val="Calibri"/>
        <family val="2"/>
        <scheme val="minor"/>
      </rPr>
      <t>ε</t>
    </r>
  </si>
  <si>
    <r>
      <t xml:space="preserve">This represents the </t>
    </r>
    <r>
      <rPr>
        <i/>
        <sz val="11"/>
        <color theme="1"/>
        <rFont val="Calibri"/>
        <family val="2"/>
        <scheme val="minor"/>
      </rPr>
      <t>expected number of order lag days for the baseline shipping method</t>
    </r>
    <r>
      <rPr>
        <sz val="11"/>
        <color theme="1"/>
        <rFont val="Calibri"/>
        <family val="2"/>
        <scheme val="minor"/>
      </rPr>
      <t xml:space="preserve"> (i.e., the omitted shipping category, Standard Class), when all dummy variables equal zero.</t>
    </r>
  </si>
  <si>
    <t>Count of Customer Name</t>
  </si>
  <si>
    <t>Average Lag (days)</t>
  </si>
  <si>
    <t>Total Average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</si>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</sst>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theme="1"/>
      <name val="Calibri"/>
      <family val="2"/>
      <scheme val="minor"/>
    </font>
    <font>
      <sz val="8"/>
      <name val="Calibri"/>
      <family val="2"/>
      <scheme val="minor"/>
    </font>
    <font>
      <sz val="11"/>
      <color rgb="FF000000"/>
      <name val="Calibri"/>
      <family val="2"/>
      <scheme val="minor"/>
    </font>
    <font>
      <b/>
      <sz val="11"/>
      <color theme="1"/>
      <name val="Calibri"/>
      <family val="2"/>
      <scheme val="minor"/>
    </font>
    <font>
      <sz val="11"/>
      <color rgb="FFFF0000"/>
      <name val="Calibri"/>
      <family val="2"/>
      <scheme val="minor"/>
    </font>
    <font>
      <sz val="11"/>
      <color theme="8"/>
      <name val="Calibri"/>
      <family val="2"/>
      <scheme val="minor"/>
    </font>
    <font>
      <b/>
      <sz val="11"/>
      <color theme="0"/>
      <name val="Calibri"/>
      <family val="2"/>
      <scheme val="minor"/>
    </font>
    <font>
      <b/>
      <sz val="11"/>
      <color rgb="FFFFFFFF"/>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DEBF7"/>
        <bgColor rgb="FFDDEBF7"/>
      </patternFill>
    </fill>
    <fill>
      <patternFill patternType="solid">
        <fgColor rgb="FF5B9BD5"/>
        <bgColor rgb="FF5B9BD5"/>
      </patternFill>
    </fill>
  </fills>
  <borders count="7">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31">
    <xf numFmtId="0" fontId="0" fillId="0" borderId="0" xfId="0"/>
    <xf numFmtId="14" fontId="0" fillId="0" borderId="0" xfId="0" applyNumberForma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1" fillId="0" borderId="0" xfId="0" applyFont="1" applyAlignment="1">
      <alignment horizontal="center"/>
    </xf>
    <xf numFmtId="0" fontId="5" fillId="0" borderId="0" xfId="0" applyFont="1"/>
    <xf numFmtId="0" fontId="6" fillId="0" borderId="0" xfId="0" applyFont="1"/>
    <xf numFmtId="0" fontId="4" fillId="0" borderId="0" xfId="0" applyFont="1"/>
    <xf numFmtId="0" fontId="0" fillId="2" borderId="0" xfId="0" applyFill="1"/>
    <xf numFmtId="0" fontId="4" fillId="0" borderId="3" xfId="0" pivotButton="1" applyFont="1" applyBorder="1"/>
    <xf numFmtId="0" fontId="0" fillId="0" borderId="3" xfId="0" applyBorder="1"/>
    <xf numFmtId="0" fontId="0" fillId="0" borderId="3" xfId="0" applyBorder="1" applyAlignment="1">
      <alignment horizontal="left"/>
    </xf>
    <xf numFmtId="0" fontId="4" fillId="2" borderId="3" xfId="0" applyFont="1" applyFill="1" applyBorder="1" applyAlignment="1">
      <alignment horizontal="left"/>
    </xf>
    <xf numFmtId="0" fontId="3" fillId="3" borderId="4" xfId="0" applyFont="1" applyFill="1" applyBorder="1"/>
    <xf numFmtId="0" fontId="3" fillId="3" borderId="5" xfId="0" applyFont="1" applyFill="1" applyBorder="1"/>
    <xf numFmtId="0" fontId="3" fillId="3" borderId="6" xfId="0" applyFont="1" applyFill="1" applyBorder="1"/>
    <xf numFmtId="0" fontId="3" fillId="0" borderId="4" xfId="0" applyFont="1" applyBorder="1"/>
    <xf numFmtId="0" fontId="3" fillId="0" borderId="5" xfId="0" applyFont="1" applyBorder="1"/>
    <xf numFmtId="0" fontId="3" fillId="0" borderId="6" xfId="0" applyFont="1" applyBorder="1"/>
    <xf numFmtId="0" fontId="8" fillId="4" borderId="4" xfId="0" applyFont="1" applyFill="1" applyBorder="1"/>
    <xf numFmtId="0" fontId="8" fillId="4" borderId="5" xfId="0" applyFont="1" applyFill="1" applyBorder="1"/>
    <xf numFmtId="0" fontId="8" fillId="4" borderId="6" xfId="0" applyFont="1" applyFill="1" applyBorder="1"/>
    <xf numFmtId="0" fontId="7" fillId="4" borderId="5" xfId="0" applyFont="1" applyFill="1" applyBorder="1"/>
    <xf numFmtId="0" fontId="7" fillId="4" borderId="6" xfId="0" applyFont="1" applyFill="1" applyBorder="1"/>
    <xf numFmtId="0" fontId="0" fillId="0" borderId="3" xfId="0" applyNumberFormat="1" applyBorder="1"/>
    <xf numFmtId="0" fontId="4" fillId="0" borderId="3" xfId="0" applyNumberFormat="1" applyFont="1" applyBorder="1"/>
  </cellXfs>
  <cellStyles count="1">
    <cellStyle name="Normal" xfId="0" builtinId="0"/>
  </cellStyles>
  <dxfs count="7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numFmt numFmtId="19" formatCode="m/d/yy"/>
    </dxf>
    <dxf>
      <numFmt numFmtId="19" formatCode="m/d/yy"/>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ont>
        <b/>
      </font>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Ordering Cities (Including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5"/>
          </a:solidFill>
          <a:ln>
            <a:noFill/>
          </a:ln>
          <a:effectLst/>
        </c:spPr>
      </c:pivotFmt>
      <c:pivotFmt>
        <c:idx val="20"/>
        <c:spPr>
          <a:solidFill>
            <a:schemeClr val="accent5"/>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5"/>
          </a:solidFill>
          <a:ln>
            <a:noFill/>
          </a:ln>
          <a:effectLst/>
        </c:spPr>
      </c:pivotFmt>
      <c:pivotFmt>
        <c:idx val="24"/>
        <c:spPr>
          <a:solidFill>
            <a:schemeClr val="accent5"/>
          </a:solidFill>
          <a:ln>
            <a:noFill/>
          </a:ln>
          <a:effectLst/>
        </c:spPr>
      </c:pivotFmt>
      <c:pivotFmt>
        <c:idx val="25"/>
        <c:spPr>
          <a:solidFill>
            <a:schemeClr val="accent5"/>
          </a:solidFill>
          <a:ln>
            <a:noFill/>
          </a:ln>
          <a:effectLst/>
        </c:spPr>
      </c:pivotFmt>
      <c:pivotFmt>
        <c:idx val="26"/>
        <c:spPr>
          <a:solidFill>
            <a:schemeClr val="accent4"/>
          </a:solidFill>
          <a:ln>
            <a:noFill/>
          </a:ln>
          <a:effectLst/>
        </c:spPr>
      </c:pivotFmt>
      <c:pivotFmt>
        <c:idx val="27"/>
        <c:spPr>
          <a:solidFill>
            <a:schemeClr val="accent4"/>
          </a:solidFill>
          <a:ln>
            <a:noFill/>
          </a:ln>
          <a:effectLst/>
        </c:spPr>
      </c:pivotFmt>
      <c:pivotFmt>
        <c:idx val="28"/>
        <c:spPr>
          <a:solidFill>
            <a:schemeClr val="accent4"/>
          </a:solidFill>
          <a:ln>
            <a:noFill/>
          </a:ln>
          <a:effectLst/>
        </c:spPr>
      </c:pivotFmt>
      <c:pivotFmt>
        <c:idx val="29"/>
        <c:spPr>
          <a:solidFill>
            <a:schemeClr val="accent4"/>
          </a:solidFill>
          <a:ln>
            <a:noFill/>
          </a:ln>
          <a:effectLst/>
        </c:spPr>
      </c:pivotFmt>
      <c:pivotFmt>
        <c:idx val="30"/>
        <c:spPr>
          <a:solidFill>
            <a:schemeClr val="accent4"/>
          </a:solidFill>
          <a:ln>
            <a:noFill/>
          </a:ln>
          <a:effectLst/>
        </c:spPr>
      </c:pivotFmt>
      <c:pivotFmt>
        <c:idx val="31"/>
        <c:spPr>
          <a:solidFill>
            <a:schemeClr val="accent4"/>
          </a:solidFill>
          <a:ln>
            <a:noFill/>
          </a:ln>
          <a:effectLst/>
        </c:spPr>
      </c:pivotFmt>
      <c:pivotFmt>
        <c:idx val="32"/>
        <c:spPr>
          <a:solidFill>
            <a:schemeClr val="accent4"/>
          </a:solidFill>
          <a:ln>
            <a:noFill/>
          </a:ln>
          <a:effectLst/>
        </c:spPr>
      </c:pivotFmt>
    </c:pivotFmts>
    <c:plotArea>
      <c:layout/>
      <c:barChart>
        <c:barDir val="col"/>
        <c:grouping val="stacked"/>
        <c:varyColors val="0"/>
        <c:ser>
          <c:idx val="0"/>
          <c:order val="0"/>
          <c:tx>
            <c:strRef>
              <c:f>Dashboard!$B$3:$B$4</c:f>
              <c:strCache>
                <c:ptCount val="1"/>
                <c:pt idx="0">
                  <c:v>CON</c:v>
                </c:pt>
              </c:strCache>
            </c:strRef>
          </c:tx>
          <c:spPr>
            <a:solidFill>
              <a:schemeClr val="accent6"/>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Dashboard!$B$5:$B$114</c:f>
              <c:numCache>
                <c:formatCode>General</c:formatCode>
                <c:ptCount val="109"/>
                <c:pt idx="0">
                  <c:v>1</c:v>
                </c:pt>
                <c:pt idx="1">
                  <c:v>1</c:v>
                </c:pt>
                <c:pt idx="3">
                  <c:v>1</c:v>
                </c:pt>
                <c:pt idx="4">
                  <c:v>1</c:v>
                </c:pt>
                <c:pt idx="5">
                  <c:v>1</c:v>
                </c:pt>
                <c:pt idx="8">
                  <c:v>1</c:v>
                </c:pt>
                <c:pt idx="13">
                  <c:v>1</c:v>
                </c:pt>
                <c:pt idx="15">
                  <c:v>2</c:v>
                </c:pt>
                <c:pt idx="16">
                  <c:v>1</c:v>
                </c:pt>
                <c:pt idx="18">
                  <c:v>1</c:v>
                </c:pt>
                <c:pt idx="19">
                  <c:v>1</c:v>
                </c:pt>
                <c:pt idx="20">
                  <c:v>4</c:v>
                </c:pt>
                <c:pt idx="21">
                  <c:v>1</c:v>
                </c:pt>
                <c:pt idx="22">
                  <c:v>1</c:v>
                </c:pt>
                <c:pt idx="23">
                  <c:v>1</c:v>
                </c:pt>
                <c:pt idx="24">
                  <c:v>2</c:v>
                </c:pt>
                <c:pt idx="25">
                  <c:v>1</c:v>
                </c:pt>
                <c:pt idx="27">
                  <c:v>3</c:v>
                </c:pt>
                <c:pt idx="28">
                  <c:v>1</c:v>
                </c:pt>
                <c:pt idx="30">
                  <c:v>1</c:v>
                </c:pt>
                <c:pt idx="31">
                  <c:v>2</c:v>
                </c:pt>
                <c:pt idx="32">
                  <c:v>1</c:v>
                </c:pt>
                <c:pt idx="34">
                  <c:v>1</c:v>
                </c:pt>
                <c:pt idx="37">
                  <c:v>1</c:v>
                </c:pt>
                <c:pt idx="38">
                  <c:v>1</c:v>
                </c:pt>
                <c:pt idx="44">
                  <c:v>2</c:v>
                </c:pt>
                <c:pt idx="45">
                  <c:v>1</c:v>
                </c:pt>
                <c:pt idx="46">
                  <c:v>2</c:v>
                </c:pt>
                <c:pt idx="47">
                  <c:v>1</c:v>
                </c:pt>
                <c:pt idx="48">
                  <c:v>1</c:v>
                </c:pt>
                <c:pt idx="49">
                  <c:v>1</c:v>
                </c:pt>
                <c:pt idx="50">
                  <c:v>1</c:v>
                </c:pt>
                <c:pt idx="54">
                  <c:v>2</c:v>
                </c:pt>
                <c:pt idx="55">
                  <c:v>1</c:v>
                </c:pt>
                <c:pt idx="56">
                  <c:v>1</c:v>
                </c:pt>
                <c:pt idx="58">
                  <c:v>5</c:v>
                </c:pt>
                <c:pt idx="59">
                  <c:v>1</c:v>
                </c:pt>
                <c:pt idx="60">
                  <c:v>1</c:v>
                </c:pt>
                <c:pt idx="62">
                  <c:v>1</c:v>
                </c:pt>
                <c:pt idx="63">
                  <c:v>1</c:v>
                </c:pt>
                <c:pt idx="66">
                  <c:v>1</c:v>
                </c:pt>
                <c:pt idx="67">
                  <c:v>10</c:v>
                </c:pt>
                <c:pt idx="70">
                  <c:v>2</c:v>
                </c:pt>
                <c:pt idx="71">
                  <c:v>1</c:v>
                </c:pt>
                <c:pt idx="73">
                  <c:v>1</c:v>
                </c:pt>
                <c:pt idx="75">
                  <c:v>1</c:v>
                </c:pt>
                <c:pt idx="76">
                  <c:v>1</c:v>
                </c:pt>
                <c:pt idx="77">
                  <c:v>1</c:v>
                </c:pt>
                <c:pt idx="79">
                  <c:v>5</c:v>
                </c:pt>
                <c:pt idx="80">
                  <c:v>2</c:v>
                </c:pt>
                <c:pt idx="83">
                  <c:v>1</c:v>
                </c:pt>
                <c:pt idx="84">
                  <c:v>1</c:v>
                </c:pt>
                <c:pt idx="86">
                  <c:v>1</c:v>
                </c:pt>
                <c:pt idx="88">
                  <c:v>1</c:v>
                </c:pt>
                <c:pt idx="89">
                  <c:v>1</c:v>
                </c:pt>
                <c:pt idx="91">
                  <c:v>3</c:v>
                </c:pt>
                <c:pt idx="92">
                  <c:v>3</c:v>
                </c:pt>
                <c:pt idx="93">
                  <c:v>4</c:v>
                </c:pt>
                <c:pt idx="94">
                  <c:v>5</c:v>
                </c:pt>
                <c:pt idx="95">
                  <c:v>1</c:v>
                </c:pt>
                <c:pt idx="96">
                  <c:v>1</c:v>
                </c:pt>
                <c:pt idx="98">
                  <c:v>1</c:v>
                </c:pt>
                <c:pt idx="100">
                  <c:v>1</c:v>
                </c:pt>
                <c:pt idx="101">
                  <c:v>1</c:v>
                </c:pt>
                <c:pt idx="103">
                  <c:v>1</c:v>
                </c:pt>
                <c:pt idx="105">
                  <c:v>1</c:v>
                </c:pt>
                <c:pt idx="106">
                  <c:v>1</c:v>
                </c:pt>
                <c:pt idx="107">
                  <c:v>1</c:v>
                </c:pt>
                <c:pt idx="108">
                  <c:v>1</c:v>
                </c:pt>
              </c:numCache>
            </c:numRef>
          </c:val>
          <c:extLst>
            <c:ext xmlns:c16="http://schemas.microsoft.com/office/drawing/2014/chart" uri="{C3380CC4-5D6E-409C-BE32-E72D297353CC}">
              <c16:uniqueId val="{00000000-4F81-5F48-AD01-7B49688C2A2E}"/>
            </c:ext>
          </c:extLst>
        </c:ser>
        <c:ser>
          <c:idx val="1"/>
          <c:order val="1"/>
          <c:tx>
            <c:strRef>
              <c:f>Dashboard!$C$3:$C$4</c:f>
              <c:strCache>
                <c:ptCount val="1"/>
                <c:pt idx="0">
                  <c:v>COR</c:v>
                </c:pt>
              </c:strCache>
            </c:strRef>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Dashboard!$C$5:$C$114</c:f>
              <c:numCache>
                <c:formatCode>General</c:formatCode>
                <c:ptCount val="109"/>
                <c:pt idx="2">
                  <c:v>1</c:v>
                </c:pt>
                <c:pt idx="3">
                  <c:v>1</c:v>
                </c:pt>
                <c:pt idx="7">
                  <c:v>1</c:v>
                </c:pt>
                <c:pt idx="9">
                  <c:v>1</c:v>
                </c:pt>
                <c:pt idx="10">
                  <c:v>1</c:v>
                </c:pt>
                <c:pt idx="11">
                  <c:v>1</c:v>
                </c:pt>
                <c:pt idx="12">
                  <c:v>1</c:v>
                </c:pt>
                <c:pt idx="19">
                  <c:v>1</c:v>
                </c:pt>
                <c:pt idx="20">
                  <c:v>1</c:v>
                </c:pt>
                <c:pt idx="26">
                  <c:v>1</c:v>
                </c:pt>
                <c:pt idx="31">
                  <c:v>2</c:v>
                </c:pt>
                <c:pt idx="36">
                  <c:v>1</c:v>
                </c:pt>
                <c:pt idx="39">
                  <c:v>1</c:v>
                </c:pt>
                <c:pt idx="44">
                  <c:v>1</c:v>
                </c:pt>
                <c:pt idx="46">
                  <c:v>4</c:v>
                </c:pt>
                <c:pt idx="50">
                  <c:v>2</c:v>
                </c:pt>
                <c:pt idx="51">
                  <c:v>1</c:v>
                </c:pt>
                <c:pt idx="52">
                  <c:v>1</c:v>
                </c:pt>
                <c:pt idx="53">
                  <c:v>1</c:v>
                </c:pt>
                <c:pt idx="58">
                  <c:v>3</c:v>
                </c:pt>
                <c:pt idx="64">
                  <c:v>1</c:v>
                </c:pt>
                <c:pt idx="67">
                  <c:v>4</c:v>
                </c:pt>
                <c:pt idx="68">
                  <c:v>1</c:v>
                </c:pt>
                <c:pt idx="69">
                  <c:v>1</c:v>
                </c:pt>
                <c:pt idx="72">
                  <c:v>1</c:v>
                </c:pt>
                <c:pt idx="78">
                  <c:v>1</c:v>
                </c:pt>
                <c:pt idx="79">
                  <c:v>4</c:v>
                </c:pt>
                <c:pt idx="82">
                  <c:v>1</c:v>
                </c:pt>
                <c:pt idx="85">
                  <c:v>1</c:v>
                </c:pt>
                <c:pt idx="87">
                  <c:v>1</c:v>
                </c:pt>
                <c:pt idx="90">
                  <c:v>3</c:v>
                </c:pt>
                <c:pt idx="92">
                  <c:v>1</c:v>
                </c:pt>
                <c:pt idx="93">
                  <c:v>4</c:v>
                </c:pt>
                <c:pt idx="94">
                  <c:v>1</c:v>
                </c:pt>
                <c:pt idx="95">
                  <c:v>3</c:v>
                </c:pt>
                <c:pt idx="97">
                  <c:v>1</c:v>
                </c:pt>
                <c:pt idx="99">
                  <c:v>1</c:v>
                </c:pt>
                <c:pt idx="100">
                  <c:v>1</c:v>
                </c:pt>
                <c:pt idx="102">
                  <c:v>1</c:v>
                </c:pt>
              </c:numCache>
            </c:numRef>
          </c:val>
          <c:extLst>
            <c:ext xmlns:c16="http://schemas.microsoft.com/office/drawing/2014/chart" uri="{C3380CC4-5D6E-409C-BE32-E72D297353CC}">
              <c16:uniqueId val="{00000003-1451-D345-8311-F2AA0F15DD15}"/>
            </c:ext>
          </c:extLst>
        </c:ser>
        <c:ser>
          <c:idx val="2"/>
          <c:order val="2"/>
          <c:tx>
            <c:strRef>
              <c:f>Dashboard!$D$3:$D$4</c:f>
              <c:strCache>
                <c:ptCount val="1"/>
                <c:pt idx="0">
                  <c:v>HOF</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Dashboard!$D$5:$D$114</c:f>
              <c:numCache>
                <c:formatCode>General</c:formatCode>
                <c:ptCount val="109"/>
                <c:pt idx="6">
                  <c:v>1</c:v>
                </c:pt>
                <c:pt idx="14">
                  <c:v>1</c:v>
                </c:pt>
                <c:pt idx="17">
                  <c:v>1</c:v>
                </c:pt>
                <c:pt idx="20">
                  <c:v>1</c:v>
                </c:pt>
                <c:pt idx="25">
                  <c:v>1</c:v>
                </c:pt>
                <c:pt idx="26">
                  <c:v>1</c:v>
                </c:pt>
                <c:pt idx="27">
                  <c:v>1</c:v>
                </c:pt>
                <c:pt idx="29">
                  <c:v>1</c:v>
                </c:pt>
                <c:pt idx="33">
                  <c:v>1</c:v>
                </c:pt>
                <c:pt idx="35">
                  <c:v>1</c:v>
                </c:pt>
                <c:pt idx="40">
                  <c:v>1</c:v>
                </c:pt>
                <c:pt idx="41">
                  <c:v>1</c:v>
                </c:pt>
                <c:pt idx="42">
                  <c:v>1</c:v>
                </c:pt>
                <c:pt idx="43">
                  <c:v>1</c:v>
                </c:pt>
                <c:pt idx="46">
                  <c:v>1</c:v>
                </c:pt>
                <c:pt idx="49">
                  <c:v>1</c:v>
                </c:pt>
                <c:pt idx="51">
                  <c:v>1</c:v>
                </c:pt>
                <c:pt idx="57">
                  <c:v>1</c:v>
                </c:pt>
                <c:pt idx="58">
                  <c:v>5</c:v>
                </c:pt>
                <c:pt idx="59">
                  <c:v>1</c:v>
                </c:pt>
                <c:pt idx="61">
                  <c:v>1</c:v>
                </c:pt>
                <c:pt idx="65">
                  <c:v>1</c:v>
                </c:pt>
                <c:pt idx="67">
                  <c:v>3</c:v>
                </c:pt>
                <c:pt idx="71">
                  <c:v>1</c:v>
                </c:pt>
                <c:pt idx="74">
                  <c:v>1</c:v>
                </c:pt>
                <c:pt idx="79">
                  <c:v>5</c:v>
                </c:pt>
                <c:pt idx="81">
                  <c:v>1</c:v>
                </c:pt>
                <c:pt idx="91">
                  <c:v>1</c:v>
                </c:pt>
                <c:pt idx="93">
                  <c:v>2</c:v>
                </c:pt>
                <c:pt idx="94">
                  <c:v>2</c:v>
                </c:pt>
                <c:pt idx="100">
                  <c:v>1</c:v>
                </c:pt>
                <c:pt idx="104">
                  <c:v>1</c:v>
                </c:pt>
              </c:numCache>
            </c:numRef>
          </c:val>
          <c:extLst>
            <c:ext xmlns:c16="http://schemas.microsoft.com/office/drawing/2014/chart" uri="{C3380CC4-5D6E-409C-BE32-E72D297353CC}">
              <c16:uniqueId val="{00000004-1451-D345-8311-F2AA0F15DD15}"/>
            </c:ext>
          </c:extLst>
        </c:ser>
        <c:dLbls>
          <c:dLblPos val="ctr"/>
          <c:showLegendKey val="0"/>
          <c:showVal val="1"/>
          <c:showCatName val="0"/>
          <c:showSerName val="0"/>
          <c:showPercent val="0"/>
          <c:showBubbleSize val="0"/>
        </c:dLbls>
        <c:gapWidth val="150"/>
        <c:overlap val="100"/>
        <c:axId val="1728780512"/>
        <c:axId val="1728782224"/>
      </c:barChart>
      <c:catAx>
        <c:axId val="172878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82224"/>
        <c:crosses val="autoZero"/>
        <c:auto val="1"/>
        <c:lblAlgn val="ctr"/>
        <c:lblOffset val="100"/>
        <c:noMultiLvlLbl val="0"/>
      </c:catAx>
      <c:valAx>
        <c:axId val="1728782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Dataset.xlsx]Ship Mode Lag!PivotTable2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 Lag'!$B$3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Lag'!$A$4:$A$8</c:f>
              <c:strCache>
                <c:ptCount val="4"/>
                <c:pt idx="0">
                  <c:v>Same Day (1)</c:v>
                </c:pt>
                <c:pt idx="1">
                  <c:v>First Class (2)</c:v>
                </c:pt>
                <c:pt idx="2">
                  <c:v>Second Class (3)</c:v>
                </c:pt>
                <c:pt idx="3">
                  <c:v>Standard (4)</c:v>
                </c:pt>
              </c:strCache>
            </c:strRef>
          </c:cat>
          <c:val>
            <c:numRef>
              <c:f>'Ship Mode Lag'!$B$4:$B$8</c:f>
              <c:numCache>
                <c:formatCode>0.00</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0-478E-4140-A9D0-F7599A5F955F}"/>
            </c:ext>
          </c:extLst>
        </c:ser>
        <c:dLbls>
          <c:showLegendKey val="0"/>
          <c:showVal val="0"/>
          <c:showCatName val="0"/>
          <c:showSerName val="0"/>
          <c:showPercent val="0"/>
          <c:showBubbleSize val="0"/>
        </c:dLbls>
        <c:gapWidth val="219"/>
        <c:overlap val="-27"/>
        <c:axId val="693694608"/>
        <c:axId val="1631903184"/>
      </c:barChart>
      <c:catAx>
        <c:axId val="6936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03184"/>
        <c:crosses val="autoZero"/>
        <c:auto val="1"/>
        <c:lblAlgn val="ctr"/>
        <c:lblOffset val="100"/>
        <c:noMultiLvlLbl val="0"/>
      </c:catAx>
      <c:valAx>
        <c:axId val="16319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Dataset.xlsx]Ship Mode Lag!PivotTable2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 Lag'!$B$3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Lag'!$A$4:$A$8</c:f>
              <c:strCache>
                <c:ptCount val="4"/>
                <c:pt idx="0">
                  <c:v>Same Day (1)</c:v>
                </c:pt>
                <c:pt idx="1">
                  <c:v>First Class (2)</c:v>
                </c:pt>
                <c:pt idx="2">
                  <c:v>Second Class (3)</c:v>
                </c:pt>
                <c:pt idx="3">
                  <c:v>Standard (4)</c:v>
                </c:pt>
              </c:strCache>
            </c:strRef>
          </c:cat>
          <c:val>
            <c:numRef>
              <c:f>'Ship Mode Lag'!$B$4:$B$8</c:f>
              <c:numCache>
                <c:formatCode>0.00</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0-C1AB-F449-AA17-B8A2B8F5DCAE}"/>
            </c:ext>
          </c:extLst>
        </c:ser>
        <c:dLbls>
          <c:showLegendKey val="0"/>
          <c:showVal val="0"/>
          <c:showCatName val="0"/>
          <c:showSerName val="0"/>
          <c:showPercent val="0"/>
          <c:showBubbleSize val="0"/>
        </c:dLbls>
        <c:gapWidth val="219"/>
        <c:overlap val="-27"/>
        <c:axId val="693694608"/>
        <c:axId val="1631903184"/>
      </c:barChart>
      <c:catAx>
        <c:axId val="6936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03184"/>
        <c:crosses val="autoZero"/>
        <c:auto val="1"/>
        <c:lblAlgn val="ctr"/>
        <c:lblOffset val="100"/>
        <c:noMultiLvlLbl val="0"/>
      </c:catAx>
      <c:valAx>
        <c:axId val="16319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 Combined Revised'!$T$19</c:f>
              <c:strCache>
                <c:ptCount val="1"/>
                <c:pt idx="0">
                  <c:v>Average 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 Combined Revised'!$S$20:$S$23</c:f>
              <c:strCache>
                <c:ptCount val="4"/>
                <c:pt idx="0">
                  <c:v>Same Day (1)</c:v>
                </c:pt>
                <c:pt idx="1">
                  <c:v>First Class (2)</c:v>
                </c:pt>
                <c:pt idx="2">
                  <c:v>Second Class (3)</c:v>
                </c:pt>
                <c:pt idx="3">
                  <c:v>Standard (4)</c:v>
                </c:pt>
              </c:strCache>
            </c:strRef>
          </c:cat>
          <c:val>
            <c:numRef>
              <c:f>'CO Combined Revised'!$T$20:$T$23</c:f>
              <c:numCache>
                <c:formatCode>General</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4-3E72-584C-8886-CD1DFEDA49C2}"/>
            </c:ext>
          </c:extLst>
        </c:ser>
        <c:dLbls>
          <c:showLegendKey val="0"/>
          <c:showVal val="0"/>
          <c:showCatName val="0"/>
          <c:showSerName val="0"/>
          <c:showPercent val="0"/>
          <c:showBubbleSize val="0"/>
        </c:dLbls>
        <c:gapWidth val="150"/>
        <c:axId val="610639136"/>
        <c:axId val="610640848"/>
      </c:barChart>
      <c:catAx>
        <c:axId val="61063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40848"/>
        <c:crosses val="autoZero"/>
        <c:auto val="1"/>
        <c:lblAlgn val="ctr"/>
        <c:lblOffset val="100"/>
        <c:noMultiLvlLbl val="0"/>
      </c:catAx>
      <c:valAx>
        <c:axId val="61064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3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254730</xdr:colOff>
      <xdr:row>1</xdr:row>
      <xdr:rowOff>187946</xdr:rowOff>
    </xdr:from>
    <xdr:to>
      <xdr:col>18</xdr:col>
      <xdr:colOff>247578</xdr:colOff>
      <xdr:row>33</xdr:row>
      <xdr:rowOff>67296</xdr:rowOff>
    </xdr:to>
    <xdr:graphicFrame macro="">
      <xdr:nvGraphicFramePr>
        <xdr:cNvPr id="2" name="Chart 1">
          <a:extLst>
            <a:ext uri="{FF2B5EF4-FFF2-40B4-BE49-F238E27FC236}">
              <a16:creationId xmlns:a16="http://schemas.microsoft.com/office/drawing/2014/main" id="{D99594AA-98CC-8ECF-DBE6-63485C45C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251665</xdr:colOff>
      <xdr:row>2</xdr:row>
      <xdr:rowOff>2628</xdr:rowOff>
    </xdr:from>
    <xdr:to>
      <xdr:col>26</xdr:col>
      <xdr:colOff>125687</xdr:colOff>
      <xdr:row>23</xdr:row>
      <xdr:rowOff>65397</xdr:rowOff>
    </xdr:to>
    <xdr:graphicFrame macro="">
      <xdr:nvGraphicFramePr>
        <xdr:cNvPr id="3" name="Chart 2">
          <a:extLst>
            <a:ext uri="{FF2B5EF4-FFF2-40B4-BE49-F238E27FC236}">
              <a16:creationId xmlns:a16="http://schemas.microsoft.com/office/drawing/2014/main" id="{799CBE0A-A122-1543-9078-53B98BA04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17258</xdr:colOff>
      <xdr:row>14</xdr:row>
      <xdr:rowOff>150072</xdr:rowOff>
    </xdr:from>
    <xdr:to>
      <xdr:col>6</xdr:col>
      <xdr:colOff>1103313</xdr:colOff>
      <xdr:row>21</xdr:row>
      <xdr:rowOff>10372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4714823B-497E-C2F9-9CE6-4E37C03855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12139" y="2901739"/>
              <a:ext cx="1842007" cy="1236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12613</xdr:colOff>
      <xdr:row>2</xdr:row>
      <xdr:rowOff>2740</xdr:rowOff>
    </xdr:from>
    <xdr:to>
      <xdr:col>6</xdr:col>
      <xdr:colOff>1098668</xdr:colOff>
      <xdr:row>14</xdr:row>
      <xdr:rowOff>145609</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7BB429A6-B2BB-7BB8-5009-EEFE833610B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07494" y="395835"/>
              <a:ext cx="1842007" cy="250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22335</xdr:colOff>
      <xdr:row>21</xdr:row>
      <xdr:rowOff>17960</xdr:rowOff>
    </xdr:from>
    <xdr:to>
      <xdr:col>6</xdr:col>
      <xdr:colOff>1100059</xdr:colOff>
      <xdr:row>33</xdr:row>
      <xdr:rowOff>154093</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6A1DA4F9-1C1D-7BFC-EF50-95D02528700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17216" y="4145460"/>
              <a:ext cx="1833676" cy="2494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28512</xdr:colOff>
      <xdr:row>33</xdr:row>
      <xdr:rowOff>160007</xdr:rowOff>
    </xdr:from>
    <xdr:to>
      <xdr:col>6</xdr:col>
      <xdr:colOff>1101940</xdr:colOff>
      <xdr:row>41</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0A9F02C-B576-666C-BDAA-3C74F6AA28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23393" y="6646078"/>
              <a:ext cx="1829380" cy="1488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749300</xdr:colOff>
      <xdr:row>1</xdr:row>
      <xdr:rowOff>82550</xdr:rowOff>
    </xdr:from>
    <xdr:to>
      <xdr:col>8</xdr:col>
      <xdr:colOff>368300</xdr:colOff>
      <xdr:row>15</xdr:row>
      <xdr:rowOff>158750</xdr:rowOff>
    </xdr:to>
    <xdr:graphicFrame macro="">
      <xdr:nvGraphicFramePr>
        <xdr:cNvPr id="2" name="Chart 1">
          <a:extLst>
            <a:ext uri="{FF2B5EF4-FFF2-40B4-BE49-F238E27FC236}">
              <a16:creationId xmlns:a16="http://schemas.microsoft.com/office/drawing/2014/main" id="{3C10C328-7456-BBB4-81E4-F9B09D333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336550</xdr:colOff>
      <xdr:row>0</xdr:row>
      <xdr:rowOff>139700</xdr:rowOff>
    </xdr:from>
    <xdr:to>
      <xdr:col>22</xdr:col>
      <xdr:colOff>177800</xdr:colOff>
      <xdr:row>17</xdr:row>
      <xdr:rowOff>76200</xdr:rowOff>
    </xdr:to>
    <xdr:graphicFrame macro="">
      <xdr:nvGraphicFramePr>
        <xdr:cNvPr id="3" name="Chart 2">
          <a:extLst>
            <a:ext uri="{FF2B5EF4-FFF2-40B4-BE49-F238E27FC236}">
              <a16:creationId xmlns:a16="http://schemas.microsoft.com/office/drawing/2014/main" id="{139FC038-4634-F776-5506-AB66F9B8F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Mendoza" refreshedDate="46007.552547222222" createdVersion="8" refreshedVersion="8" minRefreshableVersion="3" recordCount="394" xr:uid="{F5E65D33-60B6-594C-86D3-175F9F7E4C17}">
  <cacheSource type="worksheet">
    <worksheetSource name="CO_Combined"/>
  </cacheSource>
  <cacheFields count="17">
    <cacheField name="Order ID" numFmtId="0">
      <sharedItems/>
    </cacheField>
    <cacheField name="Customer Code" numFmtId="0">
      <sharedItems/>
    </cacheField>
    <cacheField name="Customer Name" numFmtId="0">
      <sharedItems/>
    </cacheField>
    <cacheField name="Segment"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 numFmtId="0">
      <sharedItems/>
    </cacheField>
    <cacheField name="Ship Date" numFmtId="0">
      <sharedItems containsSemiMixedTypes="0" containsString="0" containsNumber="1" containsInteger="1" minValue="41654" maxValue="43100" count="332">
        <n v="42920"/>
        <n v="42845"/>
        <n v="41763"/>
        <n v="42284"/>
        <n v="41734"/>
        <n v="41774"/>
        <n v="42001"/>
        <n v="42762"/>
        <n v="42573"/>
        <n v="43072"/>
        <n v="42567"/>
        <n v="42040"/>
        <n v="42323"/>
        <n v="43100"/>
        <n v="41754"/>
        <n v="43025"/>
        <n v="42136"/>
        <n v="42690"/>
        <n v="42724"/>
        <n v="42133"/>
        <n v="41932"/>
        <n v="41867"/>
        <n v="41837"/>
        <n v="42870"/>
        <n v="42616"/>
        <n v="41847"/>
        <n v="42447"/>
        <n v="42979"/>
        <n v="42909"/>
        <n v="41920"/>
        <n v="42672"/>
        <n v="42682"/>
        <n v="42623"/>
        <n v="42643"/>
        <n v="41901"/>
        <n v="42986"/>
        <n v="43061"/>
        <n v="42693"/>
        <n v="43060"/>
        <n v="41705"/>
        <n v="41717"/>
        <n v="42096"/>
        <n v="42842"/>
        <n v="42892"/>
        <n v="42550"/>
        <n v="41786"/>
        <n v="42252"/>
        <n v="42878"/>
        <n v="42950"/>
        <n v="42720"/>
        <n v="43050"/>
        <n v="43014"/>
        <n v="42985"/>
        <n v="41915"/>
        <n v="41779"/>
        <n v="42376"/>
        <n v="42984"/>
        <n v="42294"/>
        <n v="41654"/>
        <n v="42193"/>
        <n v="41903"/>
        <n v="42173"/>
        <n v="42633"/>
        <n v="43069"/>
        <n v="43065"/>
        <n v="43013"/>
        <n v="42517"/>
        <n v="42696"/>
        <n v="42710"/>
        <n v="41706"/>
        <n v="42003"/>
        <n v="42705"/>
        <n v="42948"/>
        <n v="42739"/>
        <n v="42460"/>
        <n v="42954"/>
        <n v="42369"/>
        <n v="42256"/>
        <n v="43098"/>
        <n v="42334"/>
        <n v="42843"/>
        <n v="43086"/>
        <n v="42338"/>
        <n v="43081"/>
        <n v="42109"/>
        <n v="41838"/>
        <n v="42911"/>
        <n v="43074"/>
        <n v="42321"/>
        <n v="42829"/>
        <n v="42860"/>
        <n v="41857"/>
        <n v="42636"/>
        <n v="42278"/>
        <n v="42721"/>
        <n v="41840"/>
        <n v="41730"/>
        <n v="42697"/>
        <n v="42627"/>
        <n v="43062"/>
        <n v="41762"/>
        <n v="42262"/>
        <n v="42999"/>
        <n v="42397"/>
        <n v="42907"/>
        <n v="42684"/>
        <n v="42821"/>
        <n v="42707"/>
        <n v="42686"/>
        <n v="43090"/>
        <n v="43089"/>
        <n v="42626"/>
        <n v="41941"/>
        <n v="43016"/>
        <n v="42624"/>
        <n v="41823"/>
        <n v="43007"/>
        <n v="43091"/>
        <n v="41899"/>
        <n v="42454"/>
        <n v="43046"/>
        <n v="42735"/>
        <n v="42500"/>
        <n v="43078"/>
        <n v="42589"/>
        <n v="42427"/>
        <n v="42996"/>
        <n v="42346"/>
        <n v="42983"/>
        <n v="43057"/>
        <n v="42728"/>
        <n v="41936"/>
        <n v="42327"/>
        <n v="43027"/>
        <n v="41970"/>
        <n v="41817"/>
        <n v="42006"/>
        <n v="42701"/>
        <n v="41968"/>
        <n v="42483"/>
        <n v="42873"/>
        <n v="42076"/>
        <n v="42711"/>
        <n v="41945"/>
        <n v="43083"/>
        <n v="42057"/>
        <n v="42915"/>
        <n v="42305"/>
        <n v="41996"/>
        <n v="43082"/>
        <n v="41942"/>
        <n v="42186"/>
        <n v="41979"/>
        <n v="42557"/>
        <n v="42255"/>
        <n v="42937"/>
        <n v="42170"/>
        <n v="41853"/>
        <n v="42222"/>
        <n v="42635"/>
        <n v="42854"/>
        <n v="42837"/>
        <n v="42639"/>
        <n v="42823"/>
        <n v="42508"/>
        <n v="42875"/>
        <n v="41946"/>
        <n v="42809"/>
        <n v="41929"/>
        <n v="42991"/>
        <n v="43075"/>
        <n v="42347"/>
        <n v="41965"/>
        <n v="41885"/>
        <n v="42982"/>
        <n v="42867"/>
        <n v="42687"/>
        <n v="42271"/>
        <n v="42012"/>
        <n v="41715"/>
        <n v="42402"/>
        <n v="42671"/>
        <n v="42307"/>
        <n v="42734"/>
        <n v="43005"/>
        <n v="42437"/>
        <n v="42140"/>
        <n v="42547"/>
        <n v="42070"/>
        <n v="42989"/>
        <n v="42524"/>
        <n v="41963"/>
        <n v="43029"/>
        <n v="41778"/>
        <n v="42646"/>
        <n v="42976"/>
        <n v="42134"/>
        <n v="42349"/>
        <n v="42407"/>
        <n v="42830"/>
        <n v="42144"/>
        <n v="42013"/>
        <n v="42935"/>
        <n v="42725"/>
        <n v="42497"/>
        <n v="43026"/>
        <n v="42132"/>
        <n v="42097"/>
        <n v="42990"/>
        <n v="41961"/>
        <n v="42172"/>
        <n v="41761"/>
        <n v="42227"/>
        <n v="41741"/>
        <n v="42796"/>
        <n v="42922"/>
        <n v="42621"/>
        <n v="42879"/>
        <n v="42027"/>
        <n v="42629"/>
        <n v="41940"/>
        <n v="42998"/>
        <n v="42601"/>
        <n v="42587"/>
        <n v="42833"/>
        <n v="43095"/>
        <n v="41927"/>
        <n v="43045"/>
        <n v="41951"/>
        <n v="42120"/>
        <n v="42005"/>
        <n v="43066"/>
        <n v="42653"/>
        <n v="43043"/>
        <n v="42970"/>
        <n v="42872"/>
        <n v="42641"/>
        <n v="42325"/>
        <n v="42753"/>
        <n v="42943"/>
        <n v="42665"/>
        <n v="43084"/>
        <n v="42630"/>
        <n v="43058"/>
        <n v="42570"/>
        <n v="43003"/>
        <n v="41878"/>
        <n v="43092"/>
        <n v="42516"/>
        <n v="42941"/>
        <n v="43006"/>
        <n v="43094"/>
        <n v="41753"/>
        <n v="42389"/>
        <n v="41889"/>
        <n v="42371"/>
        <n v="42007"/>
        <n v="42631"/>
        <n v="41844"/>
        <n v="42108"/>
        <n v="42513"/>
        <n v="41902"/>
        <n v="42267"/>
        <n v="43048"/>
        <n v="41773"/>
        <n v="42335"/>
        <n v="42921"/>
        <n v="42615"/>
        <n v="42261"/>
        <n v="42341"/>
        <n v="42361"/>
        <n v="41752"/>
        <n v="42496"/>
        <n v="41976"/>
        <n v="42332"/>
        <n v="42269"/>
        <n v="41986"/>
        <n v="42410"/>
        <n v="42900"/>
        <n v="43052"/>
        <n v="42264"/>
        <n v="42855"/>
        <n v="41694"/>
        <n v="42008"/>
        <n v="42448"/>
        <n v="42273"/>
        <n v="41759"/>
        <n v="41886"/>
        <n v="42139"/>
        <n v="42691"/>
        <n v="42927"/>
        <n v="42712"/>
        <n v="42259"/>
        <n v="42826"/>
        <n v="42363"/>
        <n v="42537"/>
        <n v="42317"/>
        <n v="42817"/>
        <n v="42360"/>
        <n v="42088"/>
        <n v="42554"/>
        <n v="41737"/>
        <n v="42651"/>
        <n v="41999"/>
        <n v="42146"/>
        <n v="42539"/>
        <n v="43023"/>
        <n v="42160"/>
        <n v="42320"/>
        <n v="42716"/>
        <n v="42082"/>
        <n v="43056"/>
        <n v="42887"/>
        <n v="42319"/>
        <n v="42857"/>
        <n v="42357"/>
        <n v="41848"/>
        <n v="42819"/>
        <n v="42640"/>
        <n v="42987"/>
        <n v="42944"/>
        <n v="41911"/>
        <n v="42487"/>
        <n v="42831"/>
        <n v="42521"/>
        <n v="42669"/>
        <n v="42167"/>
        <n v="41973"/>
        <n v="42472"/>
        <n v="43019"/>
        <n v="42211"/>
        <n v="42714"/>
      </sharedItems>
    </cacheField>
    <cacheField name="Ship Mode" numFmtId="0">
      <sharedItems containsSemiMixedTypes="0" containsString="0" containsNumber="1" containsInteger="1" minValue="1" maxValue="4" count="4">
        <n v="4"/>
        <n v="1"/>
        <n v="2"/>
        <n v="3"/>
      </sharedItems>
    </cacheField>
    <cacheField name="Product ID" numFmtId="0">
      <sharedItems/>
    </cacheField>
    <cacheField name="Quantity" numFmtId="0">
      <sharedItems containsSemiMixedTypes="0" containsString="0" containsNumber="1" containsInteger="1" minValue="1" maxValue="46"/>
    </cacheField>
    <cacheField name="Discount Used" numFmtId="0">
      <sharedItems containsSemiMixedTypes="0" containsString="0" containsNumber="1" containsInteger="1" minValue="0" maxValue="1"/>
    </cacheField>
    <cacheField name="Discount Percent" numFmtId="0">
      <sharedItems containsSemiMixedTypes="0" containsString="0" containsNumber="1" minValue="0" maxValue="0.8"/>
    </cacheField>
    <cacheField name="IsHoliday" numFmtId="0">
      <sharedItems/>
    </cacheField>
    <cacheField name="Order Date" numFmtId="0">
      <sharedItems containsSemiMixedTypes="0" containsString="0" containsNumber="1" containsInteger="1" minValue="41649" maxValue="43093"/>
    </cacheField>
    <cacheField name="OrderLag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0853052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Mendoza" refreshedDate="46020.56046828704" createdVersion="8" refreshedVersion="8" minRefreshableVersion="3" recordCount="213" xr:uid="{C45A6429-251C-5F41-918B-969C140315C0}">
  <cacheSource type="worksheet">
    <worksheetSource name="Table4"/>
  </cacheSource>
  <cacheFields count="8">
    <cacheField name="Customer Code" numFmtId="0">
      <sharedItems count="211">
        <s v="AA-10315"/>
        <s v="AA-10317"/>
        <s v="AA-10318"/>
        <s v="AA-10326"/>
        <s v="AA-10375"/>
        <s v="AA-10379"/>
        <s v="AA-10385"/>
        <s v="AA-10387"/>
        <s v="AA-10390"/>
        <s v="AA-10395"/>
        <s v="AA-10397"/>
        <s v="AA-10399"/>
        <s v="AA-10472"/>
        <s v="AA-10480"/>
        <s v="AA-10645"/>
        <s v="AA-10646"/>
        <s v="AA-10649"/>
        <s v="AA-10654"/>
        <s v="AA-10658"/>
        <s v="AA-10675"/>
        <s v="BA-10015"/>
        <s v="BA-10018"/>
        <s v="BA-10023"/>
        <s v="BA-10060"/>
        <s v="BA-10063"/>
        <s v="BA-10069"/>
        <s v="BA-10071"/>
        <s v="BA-10074"/>
        <s v="BA-10082"/>
        <s v="BA-10091"/>
        <s v="BA-10096"/>
        <s v="BA-10105"/>
        <s v="BA-10108"/>
        <s v="BA-10115"/>
        <s v="BA-10119"/>
        <s v="BA-10121"/>
        <s v="BA-10124"/>
        <s v="BA-10127"/>
        <s v="BA-10129"/>
        <s v="BA-10132"/>
        <s v="BA-10142"/>
        <s v="BA-10150"/>
        <s v="BA-10156"/>
        <s v="BA-10160"/>
        <s v="BA-10161"/>
        <s v="BA-10165"/>
        <s v="BA-10171"/>
        <s v="BA-10255"/>
        <s v="BA-10258"/>
        <s v="BA-10262"/>
        <s v="BA-10267"/>
        <s v="BA-10275"/>
        <s v="BA-10278"/>
        <s v="BA-10280"/>
        <s v="BA-10600"/>
        <s v="BA-10602"/>
        <s v="BA-10607"/>
        <s v="BA-10609"/>
        <s v="CA-10420"/>
        <s v="CA-10450"/>
        <s v="CA-10453"/>
        <s v="CA-10459"/>
        <s v="CA-10463"/>
        <s v="CA-10471"/>
        <s v="CA-10615"/>
        <s v="CA-10625"/>
        <s v="CA-10632"/>
        <s v="CA-10635"/>
        <s v="CA-10660"/>
        <s v="CA-10668"/>
        <s v="CA-10669"/>
        <s v="DA-10180"/>
        <s v="DA-10187"/>
        <s v="DA-10194"/>
        <s v="DA-10198"/>
        <s v="DA-10199"/>
        <s v="DA-10211"/>
        <s v="FA-10870"/>
        <s v="FA-10873"/>
        <s v="FA-10877"/>
        <s v="FA-10882"/>
        <s v="FA-10884"/>
        <s v="FA-10885"/>
        <s v="FA-10899"/>
        <s v="GA-10525"/>
        <s v="GA-10270"/>
        <s v="GA-10276"/>
        <s v="GA-10278"/>
        <s v="GA-10288"/>
        <s v="GA-10300"/>
        <s v="GA-10330"/>
        <s v="GA-10390"/>
        <s v="GA-10495"/>
        <s v="GA-10497"/>
        <s v="GA-10506"/>
        <s v="GA-10511"/>
        <s v="GA-10528"/>
        <s v="GA-10675"/>
        <s v="GA-10683"/>
        <s v="GA-10685"/>
        <s v="GA-10682"/>
        <s v="GA-10694"/>
        <s v="GA-10765"/>
        <s v="GA-10769"/>
        <s v="GA-10776"/>
        <s v="GA-10900"/>
        <s v="GA-10903"/>
        <s v="GA-10907"/>
        <s v="GA-10908"/>
        <s v="GA-10911"/>
        <s v="HA-10030"/>
        <s v="HA-10034"/>
        <s v="HA-10036"/>
        <s v="HA-10043"/>
        <s v="HA-10075"/>
        <s v="HA-10079"/>
        <s v="HA-10082"/>
        <s v="HA-10088"/>
        <s v="HA-10091"/>
        <s v="HA-10095"/>
        <s v="HA-10120"/>
        <s v="HA-10126"/>
        <s v="HA-10127"/>
        <s v="HA-10130"/>
        <s v="HA-10195"/>
        <s v="HA-10198"/>
        <s v="HA-10199"/>
        <s v="HA-10210"/>
        <s v="HA-10212"/>
        <s v="HA-10214"/>
        <s v="HA-10465"/>
        <s v="HA-10471"/>
        <s v="HA-10585"/>
        <s v="HA-10587"/>
        <s v="HA-10690"/>
        <s v="HA-10693"/>
        <s v="HA-10696"/>
        <s v="HA-10699"/>
        <s v="HA-10700"/>
        <s v="IA-10853"/>
        <s v="IA-10855"/>
        <s v="IA-10858"/>
        <s v="IA-10865"/>
        <s v="JA-10780"/>
        <s v="JA-10784"/>
        <s v="JA-10788"/>
        <s v="JA-10795"/>
        <s v="JA-10796"/>
        <s v="JA-10797"/>
        <s v="JA-10799"/>
        <s v="JA-10940"/>
        <s v="JA-10945"/>
        <s v="JA-10960"/>
        <s v="MA-10360"/>
        <s v="MA-10364"/>
        <s v="MA-10705"/>
        <s v="MA-10709"/>
        <s v="MA-10713"/>
        <s v="MA-10715"/>
        <s v="OA-10810"/>
        <s v="PA-10720"/>
        <s v="PA-10722"/>
        <s v="PA-10727"/>
        <s v="PA-10728"/>
        <s v="PA-10915"/>
        <s v="PA-10923"/>
        <s v="PA-10925"/>
        <s v="PA-10934"/>
        <s v="PA-10942"/>
        <s v="PA-10945"/>
        <s v="RA-10345"/>
        <s v="RA-10405"/>
        <s v="RA-10510"/>
        <s v="RA-10540"/>
        <s v="RA-10570"/>
        <s v="RA-10825"/>
        <s v="RA-10828"/>
        <s v="SA-10045"/>
        <s v="SA-10041"/>
        <s v="SA-10090"/>
        <s v="SA-10092"/>
        <s v="SA-10097"/>
        <s v="SA-10099"/>
        <s v="SA-10103"/>
        <s v="SA-10105"/>
        <s v="SA-10135"/>
        <s v="SA-10225"/>
        <s v="SA-10228"/>
        <s v="SA-10240"/>
        <s v="SA-10242"/>
        <s v="SA-10251"/>
        <s v="SA-10285"/>
        <s v="SA-10287"/>
        <s v="SA-10630"/>
        <s v="SA-10633"/>
        <s v="SA-10636"/>
        <s v="TA-10435"/>
        <s v="TA-10735"/>
        <s v="TA-10738"/>
        <s v="TA-10741"/>
        <s v="TA-10744"/>
        <s v="WA-10840"/>
        <s v="WA-10930"/>
        <s v="WA-10933"/>
        <s v="WA-10937"/>
        <s v="WA-10940"/>
        <s v="YA-10555"/>
        <s v="YA-10558"/>
        <s v="ZA-10750"/>
        <s v="ZA-10751"/>
        <s v="ZA-10760"/>
      </sharedItems>
    </cacheField>
    <cacheField name="Customer Name" numFmtId="0">
      <sharedItems count="208">
        <s v="Alex Avila"/>
        <s v="Andrew Avila"/>
        <s v="Andrew Ayalla"/>
        <s v="Alex Atu"/>
        <s v="Allen Armold"/>
        <s v="Anh Athom"/>
        <s v="Aaron An"/>
        <s v="Aaron Arie"/>
        <s v="Alan Anderson"/>
        <s v="Andrew Anderson"/>
        <s v="Anna Armold"/>
        <s v="Allen Atomi"/>
        <s v="Andrew Allen"/>
        <s v="Anna Andreadi"/>
        <s v="Anna Avilla"/>
        <s v="Alexander Anderson"/>
        <s v="Aaron Allen"/>
        <s v="An Tran"/>
        <s v="Aaron Bergman"/>
        <s v="Alex Andrews"/>
        <s v="Adam Bellavance"/>
        <s v="Adel Brings"/>
        <s v="Ann Boynes"/>
        <s v="Antoine Beacon"/>
        <s v="Anh Tam"/>
        <s v="Antonio Bege"/>
        <s v="Ang Li"/>
        <s v="Andy Burg"/>
        <s v="Adrian Barton"/>
        <s v="Aaron Beze"/>
        <s v="Anh Bui"/>
        <s v="Ashley Barr"/>
        <s v="Alysa Benz"/>
        <s v="Ahz Brinez"/>
        <s v="Ava Benidictine"/>
        <s v="Anderson Benz"/>
        <s v="Atulo Bruche"/>
        <s v="Adrian Boynes"/>
        <s v="Aimee Bixby"/>
        <s v="Angel Bui"/>
        <s v="Adita Baxter"/>
        <s v="Amy Banh"/>
        <s v="Alan Barnes"/>
        <s v="Andy Bithis"/>
        <s v="Alejandro Ballentine"/>
        <s v="Alex Ball"/>
        <s v="Andy Banez"/>
        <s v="Adel Bolivia"/>
        <s v="Aye Burgez"/>
        <s v="Adrian Bidez"/>
        <s v="Aiden Bea"/>
        <s v="Ann Blume"/>
        <s v="Anita Bam"/>
        <s v="Alun Baveen"/>
        <s v="Arthur Bon"/>
        <s v="Alyssa Crouse"/>
        <s v="Amy Cox"/>
        <s v="Alexander Canne"/>
        <s v="Anthony Chartes"/>
        <s v="Aaron Chase"/>
        <s v="Amie Charles"/>
        <s v="Ann Chong"/>
        <s v="An Cillian"/>
        <s v="Aaron Chu"/>
        <s v="Amy Chulz"/>
        <s v="Anna Chung"/>
        <s v="Antoinnet Cruz"/>
        <s v="Austin Canes"/>
        <s v="Alan Dominguez"/>
        <s v="Alan Dao"/>
        <s v="Angel Dumas"/>
        <s v="Agustin Diaz"/>
        <s v="Alena Diaz"/>
        <s v="Alan Dole"/>
        <s v="Art Ferguson"/>
        <s v="Arthur Feng"/>
        <s v="Annie Farnum"/>
        <s v="Ava Finche"/>
        <s v="Anil Fey"/>
        <s v="Art Foster"/>
        <s v="Antonio Fu"/>
        <s v="Andy Gerbode"/>
        <s v="Alejandro Grove"/>
        <s v="Alisa Guiterez"/>
        <s v="Amie Grand"/>
        <s v="Alphonso Greig"/>
        <s v="Aleksandra Gannaway"/>
        <s v="Alex Grayson"/>
        <s v="Allen Goldenen"/>
        <s v="Andrew Gjertsen"/>
        <s v="Anthonio Garcia"/>
        <s v="Angel Gulian"/>
        <s v="Amy Goue"/>
        <s v="Abigal Gandi"/>
        <s v="Anna Gayman"/>
        <s v="Arthur Gonzalez"/>
        <s v="Abi Green"/>
        <s v="Angie Gouge"/>
        <s v="Ann Goefs"/>
        <s v="Anthony Garverick"/>
        <s v="Andy Green"/>
        <s v="Abis Gurfiez"/>
        <s v="Arthur Gainer"/>
        <s v="Anh Ly"/>
        <s v="Allen Golberg"/>
        <s v="August Ga"/>
        <s v="Allan Gomez"/>
        <s v="Aaron Hawkins"/>
        <s v="Arthur Holmes"/>
        <s v="Alisa Henry"/>
        <s v="Ana Hughes"/>
        <s v="Adam Hart"/>
        <s v="Aden Henry"/>
        <s v="Aleen Hope"/>
        <s v="Andy Henry"/>
        <s v="Alan Hernandez"/>
        <s v="Angel Hirosi"/>
        <s v="Adrian Hane"/>
        <s v="Amy Hernandez"/>
        <s v="Alex Hultz"/>
        <s v="Art Himenez"/>
        <s v="Alan Haines"/>
        <s v="Amie Humble"/>
        <s v="Andrew Hertz"/>
        <s v="Alan Hwang"/>
        <s v="Ali Hernandez"/>
        <s v="Andy Harper"/>
        <s v="Amy Hunt"/>
        <s v="Allen Hughes"/>
        <s v="Angele Hood"/>
        <s v="Anthony Handerson"/>
        <s v="Anna Häberlin"/>
        <s v="Andrew Heb"/>
        <s v="Aaron Hadine"/>
        <s v="Ava Himenez"/>
        <s v="Adam Hsu"/>
        <s v="Alisya Igor"/>
        <s v="Arianne Irving"/>
        <s v="Aturoa Ignes"/>
        <s v="Alaine Igpal"/>
        <s v="Anthony Jacobs"/>
        <s v="Anderson Jibbs"/>
        <s v="Agnes Johns"/>
        <s v="Anthony Johnson"/>
        <s v="Alex Jimenez"/>
        <s v="Alanza Jackson"/>
        <s v="Alisio Johnson"/>
        <s v="Allan Jackson"/>
        <s v="Ashley Jarboe"/>
        <s v="Astrea Jones"/>
        <s v="Alice McCarthy"/>
        <s v="Arie Mendoza"/>
        <s v="Anne McFarland"/>
        <s v="Al Mich"/>
        <s v="Athur Maines"/>
        <s v="Aaron Mitchel"/>
        <s v="Anthony O'Donnell"/>
        <s v="Anne Pryor"/>
        <s v="Ann Porter"/>
        <s v="Agnes Peters"/>
        <s v="Alison Phage"/>
        <s v="Arthur Prichep"/>
        <s v="Alex Pennes"/>
        <s v="Anita Preacher"/>
        <s v="Alice Prince"/>
        <s v="Andy Phillips"/>
        <s v="Antonio Pinebrook"/>
        <s v="Alex Russell"/>
        <s v="Allen Rosenblatt"/>
        <s v="Andrew Roberts"/>
        <s v="Andy Reiter"/>
        <s v="Anemone Ratner"/>
        <s v="Anthony Rawles"/>
        <s v="Alan Richies"/>
        <s v="Aaron Smayling"/>
        <s v="Alison Summers"/>
        <s v="Adam Shillingsburg"/>
        <s v="Art Santana"/>
        <s v="Ajay Santos"/>
        <s v="Alphonso Sami"/>
        <s v="Alejandro Smeltz"/>
        <s v="Al Saminuto"/>
        <s v="Adrian Shami"/>
        <s v="Alan Schoenberger"/>
        <s v="Andy Sherlock"/>
        <s v="Alan Shonely"/>
        <s v="Anna Shoves"/>
        <s v="Ann Shrives"/>
        <s v="Alejandro Savely"/>
        <s v="Aaron Suchetz"/>
        <s v="Ann Steele"/>
        <s v="Ali Smiths"/>
        <s v="Alphonso Smiths"/>
        <s v="Alyssa Tate"/>
        <s v="Annie Thurman"/>
        <s v="Alex Tam"/>
        <s v="Alan Tran"/>
        <s v="Alyssa Thompson"/>
        <s v="Anthony Witt"/>
        <s v="Arthur Wiediger"/>
        <s v="Anna Whites"/>
        <s v="Abraham Willison"/>
        <s v="Augustine Williamson"/>
        <s v="Andy Yotov"/>
        <s v="Albert Yebsky"/>
        <s v="Annie Zypern"/>
        <s v="Andrey Zackeriah"/>
        <s v="Aiden Zelensky"/>
      </sharedItems>
    </cacheField>
    <cacheField name="Segment" numFmtId="0">
      <sharedItems count="3">
        <s v="CON"/>
        <s v="HOF"/>
        <s v="COR"/>
      </sharedItems>
    </cacheField>
    <cacheField name="City" numFmtId="0">
      <sharedItems count="109">
        <s v="Minneapolis"/>
        <s v="San Francisco"/>
        <s v="Round Rock"/>
        <s v="New York City"/>
        <s v="Mesa"/>
        <s v="Omaha"/>
        <s v="Los Angeles"/>
        <s v="Salem"/>
        <s v="Atlanta"/>
        <s v="Rancho Cucamonga"/>
        <s v="Lebanon"/>
        <s v="Providence"/>
        <s v="Concord"/>
        <s v="Chester"/>
        <s v="Georgetown"/>
        <s v="San Diego"/>
        <s v="Lowell"/>
        <s v="Oklahoma City"/>
        <s v="Seattle"/>
        <s v="Arlington"/>
        <s v="Waynesboro"/>
        <s v="Philadelphia"/>
        <s v="Des Moines"/>
        <s v="Greenwood"/>
        <s v="Phoenix"/>
        <s v="Henderson"/>
        <s v="Pearland"/>
        <s v="Indianapolis"/>
        <s v="Portland"/>
        <s v="Detroit"/>
        <s v="Houston"/>
        <s v="Bloomington"/>
        <s v="Long Beach"/>
        <s v="Carrollton"/>
        <s v="Tulsa"/>
        <s v="Dallas"/>
        <s v="Yonkers"/>
        <s v="Lorain"/>
        <s v="Plano"/>
        <s v="Carlsbad"/>
        <s v="Jackson"/>
        <s v="Tucson"/>
        <s v="Chicago"/>
        <s v="Jacksonville"/>
        <s v="Lafayette"/>
        <s v="Pembroke Pines"/>
        <s v="Beaumont"/>
        <s v="Parma"/>
        <s v="Lawrence"/>
        <s v="Great Falls"/>
        <s v="Fairfield"/>
        <s v="College Station"/>
        <s v="Passaic"/>
        <s v="Homestead"/>
        <s v="Louisville"/>
        <s v="Saint Petersburg"/>
        <s v="West Jordan"/>
        <s v="Stockton"/>
        <s v="Cincinnati"/>
        <s v="Peoria"/>
        <s v="Allen"/>
        <s v="Columbus"/>
        <s v="Hampton"/>
        <s v="Waterbury"/>
        <s v="Las Vegas"/>
        <s v="Eau Claire"/>
        <s v="Troy"/>
        <s v="Knoxville"/>
        <s v="Cranston"/>
        <s v="Tamarac"/>
        <s v="Bethlehem"/>
        <s v="Brentwood"/>
        <s v="Anaheim"/>
        <s v="Plantation"/>
        <s v="Springfield"/>
        <s v="Glendale"/>
        <s v="Beverly"/>
        <s v="Baltimore"/>
        <s v="Apple Valley"/>
        <s v="Wilmington"/>
        <s v="Rochester"/>
        <s v="Grand Prairie"/>
        <s v="Auburn"/>
        <s v="Des Plaines"/>
        <s v="Malden"/>
        <s v="Fort Lauderdale"/>
        <s v="Fort Collins"/>
        <s v="Denver"/>
        <s v="Franklin"/>
        <s v="Vancouver"/>
        <s v="Austin"/>
        <s v="Redmond"/>
        <s v="Irving"/>
        <s v="Montgomery"/>
        <s v="Provo"/>
        <s v="Tampa"/>
        <s v="Cleveland"/>
        <s v="Palatine"/>
        <s v="Noblesville"/>
        <s v="Pasadena"/>
        <s v="Boynton Beach"/>
        <s v="Nashville"/>
        <s v="Morristown"/>
        <s v="Bristol"/>
        <s v="Bakersfield"/>
        <s v="Aurora"/>
        <s v="Helena"/>
        <s v="Oceanside"/>
        <s v="Wheeling"/>
      </sharedItems>
    </cacheField>
    <cacheField name="State" numFmtId="0">
      <sharedItems count="36">
        <s v="Minnesota"/>
        <s v="California"/>
        <s v="Texas"/>
        <s v="New York"/>
        <s v="Arizona"/>
        <s v="Nebraska"/>
        <s v="Oregon"/>
        <s v="Georgia"/>
        <s v="Tennessee"/>
        <s v="Rhode Island"/>
        <s v="North Carolina"/>
        <s v="Pennsylvania"/>
        <s v="Kentucky"/>
        <s v="Massachusetts"/>
        <s v="Oklahoma"/>
        <s v="Washington"/>
        <s v="New Hampshire"/>
        <s v="Virginia"/>
        <s v="Indiana"/>
        <s v="Michigan"/>
        <s v="Illinois"/>
        <s v="Ohio"/>
        <s v="New Mexico"/>
        <s v="Mississippi"/>
        <s v="Louisiana"/>
        <s v="Florida"/>
        <s v="Montana"/>
        <s v="Connecticut"/>
        <s v="New Jersey"/>
        <s v="Utah"/>
        <s v="Nevada"/>
        <s v="Wisconsin"/>
        <s v="Maryland"/>
        <s v="Alabama"/>
        <s v="Colorado"/>
        <s v="Missouri"/>
      </sharedItems>
    </cacheField>
    <cacheField name="Postal Code" numFmtId="0">
      <sharedItems containsSemiMixedTypes="0" containsString="0" containsNumber="1" containsInteger="1" minValue="1841" maxValue="98661"/>
    </cacheField>
    <cacheField name="Region" numFmtId="0">
      <sharedItems count="4">
        <s v="C"/>
        <s v="W"/>
        <s v="E"/>
        <s v="S"/>
      </sharedItems>
    </cacheField>
    <cacheField name="Country" numFmtId="0">
      <sharedItems/>
    </cacheField>
  </cacheFields>
  <extLst>
    <ext xmlns:x14="http://schemas.microsoft.com/office/spreadsheetml/2009/9/main" uri="{725AE2AE-9491-48be-B2B4-4EB974FC3084}">
      <x14:pivotCacheDefinition pivotCacheId="181049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
  <r>
    <s v="CA-2017-147039"/>
    <s v="AA-10315"/>
    <s v="Alex Avila"/>
    <s v="CON"/>
    <s v="Minneapolis"/>
    <s v="Minnesota"/>
    <n v="55407"/>
    <s v="C"/>
    <x v="0"/>
    <x v="0"/>
    <s v="OFF-BI-10004654"/>
    <n v="5"/>
    <n v="0"/>
    <n v="0"/>
    <b v="0"/>
    <n v="42915"/>
    <n v="5"/>
  </r>
  <r>
    <s v="CA-2017-114412"/>
    <s v="AA-10480"/>
    <s v="Andrew Allen"/>
    <s v="CON"/>
    <s v="Concord"/>
    <s v="North Carolina"/>
    <n v="28027"/>
    <s v="S"/>
    <x v="1"/>
    <x v="0"/>
    <s v="OFF-PA-10002365"/>
    <n v="3"/>
    <n v="1"/>
    <n v="0.2"/>
    <b v="0"/>
    <n v="42840"/>
    <n v="5"/>
  </r>
  <r>
    <s v="CA-2014-155271"/>
    <s v="AA-10480"/>
    <s v="Andrew Allen"/>
    <s v="CON"/>
    <s v="Concord"/>
    <s v="North Carolina"/>
    <n v="28027"/>
    <s v="S"/>
    <x v="2"/>
    <x v="1"/>
    <s v="FUR-FU-10001473"/>
    <n v="2"/>
    <n v="0"/>
    <n v="0"/>
    <b v="0"/>
    <n v="41763"/>
    <n v="0"/>
  </r>
  <r>
    <s v="CA-2015-121391"/>
    <s v="AA-10317"/>
    <s v="Andrew Avila"/>
    <s v="CON"/>
    <s v="San Francisco"/>
    <s v="California"/>
    <n v="94109"/>
    <s v="W"/>
    <x v="3"/>
    <x v="2"/>
    <s v="OFF-ST-10001590"/>
    <n v="2"/>
    <n v="0"/>
    <n v="0"/>
    <b v="0"/>
    <n v="42281"/>
    <n v="3"/>
  </r>
  <r>
    <s v="CA-2014-128055"/>
    <s v="AA-10317"/>
    <s v="Andrew Avila"/>
    <s v="CON"/>
    <s v="San Francisco"/>
    <s v="California"/>
    <n v="94109"/>
    <s v="W"/>
    <x v="4"/>
    <x v="0"/>
    <s v="OFF-BI-10004390"/>
    <n v="4"/>
    <n v="1"/>
    <n v="0.1"/>
    <b v="0"/>
    <n v="41729"/>
    <n v="5"/>
  </r>
  <r>
    <s v="CA-2014-167164"/>
    <s v="GA-10270"/>
    <s v="Alejandro Grove"/>
    <s v="CON"/>
    <s v="West Jordan"/>
    <s v="Utah"/>
    <n v="84084"/>
    <s v="W"/>
    <x v="5"/>
    <x v="3"/>
    <s v="OFF-ST-10000107"/>
    <n v="2"/>
    <n v="0"/>
    <n v="0"/>
    <b v="0"/>
    <n v="41772"/>
    <n v="2"/>
  </r>
  <r>
    <s v="US-2014-152030"/>
    <s v="DA-10180"/>
    <s v="Alan Dominguez"/>
    <s v="HOF"/>
    <s v="Great Falls"/>
    <s v="Montana"/>
    <n v="59405"/>
    <s v="W"/>
    <x v="6"/>
    <x v="3"/>
    <s v="FUR-CH-10004063"/>
    <n v="3"/>
    <n v="1"/>
    <n v="0.3"/>
    <b v="0"/>
    <n v="41999"/>
    <n v="2"/>
  </r>
  <r>
    <s v="CA-2017-127432"/>
    <s v="DA-10180"/>
    <s v="Alan Dominguez"/>
    <s v="HOF"/>
    <s v="Great Falls"/>
    <s v="Montana"/>
    <n v="59405"/>
    <s v="W"/>
    <x v="7"/>
    <x v="0"/>
    <s v="TEC-CO-10003236"/>
    <n v="13"/>
    <n v="0"/>
    <n v="0"/>
    <b v="1"/>
    <n v="42757"/>
    <n v="5"/>
  </r>
  <r>
    <s v="CA-2016-157000"/>
    <s v="MA-10360"/>
    <s v="Alice McCarthy"/>
    <s v="COR"/>
    <s v="Grand Prairie"/>
    <s v="Texas"/>
    <n v="75051"/>
    <s v="C"/>
    <x v="8"/>
    <x v="0"/>
    <s v="OFF-ST-10001328"/>
    <n v="6"/>
    <n v="1"/>
    <n v="0.2"/>
    <b v="0"/>
    <n v="42567"/>
    <n v="6"/>
  </r>
  <r>
    <s v="CA-2017-109701"/>
    <s v="MA-10364"/>
    <s v="Arie Mendoza"/>
    <s v="COR"/>
    <s v="Los Angeles"/>
    <s v="Texas"/>
    <n v="90032"/>
    <s v="W"/>
    <x v="9"/>
    <x v="1"/>
    <s v="OFF-PA-10003724"/>
    <n v="19"/>
    <n v="1"/>
    <n v="7.9999999999999988E-2"/>
    <b v="0"/>
    <n v="43071"/>
    <n v="1"/>
  </r>
  <r>
    <s v="CA-2016-126613"/>
    <s v="AA-10375"/>
    <s v="Allen Armold"/>
    <s v="CON"/>
    <s v="Mesa"/>
    <s v="Arizona"/>
    <n v="85204"/>
    <s v="W"/>
    <x v="10"/>
    <x v="0"/>
    <s v="OFF-ST-10001325"/>
    <n v="2"/>
    <n v="1"/>
    <n v="0.2"/>
    <b v="0"/>
    <n v="42561"/>
    <n v="6"/>
  </r>
  <r>
    <s v="CA-2015-140921"/>
    <s v="AA-10379"/>
    <s v="Anh Athom"/>
    <s v="CON"/>
    <s v="Omaha"/>
    <s v="Nebraska"/>
    <n v="68104"/>
    <s v="C"/>
    <x v="11"/>
    <x v="2"/>
    <s v="TEC-AC-10004901"/>
    <n v="5"/>
    <n v="0"/>
    <n v="0"/>
    <b v="0"/>
    <n v="42038"/>
    <n v="2"/>
  </r>
  <r>
    <s v="CA-2015-155040"/>
    <s v="HA-10210"/>
    <s v="Alan Hwang"/>
    <s v="CON"/>
    <s v="Brentwood"/>
    <s v="California"/>
    <n v="94513"/>
    <s v="W"/>
    <x v="12"/>
    <x v="0"/>
    <s v="TEC-AC-10004469"/>
    <n v="2"/>
    <n v="0"/>
    <n v="0"/>
    <b v="0"/>
    <n v="42318"/>
    <n v="5"/>
  </r>
  <r>
    <s v="CA-2017-147956"/>
    <s v="HA-10210"/>
    <s v="Alan Hwang"/>
    <s v="CON"/>
    <s v="Brentwood"/>
    <s v="California"/>
    <n v="94513"/>
    <s v="W"/>
    <x v="13"/>
    <x v="0"/>
    <s v="OFF-ST-10001097"/>
    <n v="6"/>
    <n v="0"/>
    <n v="0"/>
    <b v="0"/>
    <n v="43093"/>
    <n v="7"/>
  </r>
  <r>
    <s v="CA-2014-158064"/>
    <s v="AA-10385"/>
    <s v="Aaron An"/>
    <s v="CON"/>
    <s v="Los Angeles"/>
    <s v="California"/>
    <n v="90008"/>
    <s v="W"/>
    <x v="14"/>
    <x v="0"/>
    <s v="OFF-BI-10002976"/>
    <n v="5"/>
    <n v="1"/>
    <n v="0.2"/>
    <b v="0"/>
    <n v="41750"/>
    <n v="4"/>
  </r>
  <r>
    <s v="CA-2017-132976"/>
    <s v="GA-10495"/>
    <s v="Andrew Gjertsen"/>
    <s v="COR"/>
    <s v="Philadelphia"/>
    <s v="Pennsylvania"/>
    <n v="19140"/>
    <s v="E"/>
    <x v="15"/>
    <x v="0"/>
    <s v="OFF-ST-10000876"/>
    <n v="15"/>
    <n v="1"/>
    <n v="0.2"/>
    <b v="0"/>
    <n v="43021"/>
    <n v="4"/>
  </r>
  <r>
    <s v="CA-2015-109939"/>
    <s v="AA-10387"/>
    <s v="Aaron Arie"/>
    <s v="CON"/>
    <s v="Salem"/>
    <s v="Oregon"/>
    <n v="97301"/>
    <s v="W"/>
    <x v="16"/>
    <x v="0"/>
    <s v="OFF-AR-10000127"/>
    <n v="2"/>
    <n v="1"/>
    <n v="0.2"/>
    <b v="0"/>
    <n v="42132"/>
    <n v="4"/>
  </r>
  <r>
    <s v="CA-2016-131065"/>
    <s v="AA-10390"/>
    <s v="Alan Anderson"/>
    <s v="CON"/>
    <s v="Atlanta"/>
    <s v="Georgia"/>
    <n v="30318"/>
    <s v="S"/>
    <x v="17"/>
    <x v="3"/>
    <s v="TEC-AC-10004145"/>
    <n v="5"/>
    <n v="0"/>
    <n v="0"/>
    <b v="0"/>
    <n v="42688"/>
    <n v="2"/>
  </r>
  <r>
    <s v="CA-2016-112697"/>
    <s v="HA-10195"/>
    <s v="Alan Haines"/>
    <s v="COR"/>
    <s v="Tamarac"/>
    <s v="Florida"/>
    <n v="33319"/>
    <s v="S"/>
    <x v="18"/>
    <x v="3"/>
    <s v="OFF-SU-10000646"/>
    <n v="14"/>
    <n v="1"/>
    <n v="0.36666666666666664"/>
    <b v="0"/>
    <n v="42722"/>
    <n v="2"/>
  </r>
  <r>
    <s v="CA-2015-144253"/>
    <s v="SA-10225"/>
    <s v="Alan Schoenberger"/>
    <s v="COR"/>
    <s v="Montgomery"/>
    <s v="Alabama"/>
    <n v="36116"/>
    <s v="S"/>
    <x v="19"/>
    <x v="3"/>
    <s v="FUR-FU-10002671"/>
    <n v="2"/>
    <n v="0"/>
    <n v="0"/>
    <b v="0"/>
    <n v="42128"/>
    <n v="5"/>
  </r>
  <r>
    <s v="CA-2014-110408"/>
    <s v="SA-10225"/>
    <s v="Alan Schoenberger"/>
    <s v="COR"/>
    <s v="Montgomery"/>
    <s v="Alabama"/>
    <n v="36116"/>
    <s v="S"/>
    <x v="20"/>
    <x v="3"/>
    <s v="TEC-PH-10002352"/>
    <n v="14"/>
    <n v="0"/>
    <n v="0"/>
    <b v="0"/>
    <n v="41930"/>
    <n v="2"/>
  </r>
  <r>
    <s v="CA-2014-167850"/>
    <s v="GA-10525"/>
    <s v="Andy Gerbode"/>
    <s v="COR"/>
    <s v="Saint Petersburg"/>
    <s v="Texas"/>
    <n v="77095"/>
    <s v="S"/>
    <x v="21"/>
    <x v="0"/>
    <s v="TEC-PH-10002398"/>
    <n v="10"/>
    <n v="1"/>
    <n v="0.2"/>
    <b v="0"/>
    <n v="41860"/>
    <n v="7"/>
  </r>
  <r>
    <s v="CA-2014-129924"/>
    <s v="CA-10420"/>
    <s v="Alyssa Crouse"/>
    <s v="COR"/>
    <s v="San Francisco"/>
    <s v="California"/>
    <n v="94122"/>
    <s v="W"/>
    <x v="22"/>
    <x v="0"/>
    <s v="OFF-BI-10003314"/>
    <n v="10"/>
    <n v="1"/>
    <n v="0.2"/>
    <b v="1"/>
    <n v="41832"/>
    <n v="5"/>
  </r>
  <r>
    <s v="US-2017-158218"/>
    <s v="CA-10420"/>
    <s v="Alyssa Crouse"/>
    <s v="COR"/>
    <s v="San Francisco"/>
    <s v="California"/>
    <n v="94122"/>
    <s v="W"/>
    <x v="23"/>
    <x v="3"/>
    <s v="OFF-ST-10000563"/>
    <n v="18"/>
    <n v="1"/>
    <n v="0.5"/>
    <b v="0"/>
    <n v="42867"/>
    <n v="3"/>
  </r>
  <r>
    <s v="CA-2016-129714"/>
    <s v="BA-10060"/>
    <s v="Adam Bellavance"/>
    <s v="HOF"/>
    <s v="New York City"/>
    <s v="New York"/>
    <n v="10009"/>
    <s v="E"/>
    <x v="24"/>
    <x v="2"/>
    <s v="TEC-AC-10000290"/>
    <n v="12"/>
    <n v="1"/>
    <n v="0.08"/>
    <b v="0"/>
    <n v="42614"/>
    <n v="2"/>
  </r>
  <r>
    <s v="US-2014-119137"/>
    <s v="GA-10900"/>
    <s v="Arthur Gainer"/>
    <s v="CON"/>
    <s v="Tucson"/>
    <s v="Arizona"/>
    <n v="85705"/>
    <s v="W"/>
    <x v="25"/>
    <x v="0"/>
    <s v="TEC-AC-10003911"/>
    <n v="24"/>
    <n v="1"/>
    <n v="0.32500000000000001"/>
    <b v="0"/>
    <n v="41843"/>
    <n v="4"/>
  </r>
  <r>
    <s v="CA-2016-161207"/>
    <s v="BA-10063"/>
    <s v="Adel Brings"/>
    <s v="HOF"/>
    <s v="Concord"/>
    <s v="New Hampshire"/>
    <n v="3301"/>
    <s v="E"/>
    <x v="24"/>
    <x v="0"/>
    <s v="OFF-SU-10000381"/>
    <n v="3"/>
    <n v="0"/>
    <n v="0"/>
    <b v="0"/>
    <n v="42611"/>
    <n v="5"/>
  </r>
  <r>
    <s v="US-2016-108637"/>
    <s v="BA-10069"/>
    <s v="Ann Boynes"/>
    <s v="HOF"/>
    <s v="Waynesboro"/>
    <s v="Virginia"/>
    <n v="22980"/>
    <s v="S"/>
    <x v="26"/>
    <x v="0"/>
    <s v="OFF-BI-10004965"/>
    <n v="8"/>
    <n v="0"/>
    <n v="0"/>
    <b v="0"/>
    <n v="42442"/>
    <n v="5"/>
  </r>
  <r>
    <s v="US-2017-134481"/>
    <s v="RA-10405"/>
    <s v="Allen Rosenblatt"/>
    <s v="COR"/>
    <s v="Franklin"/>
    <s v="Massachusetts"/>
    <n v="2038"/>
    <s v="E"/>
    <x v="27"/>
    <x v="0"/>
    <s v="FUR-TA-10004915"/>
    <n v="7"/>
    <n v="1"/>
    <n v="0.3"/>
    <b v="0"/>
    <n v="42974"/>
    <n v="5"/>
  </r>
  <r>
    <s v="CA-2017-140844"/>
    <s v="RA-10405"/>
    <s v="Allen Rosenblatt"/>
    <s v="COR"/>
    <s v="Franklin"/>
    <s v="Massachusetts"/>
    <n v="2038"/>
    <s v="E"/>
    <x v="28"/>
    <x v="0"/>
    <s v="TEC-AC-10001101"/>
    <n v="10"/>
    <n v="0"/>
    <n v="0"/>
    <b v="0"/>
    <n v="42905"/>
    <n v="4"/>
  </r>
  <r>
    <s v="CA-2014-157882"/>
    <s v="RA-10405"/>
    <s v="Allen Rosenblatt"/>
    <s v="COR"/>
    <s v="Franklin"/>
    <s v="Massachusetts"/>
    <n v="2038"/>
    <s v="E"/>
    <x v="29"/>
    <x v="0"/>
    <s v="FUR-TA-10001866"/>
    <n v="4"/>
    <n v="1"/>
    <n v="0.2"/>
    <b v="0"/>
    <n v="41915"/>
    <n v="5"/>
  </r>
  <r>
    <s v="CA-2016-134775"/>
    <s v="SA-10285"/>
    <s v="Alejandro Savely"/>
    <s v="COR"/>
    <s v="Palatine"/>
    <s v="Illinois"/>
    <n v="60067"/>
    <s v="C"/>
    <x v="30"/>
    <x v="2"/>
    <s v="OFF-PA-10004734"/>
    <n v="10"/>
    <n v="1"/>
    <n v="0.1"/>
    <b v="1"/>
    <n v="42671"/>
    <n v="1"/>
  </r>
  <r>
    <s v="CA-2016-163755"/>
    <s v="SA-10285"/>
    <s v="Alejandro Savely"/>
    <s v="COR"/>
    <s v="Palatine"/>
    <s v="Illinois"/>
    <n v="60067"/>
    <s v="C"/>
    <x v="31"/>
    <x v="2"/>
    <s v="FUR-FU-10003394"/>
    <n v="3"/>
    <n v="0"/>
    <n v="0"/>
    <b v="0"/>
    <n v="42678"/>
    <n v="4"/>
  </r>
  <r>
    <s v="CA-2016-108987"/>
    <s v="GA-10675"/>
    <s v="Anna Gayman"/>
    <s v="CON"/>
    <s v="Houston"/>
    <s v="Texas"/>
    <n v="77036"/>
    <s v="C"/>
    <x v="32"/>
    <x v="3"/>
    <s v="TEC-AC-10000158"/>
    <n v="13"/>
    <n v="1"/>
    <n v="0.23"/>
    <b v="1"/>
    <n v="42621"/>
    <n v="2"/>
  </r>
  <r>
    <s v="US-2016-122245"/>
    <s v="BA-10105"/>
    <s v="Adrian Barton"/>
    <s v="CON"/>
    <s v="Phoenix"/>
    <s v="Arizona"/>
    <n v="85023"/>
    <s v="W"/>
    <x v="33"/>
    <x v="0"/>
    <s v="FUR-TA-10002356"/>
    <n v="3"/>
    <n v="1"/>
    <n v="0.5"/>
    <b v="0"/>
    <n v="42638"/>
    <n v="5"/>
  </r>
  <r>
    <s v="CA-2014-113362"/>
    <s v="JA-10960"/>
    <s v="Astrea Jones"/>
    <s v="CON"/>
    <s v="Rochester"/>
    <s v="New York"/>
    <n v="14609"/>
    <s v="E"/>
    <x v="34"/>
    <x v="0"/>
    <s v="OFF-ST-10001809"/>
    <n v="8"/>
    <n v="0"/>
    <n v="0"/>
    <b v="0"/>
    <n v="41896"/>
    <n v="5"/>
  </r>
  <r>
    <s v="CA-2017-120761"/>
    <s v="BA-10150"/>
    <s v="Aimee Bixby"/>
    <s v="CON"/>
    <s v="Long Beach"/>
    <s v="New York"/>
    <n v="11561"/>
    <s v="E"/>
    <x v="35"/>
    <x v="0"/>
    <s v="TEC-AC-10000171"/>
    <n v="4"/>
    <n v="0"/>
    <n v="0"/>
    <b v="0"/>
    <n v="42982"/>
    <n v="4"/>
  </r>
  <r>
    <s v="CA-2017-162929"/>
    <s v="SA-10135"/>
    <s v="Adrian Shami"/>
    <s v="HOF"/>
    <s v="New York City"/>
    <s v="New York"/>
    <n v="10035"/>
    <s v="E"/>
    <x v="36"/>
    <x v="2"/>
    <s v="OFF-PA-10002986"/>
    <n v="8"/>
    <n v="1"/>
    <n v="0.1"/>
    <b v="0"/>
    <n v="43058"/>
    <n v="3"/>
  </r>
  <r>
    <s v="CA-2016-149461"/>
    <s v="SA-10135"/>
    <s v="Adrian Shami"/>
    <s v="HOF"/>
    <s v="New York City"/>
    <s v="New York"/>
    <n v="10035"/>
    <s v="E"/>
    <x v="37"/>
    <x v="2"/>
    <s v="FUR-FU-10004270"/>
    <n v="1"/>
    <n v="0"/>
    <n v="0"/>
    <b v="0"/>
    <n v="42687"/>
    <n v="6"/>
  </r>
  <r>
    <s v="CA-2017-158876"/>
    <s v="BA-10156"/>
    <s v="Angel Bui"/>
    <s v="CON"/>
    <s v="Carrollton"/>
    <s v="Texas"/>
    <n v="75007"/>
    <s v="C"/>
    <x v="38"/>
    <x v="3"/>
    <s v="OFF-SU-10001165"/>
    <n v="11"/>
    <n v="1"/>
    <n v="0.3"/>
    <b v="1"/>
    <n v="43058"/>
    <n v="2"/>
  </r>
  <r>
    <s v="CA-2014-155852"/>
    <s v="JA-10940"/>
    <s v="Allan Jackson"/>
    <s v="CON"/>
    <s v="Wilmington"/>
    <s v="North Carolina"/>
    <n v="28403"/>
    <s v="S"/>
    <x v="39"/>
    <x v="3"/>
    <s v="OFF-AR-10003560"/>
    <n v="4"/>
    <n v="1"/>
    <n v="0.2"/>
    <b v="0"/>
    <n v="41701"/>
    <n v="4"/>
  </r>
  <r>
    <s v="CA-2014-149958"/>
    <s v="SA-10240"/>
    <s v="Alan Shonely"/>
    <s v="CON"/>
    <s v="Tampa"/>
    <s v="Florida"/>
    <n v="33614"/>
    <s v="S"/>
    <x v="40"/>
    <x v="0"/>
    <s v="OFF-ST-10001490"/>
    <n v="14"/>
    <n v="1"/>
    <n v="0.4"/>
    <b v="0"/>
    <n v="41713"/>
    <n v="4"/>
  </r>
  <r>
    <s v="CA-2015-131534"/>
    <s v="BA-10165"/>
    <s v="Alan Barnes"/>
    <s v="CON"/>
    <s v="Los Angeles"/>
    <s v="California"/>
    <n v="90036"/>
    <s v="W"/>
    <x v="41"/>
    <x v="0"/>
    <s v="TEC-AC-10002253"/>
    <n v="6"/>
    <n v="0"/>
    <n v="0"/>
    <b v="0"/>
    <n v="42091"/>
    <n v="5"/>
  </r>
  <r>
    <s v="CA-2017-144932"/>
    <s v="BA-10165"/>
    <s v="Alan Barnes"/>
    <s v="CON"/>
    <s v="Los Angeles"/>
    <s v="California"/>
    <n v="90036"/>
    <s v="W"/>
    <x v="42"/>
    <x v="2"/>
    <s v="OFF-PA-10004971"/>
    <n v="9"/>
    <n v="1"/>
    <n v="0.2"/>
    <b v="0"/>
    <n v="42839"/>
    <n v="3"/>
  </r>
  <r>
    <s v="CA-2017-127705"/>
    <s v="BA-10255"/>
    <s v="Alejandro Ballentine"/>
    <s v="HOF"/>
    <s v="Lorain"/>
    <s v="Ohio"/>
    <n v="44052"/>
    <s v="E"/>
    <x v="43"/>
    <x v="0"/>
    <s v="TEC-PH-10000347"/>
    <n v="3"/>
    <n v="1"/>
    <n v="0.30000000000000004"/>
    <b v="0"/>
    <n v="42888"/>
    <n v="4"/>
  </r>
  <r>
    <s v="US-2016-158708"/>
    <s v="BA-10258"/>
    <s v="Alex Ball"/>
    <s v="HOF"/>
    <s v="Plano"/>
    <s v="Texas"/>
    <n v="75023"/>
    <s v="C"/>
    <x v="44"/>
    <x v="3"/>
    <s v="TEC-AC-10003133"/>
    <n v="2"/>
    <n v="1"/>
    <n v="0.2"/>
    <b v="0"/>
    <n v="42547"/>
    <n v="3"/>
  </r>
  <r>
    <s v="US-2014-105767"/>
    <s v="RA-10510"/>
    <s v="Andrew Roberts"/>
    <s v="CON"/>
    <s v="Philadelphia"/>
    <s v="Pennsylvania"/>
    <n v="19134"/>
    <s v="E"/>
    <x v="45"/>
    <x v="0"/>
    <s v="TEC-PH-10003092"/>
    <n v="13"/>
    <n v="1"/>
    <n v="0.43333333333333335"/>
    <b v="0"/>
    <n v="41782"/>
    <n v="4"/>
  </r>
  <r>
    <s v="CA-2015-112319"/>
    <s v="RA-10510"/>
    <s v="Andrew Roberts"/>
    <s v="CON"/>
    <s v="Philadelphia"/>
    <s v="Pennsylvania"/>
    <n v="19134"/>
    <s v="E"/>
    <x v="46"/>
    <x v="0"/>
    <s v="OFF-PA-10003441"/>
    <n v="9"/>
    <n v="0"/>
    <n v="0"/>
    <b v="0"/>
    <n v="42247"/>
    <n v="5"/>
  </r>
  <r>
    <s v="CA-2017-153787"/>
    <s v="TA-10735"/>
    <s v="Annie Thurman"/>
    <s v="CON"/>
    <s v="Nashville"/>
    <s v="Tennessee"/>
    <n v="37211"/>
    <s v="S"/>
    <x v="47"/>
    <x v="0"/>
    <s v="OFF-AP-10001563"/>
    <n v="2"/>
    <n v="0"/>
    <n v="0"/>
    <b v="0"/>
    <n v="42874"/>
    <n v="4"/>
  </r>
  <r>
    <s v="CA-2017-135034"/>
    <s v="TA-10735"/>
    <s v="Annie Thurman"/>
    <s v="CON"/>
    <s v="Nashville"/>
    <s v="Tennessee"/>
    <n v="37211"/>
    <s v="S"/>
    <x v="48"/>
    <x v="0"/>
    <s v="TEC-PH-10003931"/>
    <n v="2"/>
    <n v="1"/>
    <n v="0.2"/>
    <b v="0"/>
    <n v="42948"/>
    <n v="2"/>
  </r>
  <r>
    <s v="CA-2016-160745"/>
    <s v="RA-10825"/>
    <s v="Anthony Rawles"/>
    <s v="COR"/>
    <s v="Vancouver"/>
    <s v="Washington"/>
    <n v="98661"/>
    <s v="W"/>
    <x v="49"/>
    <x v="3"/>
    <s v="TEC-PH-10003273"/>
    <n v="11"/>
    <n v="1"/>
    <n v="6.6666666666666666E-2"/>
    <b v="0"/>
    <n v="42715"/>
    <n v="5"/>
  </r>
  <r>
    <s v="US-2017-155425"/>
    <s v="BA-10600"/>
    <s v="Ann Blume"/>
    <s v="COR"/>
    <s v="Tucson"/>
    <s v="Arizona"/>
    <n v="85705"/>
    <s v="W"/>
    <x v="50"/>
    <x v="2"/>
    <s v="TEC-PH-10002563"/>
    <n v="28"/>
    <n v="1"/>
    <n v="0.4"/>
    <b v="1"/>
    <n v="43049"/>
    <n v="1"/>
  </r>
  <r>
    <s v="CA-2017-141789"/>
    <s v="CA-10453"/>
    <s v="Alexander Canne"/>
    <s v="COR"/>
    <s v="Houston"/>
    <s v="Texas"/>
    <n v="77041"/>
    <s v="C"/>
    <x v="51"/>
    <x v="2"/>
    <s v="OFF-BI-10001359"/>
    <n v="2"/>
    <n v="0"/>
    <n v="0"/>
    <b v="0"/>
    <n v="43011"/>
    <n v="3"/>
  </r>
  <r>
    <s v="CA-2017-146136"/>
    <s v="PA-10915"/>
    <s v="Arthur Prichep"/>
    <s v="CON"/>
    <s v="Los Angeles"/>
    <s v="California"/>
    <n v="90045"/>
    <s v="W"/>
    <x v="52"/>
    <x v="0"/>
    <s v="OFF-EN-10001219"/>
    <n v="4"/>
    <n v="1"/>
    <n v="0.2"/>
    <b v="0"/>
    <n v="42981"/>
    <n v="4"/>
  </r>
  <r>
    <s v="CA-2014-146969"/>
    <s v="PA-10915"/>
    <s v="Arthur Prichep"/>
    <s v="CON"/>
    <s v="Los Angeles"/>
    <s v="California"/>
    <n v="90045"/>
    <s v="W"/>
    <x v="53"/>
    <x v="0"/>
    <s v="TEC-MA-10004241"/>
    <n v="10"/>
    <n v="1"/>
    <n v="0.04"/>
    <b v="0"/>
    <n v="41911"/>
    <n v="4"/>
  </r>
  <r>
    <s v="CA-2014-106810"/>
    <s v="JA-10795"/>
    <s v="Anthony Johnson"/>
    <s v="COR"/>
    <s v="Saint Petersburg"/>
    <s v="Florida"/>
    <n v="33710"/>
    <s v="S"/>
    <x v="54"/>
    <x v="3"/>
    <s v="FUR-FU-10004306"/>
    <n v="2"/>
    <n v="1"/>
    <n v="0.2"/>
    <b v="0"/>
    <n v="41773"/>
    <n v="6"/>
  </r>
  <r>
    <s v="CA-2016-134474"/>
    <s v="JA-10795"/>
    <s v="Anthony Johnson"/>
    <s v="COR"/>
    <s v="Saint Petersburg"/>
    <s v="Florida"/>
    <n v="33710"/>
    <s v="S"/>
    <x v="55"/>
    <x v="3"/>
    <s v="TEC-PH-10002923"/>
    <n v="10"/>
    <n v="1"/>
    <n v="0.2"/>
    <b v="1"/>
    <n v="42374"/>
    <n v="2"/>
  </r>
  <r>
    <s v="CA-2017-157987"/>
    <s v="CA-10615"/>
    <s v="Ann Chong"/>
    <s v="COR"/>
    <s v="New York City"/>
    <s v="New York"/>
    <n v="10009"/>
    <s v="E"/>
    <x v="56"/>
    <x v="0"/>
    <s v="TEC-PH-10003885"/>
    <n v="40"/>
    <n v="1"/>
    <n v="5.8333333333333341E-2"/>
    <b v="1"/>
    <n v="42980"/>
    <n v="4"/>
  </r>
  <r>
    <s v="CA-2015-114300"/>
    <s v="FA-10885"/>
    <s v="Art Foster"/>
    <s v="CON"/>
    <s v="Louisville"/>
    <s v="Kentucky"/>
    <n v="40214"/>
    <s v="S"/>
    <x v="57"/>
    <x v="0"/>
    <s v="TEC-PH-10001552"/>
    <n v="10"/>
    <n v="0"/>
    <n v="0"/>
    <b v="0"/>
    <n v="42290"/>
    <n v="4"/>
  </r>
  <r>
    <s v="CA-2014-149020"/>
    <s v="JA-10780"/>
    <s v="Anthony Jacobs"/>
    <s v="COR"/>
    <s v="Springfield"/>
    <s v="Virginia"/>
    <n v="22153"/>
    <s v="S"/>
    <x v="58"/>
    <x v="0"/>
    <s v="OFF-LA-10004272"/>
    <n v="2"/>
    <n v="0"/>
    <n v="0"/>
    <b v="0"/>
    <n v="41649"/>
    <n v="5"/>
  </r>
  <r>
    <s v="CA-2015-124268"/>
    <s v="DA-10187"/>
    <s v="Alan Dao"/>
    <s v="CON"/>
    <s v="New York City"/>
    <s v="New York"/>
    <n v="10035"/>
    <s v="E"/>
    <x v="59"/>
    <x v="0"/>
    <s v="OFF-AR-10004817"/>
    <n v="3"/>
    <n v="0"/>
    <n v="0"/>
    <b v="0"/>
    <n v="42189"/>
    <n v="4"/>
  </r>
  <r>
    <s v="US-2014-158638"/>
    <s v="GA-10765"/>
    <s v="Anthony Garverick"/>
    <s v="HOF"/>
    <s v="Philadelphia"/>
    <s v="Pennsylvania"/>
    <n v="19120"/>
    <s v="E"/>
    <x v="60"/>
    <x v="0"/>
    <s v="OFF-BI-10003712"/>
    <n v="4"/>
    <n v="1"/>
    <n v="0.7"/>
    <b v="0"/>
    <n v="41899"/>
    <n v="4"/>
  </r>
  <r>
    <s v="CA-2015-120439"/>
    <s v="DA-10194"/>
    <s v="Angel Dumas"/>
    <s v="HOF"/>
    <s v="Philadelphia"/>
    <s v="Pennsylvania"/>
    <n v="19120"/>
    <s v="E"/>
    <x v="61"/>
    <x v="0"/>
    <s v="FUR-FU-10001867"/>
    <n v="6"/>
    <n v="1"/>
    <n v="0.2"/>
    <b v="0"/>
    <n v="42169"/>
    <n v="4"/>
  </r>
  <r>
    <s v="CA-2016-149797"/>
    <s v="HA-10075"/>
    <s v="Adam Hart"/>
    <s v="COR"/>
    <s v="New York City"/>
    <s v="New York"/>
    <n v="10011"/>
    <s v="E"/>
    <x v="62"/>
    <x v="0"/>
    <s v="OFF-BI-10003650"/>
    <n v="2"/>
    <n v="1"/>
    <n v="0.2"/>
    <b v="0"/>
    <n v="42628"/>
    <n v="5"/>
  </r>
  <r>
    <s v="CA-2017-165029"/>
    <s v="HA-10075"/>
    <s v="Adam Hart"/>
    <s v="COR"/>
    <s v="New York City"/>
    <s v="New York"/>
    <n v="10011"/>
    <s v="E"/>
    <x v="63"/>
    <x v="0"/>
    <s v="OFF-AR-10003504"/>
    <n v="3"/>
    <n v="0"/>
    <n v="0"/>
    <b v="0"/>
    <n v="43065"/>
    <n v="4"/>
  </r>
  <r>
    <s v="US-2017-139969"/>
    <s v="FA-10870"/>
    <s v="Art Ferguson"/>
    <s v="CON"/>
    <s v="College Station"/>
    <s v="Texas"/>
    <n v="77840"/>
    <s v="C"/>
    <x v="64"/>
    <x v="0"/>
    <s v="FUR-CH-10001973"/>
    <n v="3"/>
    <n v="1"/>
    <n v="0.3"/>
    <b v="1"/>
    <n v="43058"/>
    <n v="7"/>
  </r>
  <r>
    <s v="CA-2017-100314"/>
    <s v="SA-10630"/>
    <s v="Ann Steele"/>
    <s v="HOF"/>
    <s v="Pasadena"/>
    <s v="Texas"/>
    <n v="77506"/>
    <s v="C"/>
    <x v="65"/>
    <x v="0"/>
    <s v="TEC-MA-10003066"/>
    <n v="9"/>
    <n v="1"/>
    <n v="0.26666666666666666"/>
    <b v="1"/>
    <n v="43007"/>
    <n v="6"/>
  </r>
  <r>
    <s v="CA-2016-146934"/>
    <s v="FA-10873"/>
    <s v="Arthur Feng"/>
    <s v="CON"/>
    <s v="Passaic"/>
    <s v="New Jersey"/>
    <n v="7055"/>
    <s v="E"/>
    <x v="66"/>
    <x v="0"/>
    <s v="TEC-PH-10004614"/>
    <n v="24"/>
    <n v="1"/>
    <n v="4.9999999999999996E-2"/>
    <b v="0"/>
    <n v="42512"/>
    <n v="5"/>
  </r>
  <r>
    <s v="CA-2016-109820"/>
    <s v="GA-10390"/>
    <s v="Allen Goldenen"/>
    <s v="CON"/>
    <s v="Cincinnati"/>
    <s v="Ohio"/>
    <n v="45231"/>
    <s v="E"/>
    <x v="67"/>
    <x v="2"/>
    <s v="OFF-PA-10000955"/>
    <n v="8"/>
    <n v="1"/>
    <n v="0.53333333333333333"/>
    <b v="0"/>
    <n v="42694"/>
    <n v="2"/>
  </r>
  <r>
    <s v="CA-2016-136483"/>
    <s v="GA-10390"/>
    <s v="Allen Goldenen"/>
    <s v="CON"/>
    <s v="Cincinnati"/>
    <s v="Ohio"/>
    <n v="45231"/>
    <s v="E"/>
    <x v="68"/>
    <x v="0"/>
    <s v="OFF-AR-10000940"/>
    <n v="2"/>
    <n v="1"/>
    <n v="0.2"/>
    <b v="0"/>
    <n v="42705"/>
    <n v="5"/>
  </r>
  <r>
    <s v="CA-2014-127964"/>
    <s v="PA-10720"/>
    <s v="Anne Pryor"/>
    <s v="HOF"/>
    <s v="New York City"/>
    <s v="New York"/>
    <n v="10035"/>
    <s v="E"/>
    <x v="69"/>
    <x v="0"/>
    <s v="TEC-PH-10004700"/>
    <n v="9"/>
    <n v="1"/>
    <n v="0.13333333333333333"/>
    <b v="0"/>
    <n v="41701"/>
    <n v="5"/>
  </r>
  <r>
    <s v="CA-2016-154403"/>
    <s v="PA-10720"/>
    <s v="Anne Pryor"/>
    <s v="HOF"/>
    <s v="New York City"/>
    <s v="New York"/>
    <n v="10035"/>
    <s v="E"/>
    <x v="66"/>
    <x v="0"/>
    <s v="OFF-PA-10001526"/>
    <n v="1"/>
    <n v="0"/>
    <n v="0"/>
    <b v="0"/>
    <n v="42513"/>
    <n v="4"/>
  </r>
  <r>
    <s v="CA-2014-120243"/>
    <s v="TA-10435"/>
    <s v="Alyssa Tate"/>
    <s v="HOF"/>
    <s v="Los Angeles"/>
    <s v="California"/>
    <n v="90004"/>
    <s v="W"/>
    <x v="70"/>
    <x v="3"/>
    <s v="OFF-LA-10004425"/>
    <n v="4"/>
    <n v="0"/>
    <n v="0"/>
    <b v="0"/>
    <n v="42000"/>
    <n v="3"/>
  </r>
  <r>
    <s v="CA-2016-100468"/>
    <s v="TA-10435"/>
    <s v="Alyssa Tate"/>
    <s v="HOF"/>
    <s v="Los Angeles"/>
    <s v="California"/>
    <n v="90004"/>
    <s v="W"/>
    <x v="71"/>
    <x v="0"/>
    <s v="TEC-PH-10001300"/>
    <n v="4"/>
    <n v="1"/>
    <n v="0.1"/>
    <b v="0"/>
    <n v="42698"/>
    <n v="7"/>
  </r>
  <r>
    <s v="CA-2017-101483"/>
    <s v="GA-10683"/>
    <s v="Arthur Gonzalez"/>
    <s v="CON"/>
    <s v="Jacksonville"/>
    <s v="North Carolina"/>
    <n v="28540"/>
    <s v="S"/>
    <x v="72"/>
    <x v="3"/>
    <s v="TEC-PH-10003442"/>
    <n v="10"/>
    <n v="1"/>
    <n v="0.2"/>
    <b v="0"/>
    <n v="42945"/>
    <n v="3"/>
  </r>
  <r>
    <s v="CA-2017-113481"/>
    <s v="SA-10045"/>
    <s v="Aaron Smayling"/>
    <s v="COR"/>
    <s v="Jacksonville"/>
    <s v="North Carolina"/>
    <n v="28540"/>
    <s v="S"/>
    <x v="73"/>
    <x v="2"/>
    <s v="TEC-MA-10002178"/>
    <n v="13"/>
    <n v="1"/>
    <n v="0.6333333333333333"/>
    <b v="0"/>
    <n v="42737"/>
    <n v="2"/>
  </r>
  <r>
    <s v="CA-2016-162901"/>
    <s v="SA-10045"/>
    <s v="Aaron Smayling"/>
    <s v="COR"/>
    <s v="Jacksonville"/>
    <s v="North Carolina"/>
    <n v="28540"/>
    <s v="S"/>
    <x v="74"/>
    <x v="2"/>
    <s v="OFF-ST-10000649"/>
    <n v="2"/>
    <n v="0"/>
    <n v="0"/>
    <b v="0"/>
    <n v="42457"/>
    <n v="3"/>
  </r>
  <r>
    <s v="CA-2017-162691"/>
    <s v="SA-10045"/>
    <s v="Aaron Smayling"/>
    <s v="COR"/>
    <s v="Jacksonville"/>
    <s v="North Carolina"/>
    <n v="28540"/>
    <s v="S"/>
    <x v="75"/>
    <x v="0"/>
    <s v="TEC-MA-10000488"/>
    <n v="10"/>
    <n v="1"/>
    <n v="0.30000000000000004"/>
    <b v="0"/>
    <n v="42948"/>
    <n v="6"/>
  </r>
  <r>
    <s v="CA-2015-148376"/>
    <s v="GA-10903"/>
    <s v="Anh Ly"/>
    <s v="CON"/>
    <s v="Los Angeles"/>
    <s v="California"/>
    <n v="90008"/>
    <s v="W"/>
    <x v="76"/>
    <x v="0"/>
    <s v="OFF-LA-10002381"/>
    <n v="9"/>
    <n v="0"/>
    <n v="0"/>
    <b v="0"/>
    <n v="42365"/>
    <n v="4"/>
  </r>
  <r>
    <s v="CA-2015-130785"/>
    <s v="GA-10903"/>
    <s v="Anh Ly"/>
    <s v="CON"/>
    <s v="Los Angeles"/>
    <s v="California"/>
    <n v="90008"/>
    <s v="W"/>
    <x v="77"/>
    <x v="0"/>
    <s v="OFF-BI-10001900"/>
    <n v="13"/>
    <n v="1"/>
    <n v="0.16666666666666666"/>
    <b v="0"/>
    <n v="42252"/>
    <n v="4"/>
  </r>
  <r>
    <s v="CA-2017-154935"/>
    <s v="RA-10540"/>
    <s v="Andy Reiter"/>
    <s v="CON"/>
    <s v="Jackson"/>
    <s v="Michigan"/>
    <n v="49201"/>
    <s v="C"/>
    <x v="78"/>
    <x v="3"/>
    <s v="OFF-BI-10003708"/>
    <n v="3"/>
    <n v="1"/>
    <n v="0.2"/>
    <b v="0"/>
    <n v="43093"/>
    <n v="5"/>
  </r>
  <r>
    <s v="CA-2015-123505"/>
    <s v="RA-10540"/>
    <s v="Andy Reiter"/>
    <s v="CON"/>
    <s v="Jackson"/>
    <s v="Michigan"/>
    <n v="49201"/>
    <s v="C"/>
    <x v="79"/>
    <x v="3"/>
    <s v="OFF-PA-10002586"/>
    <n v="3"/>
    <n v="0"/>
    <n v="0"/>
    <b v="0"/>
    <n v="42330"/>
    <n v="4"/>
  </r>
  <r>
    <s v="CA-2017-118857"/>
    <s v="HA-10079"/>
    <s v="Aden Henry"/>
    <s v="COR"/>
    <s v="Henderson"/>
    <s v="Nevada"/>
    <n v="89015"/>
    <s v="W"/>
    <x v="80"/>
    <x v="2"/>
    <s v="FUR-FU-10004460"/>
    <n v="5"/>
    <n v="0"/>
    <n v="0"/>
    <b v="0"/>
    <n v="42840"/>
    <n v="3"/>
  </r>
  <r>
    <s v="US-2017-160759"/>
    <s v="IA-10853"/>
    <s v="Alisya Igor"/>
    <s v="CON"/>
    <s v="Philadelphia"/>
    <s v="Pennsylvania"/>
    <n v="19120"/>
    <s v="E"/>
    <x v="81"/>
    <x v="0"/>
    <s v="FUR-CH-10002961"/>
    <n v="1"/>
    <n v="1"/>
    <n v="0.3"/>
    <b v="0"/>
    <n v="43080"/>
    <n v="6"/>
  </r>
  <r>
    <s v="CA-2015-129112"/>
    <s v="WA-10840"/>
    <s v="Anthony Witt"/>
    <s v="CON"/>
    <s v="Bakersfield"/>
    <s v="California"/>
    <n v="93309"/>
    <s v="W"/>
    <x v="82"/>
    <x v="0"/>
    <s v="TEC-AC-10003038"/>
    <n v="7"/>
    <n v="1"/>
    <n v="0.5"/>
    <b v="1"/>
    <n v="42337"/>
    <n v="1"/>
  </r>
  <r>
    <s v="CA-2017-143798"/>
    <s v="WA-10840"/>
    <s v="Anthony Witt"/>
    <s v="CON"/>
    <s v="Bakersfield"/>
    <s v="California"/>
    <n v="93309"/>
    <s v="W"/>
    <x v="83"/>
    <x v="0"/>
    <s v="OFF-PA-10000788"/>
    <n v="4"/>
    <n v="1"/>
    <n v="0.2"/>
    <b v="1"/>
    <n v="43079"/>
    <n v="2"/>
  </r>
  <r>
    <s v="CA-2015-149678"/>
    <s v="WA-10840"/>
    <s v="Anthony Witt"/>
    <s v="CON"/>
    <s v="Bakersfield"/>
    <s v="California"/>
    <n v="93309"/>
    <s v="W"/>
    <x v="84"/>
    <x v="0"/>
    <s v="OFF-SU-10004498"/>
    <n v="1"/>
    <n v="0"/>
    <n v="0"/>
    <b v="0"/>
    <n v="42107"/>
    <n v="2"/>
  </r>
  <r>
    <s v="CA-2014-123295"/>
    <s v="HA-10120"/>
    <s v="Adrian Hane"/>
    <s v="HOF"/>
    <s v="Tucson"/>
    <s v="Arizona"/>
    <n v="85705"/>
    <s v="W"/>
    <x v="85"/>
    <x v="1"/>
    <s v="FUR-CH-10002372"/>
    <n v="4"/>
    <n v="1"/>
    <n v="0.2"/>
    <b v="0"/>
    <n v="41838"/>
    <n v="0"/>
  </r>
  <r>
    <s v="CA-2017-101049"/>
    <s v="SA-10242"/>
    <s v="Anna Shoves"/>
    <s v="CON"/>
    <s v="Cleveland"/>
    <s v="Ohio"/>
    <n v="44105"/>
    <s v="E"/>
    <x v="86"/>
    <x v="3"/>
    <s v="OFF-BI-10001510"/>
    <n v="11"/>
    <n v="1"/>
    <n v="0.44999999999999996"/>
    <b v="0"/>
    <n v="42907"/>
    <n v="4"/>
  </r>
  <r>
    <s v="CA-2016-118913"/>
    <s v="SA-10242"/>
    <s v="Anna Shoves"/>
    <s v="CON"/>
    <s v="Cleveland"/>
    <s v="Ohio"/>
    <n v="44105"/>
    <s v="E"/>
    <x v="44"/>
    <x v="3"/>
    <s v="OFF-AP-10000692"/>
    <n v="3"/>
    <n v="0"/>
    <n v="0"/>
    <b v="0"/>
    <n v="42546"/>
    <n v="4"/>
  </r>
  <r>
    <s v="US-2017-108063"/>
    <s v="SA-10090"/>
    <s v="Adam Shillingsburg"/>
    <s v="CON"/>
    <s v="Springfield"/>
    <s v="Missouri"/>
    <n v="65807"/>
    <s v="C"/>
    <x v="87"/>
    <x v="0"/>
    <s v="OFF-AR-10001446"/>
    <n v="3"/>
    <n v="0"/>
    <n v="0"/>
    <b v="0"/>
    <n v="43071"/>
    <n v="3"/>
  </r>
  <r>
    <s v="CA-2015-127509"/>
    <s v="SA-10090"/>
    <s v="Adam Shillingsburg"/>
    <s v="CON"/>
    <s v="Springfield"/>
    <s v="Missouri"/>
    <n v="65807"/>
    <s v="C"/>
    <x v="88"/>
    <x v="0"/>
    <s v="OFF-PA-10002160"/>
    <n v="16"/>
    <n v="0"/>
    <n v="0"/>
    <b v="0"/>
    <n v="42317"/>
    <n v="4"/>
  </r>
  <r>
    <s v="CA-2017-145877"/>
    <s v="SA-10090"/>
    <s v="Adam Shillingsburg"/>
    <s v="CON"/>
    <s v="Springfield"/>
    <s v="Missouri"/>
    <n v="65807"/>
    <s v="C"/>
    <x v="89"/>
    <x v="0"/>
    <s v="OFF-ST-10000649"/>
    <n v="11"/>
    <n v="0"/>
    <n v="0"/>
    <b v="0"/>
    <n v="42826"/>
    <n v="3"/>
  </r>
  <r>
    <s v="CA-2017-124597"/>
    <s v="SA-10633"/>
    <s v="Ali Smiths"/>
    <s v="HOF"/>
    <s v="Boynton Beach"/>
    <s v="Florida"/>
    <n v="33437"/>
    <s v="S"/>
    <x v="90"/>
    <x v="0"/>
    <s v="OFF-LA-10003190"/>
    <n v="8"/>
    <n v="1"/>
    <n v="0.2"/>
    <b v="0"/>
    <n v="42855"/>
    <n v="5"/>
  </r>
  <r>
    <s v="CA-2014-162684"/>
    <s v="SA-10633"/>
    <s v="Ali Smiths"/>
    <s v="HOF"/>
    <s v="Boynton Beach"/>
    <s v="Florida"/>
    <n v="33437"/>
    <s v="S"/>
    <x v="91"/>
    <x v="0"/>
    <s v="OFF-FA-10000992"/>
    <n v="2"/>
    <n v="1"/>
    <n v="0.2"/>
    <b v="0"/>
    <n v="41852"/>
    <n v="5"/>
  </r>
  <r>
    <s v="CA-2016-145905"/>
    <s v="MA-10705"/>
    <s v="Anne McFarland"/>
    <s v="CON"/>
    <s v="Auburn"/>
    <s v="Alabama"/>
    <n v="36830"/>
    <s v="S"/>
    <x v="92"/>
    <x v="0"/>
    <s v="OFF-ST-10003716"/>
    <n v="7"/>
    <n v="0"/>
    <n v="0"/>
    <b v="1"/>
    <n v="42631"/>
    <n v="5"/>
  </r>
  <r>
    <s v="CA-2015-100573"/>
    <s v="MA-10705"/>
    <s v="Anne McFarland"/>
    <s v="CON"/>
    <s v="Auburn"/>
    <s v="Alabama"/>
    <n v="36830"/>
    <s v="S"/>
    <x v="93"/>
    <x v="0"/>
    <s v="OFF-EN-10000461"/>
    <n v="2"/>
    <n v="0"/>
    <n v="0"/>
    <b v="1"/>
    <n v="42272"/>
    <n v="6"/>
  </r>
  <r>
    <s v="CA-2016-128412"/>
    <s v="PA-10923"/>
    <s v="Alex Pennes"/>
    <s v="CON"/>
    <s v="Seattle"/>
    <s v="Washington"/>
    <n v="98105"/>
    <s v="W"/>
    <x v="94"/>
    <x v="0"/>
    <s v="TEC-AC-10003038"/>
    <n v="18"/>
    <n v="1"/>
    <n v="4.0000000000000008E-2"/>
    <b v="1"/>
    <n v="42714"/>
    <n v="7"/>
  </r>
  <r>
    <s v="US-2014-103905"/>
    <s v="WA-10930"/>
    <s v="Arthur Wiediger"/>
    <s v="HOF"/>
    <s v="Aurora"/>
    <s v="Illinois"/>
    <n v="60505"/>
    <s v="C"/>
    <x v="95"/>
    <x v="0"/>
    <s v="TEC-PH-10001552"/>
    <n v="11"/>
    <n v="1"/>
    <n v="0.5"/>
    <b v="0"/>
    <n v="41834"/>
    <n v="6"/>
  </r>
  <r>
    <s v="CA-2014-148586"/>
    <s v="ZA-10750"/>
    <s v="Annie Zypern"/>
    <s v="CON"/>
    <s v="Wheeling"/>
    <s v="Illinois"/>
    <n v="60090"/>
    <s v="C"/>
    <x v="96"/>
    <x v="0"/>
    <s v="FUR-CH-10002439"/>
    <n v="7"/>
    <n v="1"/>
    <n v="0.1"/>
    <b v="0"/>
    <n v="41723"/>
    <n v="7"/>
  </r>
  <r>
    <s v="CA-2016-136812"/>
    <s v="WA-10930"/>
    <s v="Arthur Wiediger"/>
    <s v="HOF"/>
    <s v="Aurora"/>
    <s v="Illinois"/>
    <n v="60505"/>
    <s v="C"/>
    <x v="97"/>
    <x v="0"/>
    <s v="OFF-ST-10003470"/>
    <n v="4"/>
    <n v="0"/>
    <n v="0"/>
    <b v="0"/>
    <n v="42692"/>
    <n v="5"/>
  </r>
  <r>
    <s v="US-2016-114174"/>
    <s v="PA-10722"/>
    <s v="Ann Porter"/>
    <s v="HOF"/>
    <s v="Malden"/>
    <s v="Massachusetts"/>
    <n v="2148"/>
    <s v="E"/>
    <x v="98"/>
    <x v="0"/>
    <s v="OFF-LA-10000248"/>
    <n v="7"/>
    <n v="0"/>
    <n v="0"/>
    <b v="0"/>
    <n v="42621"/>
    <n v="6"/>
  </r>
  <r>
    <s v="CA-2017-101042"/>
    <s v="BA-10108"/>
    <s v="Aaron Beze"/>
    <s v="CON"/>
    <s v="Henderson"/>
    <s v="Kentucky"/>
    <n v="42420"/>
    <s v="S"/>
    <x v="99"/>
    <x v="0"/>
    <s v="OFF-BI-10000088"/>
    <n v="8"/>
    <n v="0"/>
    <n v="0"/>
    <b v="0"/>
    <n v="43058"/>
    <n v="4"/>
  </r>
  <r>
    <s v="CA-2014-147298"/>
    <s v="GA-10300"/>
    <s v="Aleksandra Gannaway"/>
    <s v="COR"/>
    <s v="San Francisco"/>
    <s v="California"/>
    <n v="94122"/>
    <s v="W"/>
    <x v="100"/>
    <x v="0"/>
    <s v="OFF-BI-10001525"/>
    <n v="9"/>
    <n v="1"/>
    <n v="0.2"/>
    <b v="0"/>
    <n v="41755"/>
    <n v="7"/>
  </r>
  <r>
    <s v="CA-2015-168186"/>
    <s v="BA-10160"/>
    <s v="Adita Baxter"/>
    <s v="CON"/>
    <s v="Tulsa"/>
    <s v="Oklahoma"/>
    <n v="74133"/>
    <s v="C"/>
    <x v="101"/>
    <x v="0"/>
    <s v="OFF-PA-10000477"/>
    <n v="3"/>
    <n v="0"/>
    <n v="0"/>
    <b v="1"/>
    <n v="42257"/>
    <n v="5"/>
  </r>
  <r>
    <s v="CA-2017-112515"/>
    <s v="SA-10228"/>
    <s v="Andy Sherlock"/>
    <s v="COR"/>
    <s v="Provo"/>
    <s v="Utah"/>
    <n v="84604"/>
    <s v="W"/>
    <x v="102"/>
    <x v="3"/>
    <s v="OFF-ST-10001272"/>
    <n v="21"/>
    <n v="1"/>
    <n v="8.5714285714285715E-2"/>
    <b v="0"/>
    <n v="42995"/>
    <n v="4"/>
  </r>
  <r>
    <s v="CA-2016-138079"/>
    <s v="JA-10796"/>
    <s v="Alex Jimenez"/>
    <s v="COR"/>
    <s v="San Francisco"/>
    <s v="California"/>
    <n v="94110"/>
    <s v="W"/>
    <x v="103"/>
    <x v="0"/>
    <s v="FUR-FU-10001475"/>
    <n v="5"/>
    <n v="0"/>
    <n v="0"/>
    <b v="0"/>
    <n v="42391"/>
    <n v="6"/>
  </r>
  <r>
    <s v="CA-2017-155873"/>
    <s v="BA-10262"/>
    <s v="Andy Banez"/>
    <s v="HOF"/>
    <s v="Carlsbad"/>
    <s v="New Mexico"/>
    <n v="88220"/>
    <s v="W"/>
    <x v="104"/>
    <x v="0"/>
    <s v="OFF-SU-10001165"/>
    <n v="9"/>
    <n v="0"/>
    <n v="0"/>
    <b v="0"/>
    <n v="42902"/>
    <n v="5"/>
  </r>
  <r>
    <s v="US-2015-165449"/>
    <s v="PA-10722"/>
    <s v="Ann Porter"/>
    <s v="HOF"/>
    <s v="Malden"/>
    <s v="Massachusetts"/>
    <n v="2148"/>
    <s v="E"/>
    <x v="79"/>
    <x v="0"/>
    <s v="TEC-AC-10004127"/>
    <n v="4"/>
    <n v="1"/>
    <n v="0.2"/>
    <b v="0"/>
    <n v="42330"/>
    <n v="4"/>
  </r>
  <r>
    <s v="US-2016-106677"/>
    <s v="SA-10287"/>
    <s v="Aaron Suchetz"/>
    <s v="COR"/>
    <s v="Noblesville"/>
    <s v="Indiana"/>
    <n v="46060"/>
    <s v="C"/>
    <x v="105"/>
    <x v="0"/>
    <s v="TEC-PH-10003187"/>
    <n v="2"/>
    <n v="1"/>
    <n v="0.4"/>
    <b v="0"/>
    <n v="42679"/>
    <n v="5"/>
  </r>
  <r>
    <s v="CA-2017-135650"/>
    <s v="CA-10660"/>
    <s v="Anna Chung"/>
    <s v="CON"/>
    <s v="Parma"/>
    <s v="Ohio"/>
    <n v="44134"/>
    <s v="E"/>
    <x v="106"/>
    <x v="0"/>
    <s v="OFF-ST-10001809"/>
    <n v="2"/>
    <n v="1"/>
    <n v="0.2"/>
    <b v="0"/>
    <n v="42817"/>
    <n v="4"/>
  </r>
  <r>
    <s v="CA-2016-123617"/>
    <s v="JA-10780"/>
    <s v="Anthony Jacobs"/>
    <s v="COR"/>
    <s v="Springfield"/>
    <s v="Virginia"/>
    <n v="22153"/>
    <s v="S"/>
    <x v="107"/>
    <x v="0"/>
    <s v="OFF-BI-10002976"/>
    <n v="6"/>
    <n v="1"/>
    <n v="0.7"/>
    <b v="0"/>
    <n v="42702"/>
    <n v="5"/>
  </r>
  <r>
    <s v="CA-2016-115588"/>
    <s v="FA-10885"/>
    <s v="Art Foster"/>
    <s v="CON"/>
    <s v="Louisville"/>
    <s v="Kentucky"/>
    <n v="40214"/>
    <s v="S"/>
    <x v="108"/>
    <x v="3"/>
    <s v="OFF-SU-10001225"/>
    <n v="8"/>
    <n v="1"/>
    <n v="0.2"/>
    <b v="0"/>
    <n v="42684"/>
    <n v="2"/>
  </r>
  <r>
    <s v="CA-2017-137428"/>
    <s v="YA-10555"/>
    <s v="Andy Yotov"/>
    <s v="COR"/>
    <s v="Oceanside"/>
    <s v="California"/>
    <n v="92054"/>
    <s v="W"/>
    <x v="109"/>
    <x v="3"/>
    <s v="OFF-BI-10002949"/>
    <n v="11"/>
    <n v="1"/>
    <n v="0.15000000000000002"/>
    <b v="0"/>
    <n v="43085"/>
    <n v="5"/>
  </r>
  <r>
    <s v="CA-2017-111808"/>
    <s v="RA-10510"/>
    <s v="Andrew Roberts"/>
    <s v="CON"/>
    <s v="Philadelphia"/>
    <s v="Pennsylvania"/>
    <n v="19134"/>
    <s v="E"/>
    <x v="110"/>
    <x v="0"/>
    <s v="OFF-BI-10004656"/>
    <n v="5"/>
    <n v="0"/>
    <n v="0"/>
    <b v="0"/>
    <n v="43085"/>
    <n v="4"/>
  </r>
  <r>
    <s v="CA-2015-137512"/>
    <s v="GA-10685"/>
    <s v="Abi Green"/>
    <s v="CON"/>
    <s v="Allen"/>
    <s v="Texas"/>
    <n v="75002"/>
    <s v="C"/>
    <x v="16"/>
    <x v="0"/>
    <s v="OFF-PA-10000213"/>
    <n v="6"/>
    <n v="1"/>
    <n v="0.25"/>
    <b v="0"/>
    <n v="42131"/>
    <n v="5"/>
  </r>
  <r>
    <s v="CA-2016-112893"/>
    <s v="TA-10735"/>
    <s v="Annie Thurman"/>
    <s v="CON"/>
    <s v="Nashville"/>
    <s v="Tennessee"/>
    <n v="37211"/>
    <s v="S"/>
    <x v="111"/>
    <x v="0"/>
    <s v="OFF-BI-10004654"/>
    <n v="4"/>
    <n v="1"/>
    <n v="0.2"/>
    <b v="0"/>
    <n v="42622"/>
    <n v="4"/>
  </r>
  <r>
    <s v="CA-2014-130729"/>
    <s v="AA-10395"/>
    <s v="Andrew Anderson"/>
    <s v="CON"/>
    <s v="Rancho Cucamonga"/>
    <s v="California"/>
    <n v="91730"/>
    <s v="W"/>
    <x v="112"/>
    <x v="0"/>
    <s v="OFF-BI-10002706"/>
    <n v="3"/>
    <n v="1"/>
    <n v="0.2"/>
    <b v="0"/>
    <n v="41936"/>
    <n v="5"/>
  </r>
  <r>
    <s v="CA-2015-164441"/>
    <s v="CA-10450"/>
    <s v="Amy Cox"/>
    <s v="CON"/>
    <s v="New York City"/>
    <s v="New York"/>
    <n v="10011"/>
    <s v="E"/>
    <x v="88"/>
    <x v="0"/>
    <s v="OFF-PA-10001667"/>
    <n v="14"/>
    <n v="1"/>
    <n v="0.1"/>
    <b v="0"/>
    <n v="42316"/>
    <n v="5"/>
  </r>
  <r>
    <s v="CA-2017-116855"/>
    <s v="IA-10853"/>
    <s v="Alisya Igor"/>
    <s v="CON"/>
    <s v="Philadelphia"/>
    <s v="Pennsylvania"/>
    <n v="19120"/>
    <s v="E"/>
    <x v="109"/>
    <x v="0"/>
    <s v="FUR-CH-10003846"/>
    <n v="5"/>
    <n v="0"/>
    <n v="0"/>
    <b v="0"/>
    <n v="43086"/>
    <n v="4"/>
  </r>
  <r>
    <s v="CA-2017-134173"/>
    <s v="BA-10071"/>
    <s v="Antoine Beacon"/>
    <s v="HOF"/>
    <s v="Philadelphia"/>
    <s v="Pennsylvania"/>
    <n v="19143"/>
    <s v="E"/>
    <x v="102"/>
    <x v="0"/>
    <s v="OFF-PA-10004355"/>
    <n v="4"/>
    <n v="1"/>
    <n v="0.2"/>
    <b v="1"/>
    <n v="42994"/>
    <n v="5"/>
  </r>
  <r>
    <s v="CA-2017-101749"/>
    <s v="SA-10045"/>
    <s v="Aaron Smayling"/>
    <s v="COR"/>
    <s v="Jacksonville"/>
    <s v="North Carolina"/>
    <n v="28540"/>
    <s v="S"/>
    <x v="113"/>
    <x v="0"/>
    <s v="FUR-TA-10001520"/>
    <n v="3"/>
    <n v="1"/>
    <n v="0.2"/>
    <b v="0"/>
    <n v="43011"/>
    <n v="5"/>
  </r>
  <r>
    <s v="CA-2016-121671"/>
    <s v="AA-10480"/>
    <s v="Andrew Anderson"/>
    <s v="CON"/>
    <s v="Rancho Cucamonga"/>
    <s v="North Carolina"/>
    <n v="91730"/>
    <s v="W"/>
    <x v="8"/>
    <x v="0"/>
    <s v="OFF-ST-10002344"/>
    <n v="16"/>
    <n v="0"/>
    <n v="0"/>
    <b v="0"/>
    <n v="42568"/>
    <n v="5"/>
  </r>
  <r>
    <s v="US-2016-148110"/>
    <s v="RA-10828"/>
    <s v="Alan Richies"/>
    <s v="COR"/>
    <s v="Austin"/>
    <s v="Texas"/>
    <n v="78745"/>
    <s v="C"/>
    <x v="114"/>
    <x v="0"/>
    <s v="FUR-CH-10002647"/>
    <n v="7"/>
    <n v="1"/>
    <n v="0.3"/>
    <b v="0"/>
    <n v="42618"/>
    <n v="6"/>
  </r>
  <r>
    <s v="CA-2014-109218"/>
    <s v="RA-10825"/>
    <s v="Anthony Rawles"/>
    <s v="COR"/>
    <s v="Vancouver"/>
    <s v="Washington"/>
    <n v="98661"/>
    <s v="W"/>
    <x v="115"/>
    <x v="3"/>
    <s v="OFF-AR-10001374"/>
    <n v="5"/>
    <n v="0"/>
    <n v="0"/>
    <b v="0"/>
    <n v="41820"/>
    <n v="3"/>
  </r>
  <r>
    <s v="US-2017-132059"/>
    <s v="PA-10925"/>
    <s v="Anita Preacher"/>
    <s v="CON"/>
    <s v="Fort Collins"/>
    <s v="Colorado"/>
    <n v="80525"/>
    <s v="W"/>
    <x v="116"/>
    <x v="1"/>
    <s v="TEC-AC-10003280"/>
    <n v="4"/>
    <n v="1"/>
    <n v="0.44999999999999996"/>
    <b v="0"/>
    <n v="43001"/>
    <n v="6"/>
  </r>
  <r>
    <s v="CA-2017-164000"/>
    <s v="HA-10030"/>
    <s v="Aaron Hawkins"/>
    <s v="CON"/>
    <s v="Philadelphia"/>
    <s v="Pennsylvania"/>
    <n v="19134"/>
    <s v="E"/>
    <x v="117"/>
    <x v="0"/>
    <s v="OFF-AR-10003183"/>
    <n v="7"/>
    <n v="1"/>
    <n v="0.2"/>
    <b v="1"/>
    <n v="43087"/>
    <n v="4"/>
  </r>
  <r>
    <s v="CA-2014-103702"/>
    <s v="FA-10885"/>
    <s v="Art Foster"/>
    <s v="CON"/>
    <s v="Louisville"/>
    <s v="Kentucky"/>
    <n v="40214"/>
    <s v="S"/>
    <x v="118"/>
    <x v="0"/>
    <s v="OFF-BI-10002429"/>
    <n v="7"/>
    <n v="1"/>
    <n v="0.7"/>
    <b v="0"/>
    <n v="41894"/>
    <n v="5"/>
  </r>
  <r>
    <s v="CA-2016-162747"/>
    <s v="HA-10030"/>
    <s v="Aaron Hawkins"/>
    <s v="CON"/>
    <s v="Philadelphia"/>
    <s v="Pennsylvania"/>
    <n v="19134"/>
    <s v="E"/>
    <x v="119"/>
    <x v="0"/>
    <s v="FUR-FU-10003691"/>
    <n v="7"/>
    <n v="0"/>
    <n v="0"/>
    <b v="0"/>
    <n v="42449"/>
    <n v="5"/>
  </r>
  <r>
    <s v="CA-2017-154732"/>
    <s v="HA-10195"/>
    <s v="Alan Haines"/>
    <s v="COR"/>
    <s v="Tamarac"/>
    <s v="Florida"/>
    <n v="33319"/>
    <s v="S"/>
    <x v="120"/>
    <x v="3"/>
    <s v="OFF-BI-10000474"/>
    <n v="5"/>
    <n v="1"/>
    <n v="0.8"/>
    <b v="0"/>
    <n v="43044"/>
    <n v="2"/>
  </r>
  <r>
    <s v="CA-2016-147536"/>
    <s v="RA-10510"/>
    <s v="Andrew Roberts"/>
    <s v="CON"/>
    <s v="Philadelphia"/>
    <s v="Pennsylvania"/>
    <n v="19134"/>
    <s v="E"/>
    <x v="121"/>
    <x v="0"/>
    <s v="TEC-AC-10003280"/>
    <n v="3"/>
    <n v="0"/>
    <n v="0"/>
    <b v="0"/>
    <n v="42730"/>
    <n v="5"/>
  </r>
  <r>
    <s v="CA-2016-139234"/>
    <s v="FA-10877"/>
    <s v="Annie Farnum"/>
    <s v="CON"/>
    <s v="Chicago"/>
    <s v="Illinois"/>
    <n v="60610"/>
    <s v="C"/>
    <x v="122"/>
    <x v="0"/>
    <s v="TEC-AC-10004510"/>
    <n v="4"/>
    <n v="1"/>
    <n v="0.5"/>
    <b v="1"/>
    <n v="42496"/>
    <n v="4"/>
  </r>
  <r>
    <s v="CA-2017-131212"/>
    <s v="BA-10165"/>
    <s v="Alan Barnes"/>
    <s v="CON"/>
    <s v="Los Angeles"/>
    <s v="California"/>
    <n v="90036"/>
    <s v="W"/>
    <x v="123"/>
    <x v="0"/>
    <s v="OFF-BI-10001617"/>
    <n v="9"/>
    <n v="1"/>
    <n v="0.2"/>
    <b v="0"/>
    <n v="43074"/>
    <n v="4"/>
  </r>
  <r>
    <s v="CA-2016-158869"/>
    <s v="HA-10690"/>
    <s v="Anna Häberlin"/>
    <s v="COR"/>
    <s v="Plantation"/>
    <s v="Florida"/>
    <n v="33317"/>
    <s v="S"/>
    <x v="124"/>
    <x v="0"/>
    <s v="OFF-PA-10000474"/>
    <n v="2"/>
    <n v="0"/>
    <n v="0"/>
    <b v="0"/>
    <n v="42588"/>
    <n v="1"/>
  </r>
  <r>
    <s v="CA-2016-166485"/>
    <s v="HA-10210"/>
    <s v="Alan Hwang"/>
    <s v="CON"/>
    <s v="Brentwood"/>
    <s v="California"/>
    <n v="94513"/>
    <s v="W"/>
    <x v="125"/>
    <x v="0"/>
    <s v="OFF-PA-10004996"/>
    <n v="2"/>
    <n v="1"/>
    <n v="0.2"/>
    <b v="0"/>
    <n v="42420"/>
    <n v="7"/>
  </r>
  <r>
    <s v="CA-2017-136448"/>
    <s v="SA-10092"/>
    <s v="Art Santana"/>
    <s v="CON"/>
    <s v="Philadelphia"/>
    <s v="Pennsylvania"/>
    <n v="19143"/>
    <s v="E"/>
    <x v="126"/>
    <x v="2"/>
    <s v="TEC-AC-10003628"/>
    <n v="12"/>
    <n v="1"/>
    <n v="0.4"/>
    <b v="1"/>
    <n v="42994"/>
    <n v="2"/>
  </r>
  <r>
    <s v="CA-2017-161823"/>
    <s v="GA-10300"/>
    <s v="Aleksandra Gannaway"/>
    <s v="COR"/>
    <s v="San Francisco"/>
    <s v="California"/>
    <n v="94122"/>
    <s v="W"/>
    <x v="35"/>
    <x v="0"/>
    <s v="OFF-AR-10002053"/>
    <n v="2"/>
    <n v="0"/>
    <n v="0"/>
    <b v="0"/>
    <n v="42981"/>
    <n v="5"/>
  </r>
  <r>
    <s v="CA-2017-158729"/>
    <s v="CA-10459"/>
    <s v="Anthony Chartes"/>
    <s v="COR"/>
    <s v="Lafayette"/>
    <s v="Louisiana"/>
    <n v="70506"/>
    <s v="S"/>
    <x v="109"/>
    <x v="2"/>
    <s v="OFF-SU-10002881"/>
    <n v="2"/>
    <n v="0"/>
    <n v="0"/>
    <b v="0"/>
    <n v="43088"/>
    <n v="2"/>
  </r>
  <r>
    <s v="CA-2015-110093"/>
    <s v="BA-10267"/>
    <s v="Adel Bolivia"/>
    <s v="HOF"/>
    <s v="Philadelphia"/>
    <s v="Pennsylvania"/>
    <n v="19134"/>
    <s v="E"/>
    <x v="127"/>
    <x v="0"/>
    <s v="TEC-AC-10000171"/>
    <n v="4"/>
    <n v="1"/>
    <n v="0.2"/>
    <b v="0"/>
    <n v="42341"/>
    <n v="5"/>
  </r>
  <r>
    <s v="CA-2017-133004"/>
    <s v="JA-10940"/>
    <s v="Allan Jackson"/>
    <s v="CON"/>
    <s v="Wilmington"/>
    <s v="North Carolina"/>
    <n v="28403"/>
    <s v="S"/>
    <x v="128"/>
    <x v="3"/>
    <s v="OFF-AP-10002439"/>
    <n v="9"/>
    <n v="0"/>
    <n v="0"/>
    <b v="0"/>
    <n v="42978"/>
    <n v="5"/>
  </r>
  <r>
    <s v="CA-2017-160416"/>
    <s v="DA-10198"/>
    <s v="Agustin Diaz"/>
    <s v="HOF"/>
    <s v="Fairfield"/>
    <s v="Connecticut"/>
    <n v="6824"/>
    <s v="E"/>
    <x v="129"/>
    <x v="3"/>
    <s v="TEC-AC-10004114"/>
    <n v="4"/>
    <n v="0"/>
    <n v="0"/>
    <b v="0"/>
    <n v="43052"/>
    <n v="5"/>
  </r>
  <r>
    <s v="CA-2017-169411"/>
    <s v="CA-10615"/>
    <s v="Ann Chong"/>
    <s v="COR"/>
    <s v="New York City"/>
    <s v="New York"/>
    <n v="10009"/>
    <s v="E"/>
    <x v="78"/>
    <x v="0"/>
    <s v="FUR-FU-10001602"/>
    <n v="1"/>
    <n v="0"/>
    <n v="0"/>
    <b v="0"/>
    <n v="43093"/>
    <n v="5"/>
  </r>
  <r>
    <s v="CA-2016-151155"/>
    <s v="BA-10275"/>
    <s v="Aye Burgez"/>
    <s v="HOF"/>
    <s v="Jackson"/>
    <s v="Mississippi"/>
    <n v="39212"/>
    <s v="S"/>
    <x v="130"/>
    <x v="0"/>
    <s v="OFF-BI-10003910"/>
    <n v="6"/>
    <n v="0"/>
    <n v="0"/>
    <b v="0"/>
    <n v="42724"/>
    <n v="4"/>
  </r>
  <r>
    <s v="CA-2014-113047"/>
    <s v="PA-10925"/>
    <s v="Anita Preacher"/>
    <s v="CON"/>
    <s v="Fort Collins"/>
    <s v="Colorado"/>
    <n v="80525"/>
    <s v="W"/>
    <x v="131"/>
    <x v="1"/>
    <s v="OFF-FA-10002763"/>
    <n v="3"/>
    <n v="0"/>
    <n v="0"/>
    <b v="0"/>
    <n v="41936"/>
    <n v="0"/>
  </r>
  <r>
    <s v="CA-2015-113628"/>
    <s v="HA-10690"/>
    <s v="Anna Häberlin"/>
    <s v="COR"/>
    <s v="Plantation"/>
    <s v="Florida"/>
    <n v="33317"/>
    <s v="S"/>
    <x v="132"/>
    <x v="0"/>
    <s v="TEC-PH-10000441"/>
    <n v="19"/>
    <n v="1"/>
    <n v="0.3666666666666667"/>
    <b v="0"/>
    <n v="42320"/>
    <n v="7"/>
  </r>
  <r>
    <s v="CA-2017-123246"/>
    <s v="JA-10960"/>
    <s v="Astrea Jones"/>
    <s v="CON"/>
    <s v="Rochester"/>
    <s v="New York"/>
    <n v="14609"/>
    <s v="E"/>
    <x v="133"/>
    <x v="0"/>
    <s v="OFF-AR-10001770"/>
    <n v="4"/>
    <n v="0"/>
    <n v="0"/>
    <b v="0"/>
    <n v="43025"/>
    <n v="2"/>
  </r>
  <r>
    <s v="CA-2017-126788"/>
    <s v="BA-10115"/>
    <s v="Anh Bui"/>
    <s v="CON"/>
    <s v="Pearland"/>
    <s v="Texas"/>
    <n v="77581"/>
    <s v="C"/>
    <x v="43"/>
    <x v="2"/>
    <s v="TEC-PH-10001619"/>
    <n v="3"/>
    <n v="1"/>
    <n v="0.2"/>
    <b v="0"/>
    <n v="42891"/>
    <n v="1"/>
  </r>
  <r>
    <s v="CA-2017-123001"/>
    <s v="WA-10840"/>
    <s v="Anthony Witt"/>
    <s v="CON"/>
    <s v="Bakersfield"/>
    <s v="California"/>
    <n v="93309"/>
    <s v="W"/>
    <x v="35"/>
    <x v="0"/>
    <s v="TEC-PH-10003484"/>
    <n v="12"/>
    <n v="1"/>
    <n v="6.6666666666666666E-2"/>
    <b v="0"/>
    <n v="42980"/>
    <n v="6"/>
  </r>
  <r>
    <s v="CA-2017-167871"/>
    <s v="FA-10882"/>
    <s v="Ava Finche"/>
    <s v="CON"/>
    <s v="Homestead"/>
    <s v="Florida"/>
    <n v="33030"/>
    <s v="S"/>
    <x v="99"/>
    <x v="0"/>
    <s v="OFF-SU-10001225"/>
    <n v="2"/>
    <n v="1"/>
    <n v="0.2"/>
    <b v="0"/>
    <n v="43057"/>
    <n v="5"/>
  </r>
  <r>
    <s v="CA-2014-122588"/>
    <s v="RA-10540"/>
    <s v="Andy Reiter"/>
    <s v="CON"/>
    <s v="Jackson"/>
    <s v="Michigan"/>
    <n v="49201"/>
    <s v="C"/>
    <x v="134"/>
    <x v="3"/>
    <s v="FUR-FU-10001095"/>
    <n v="2"/>
    <n v="0"/>
    <n v="0"/>
    <b v="0"/>
    <n v="41968"/>
    <n v="2"/>
  </r>
  <r>
    <s v="CA-2014-154963"/>
    <s v="AA-10645"/>
    <s v="Anna Andreadi"/>
    <s v="CON"/>
    <s v="Chester"/>
    <s v="Pennsylvania"/>
    <n v="19013"/>
    <s v="E"/>
    <x v="135"/>
    <x v="0"/>
    <s v="TEC-PH-10004093"/>
    <n v="11"/>
    <n v="1"/>
    <n v="0.33333333333333331"/>
    <b v="1"/>
    <n v="41812"/>
    <n v="5"/>
  </r>
  <r>
    <s v="CA-2014-110786"/>
    <s v="JA-10796"/>
    <s v="Alex Jimenez"/>
    <s v="COR"/>
    <s v="San Francisco"/>
    <s v="California"/>
    <n v="94110"/>
    <s v="W"/>
    <x v="136"/>
    <x v="0"/>
    <s v="TEC-PH-10001425"/>
    <n v="36"/>
    <n v="1"/>
    <n v="8.5714285714285729E-2"/>
    <b v="0"/>
    <n v="42002"/>
    <n v="4"/>
  </r>
  <r>
    <s v="CA-2016-163573"/>
    <s v="CA-10463"/>
    <s v="Aaron Chase"/>
    <s v="CON"/>
    <s v="Seattle"/>
    <s v="Washington"/>
    <n v="98105"/>
    <s v="W"/>
    <x v="137"/>
    <x v="2"/>
    <s v="OFF-BI-10004632"/>
    <n v="5"/>
    <n v="1"/>
    <n v="0.2"/>
    <b v="0"/>
    <n v="42698"/>
    <n v="3"/>
  </r>
  <r>
    <s v="CA-2014-115336"/>
    <s v="BA-10602"/>
    <s v="Anita Bam"/>
    <s v="COR"/>
    <s v="Chicago"/>
    <s v="Illinois"/>
    <n v="60623"/>
    <s v="C"/>
    <x v="138"/>
    <x v="0"/>
    <s v="OFF-BI-10001107"/>
    <n v="5"/>
    <n v="1"/>
    <n v="0.8"/>
    <b v="0"/>
    <n v="41961"/>
    <n v="7"/>
  </r>
  <r>
    <s v="US-2016-164588"/>
    <s v="PA-10925"/>
    <s v="Anita Preacher"/>
    <s v="CON"/>
    <s v="Fort Collins"/>
    <s v="Colorado"/>
    <n v="80525"/>
    <s v="W"/>
    <x v="139"/>
    <x v="1"/>
    <s v="OFF-AR-10003056"/>
    <n v="3"/>
    <n v="0"/>
    <n v="0"/>
    <b v="1"/>
    <n v="42476"/>
    <n v="7"/>
  </r>
  <r>
    <s v="CA-2017-115546"/>
    <s v="HA-10465"/>
    <s v="Amy Hunt"/>
    <s v="CON"/>
    <s v="New York City"/>
    <s v="New York"/>
    <n v="10035"/>
    <s v="E"/>
    <x v="140"/>
    <x v="0"/>
    <s v="TEC-PH-10002834"/>
    <n v="5"/>
    <n v="0"/>
    <n v="0"/>
    <b v="0"/>
    <n v="42869"/>
    <n v="4"/>
  </r>
  <r>
    <s v="CA-2015-160213"/>
    <s v="RA-10825"/>
    <s v="Anthony Rawles"/>
    <s v="COR"/>
    <s v="Vancouver"/>
    <s v="Washington"/>
    <n v="98661"/>
    <s v="W"/>
    <x v="141"/>
    <x v="3"/>
    <s v="OFF-PA-10003848"/>
    <n v="3"/>
    <n v="0"/>
    <n v="0"/>
    <b v="0"/>
    <n v="42071"/>
    <n v="5"/>
  </r>
  <r>
    <s v="CA-2016-143749"/>
    <s v="GA-10300"/>
    <s v="Aleksandra Gannaway"/>
    <s v="COR"/>
    <s v="San Francisco"/>
    <s v="California"/>
    <n v="94122"/>
    <s v="W"/>
    <x v="142"/>
    <x v="2"/>
    <s v="FUR-BO-10002853"/>
    <n v="1"/>
    <n v="0"/>
    <n v="0"/>
    <b v="0"/>
    <n v="42709"/>
    <n v="2"/>
  </r>
  <r>
    <s v="CA-2014-145387"/>
    <s v="MA-10709"/>
    <s v="Al Mich"/>
    <s v="HOF"/>
    <s v="Cranston"/>
    <s v="Rhode Island"/>
    <n v="2920"/>
    <s v="E"/>
    <x v="143"/>
    <x v="3"/>
    <s v="OFF-PA-10002195"/>
    <n v="20"/>
    <n v="1"/>
    <n v="4.2857142857142858E-2"/>
    <b v="1"/>
    <n v="41943"/>
    <n v="2"/>
  </r>
  <r>
    <s v="CA-2017-109715"/>
    <s v="HA-10585"/>
    <s v="Angele Hood"/>
    <s v="CON"/>
    <s v="Chicago"/>
    <s v="Illinois"/>
    <n v="60623"/>
    <s v="C"/>
    <x v="144"/>
    <x v="0"/>
    <s v="OFF-PA-10004965"/>
    <n v="2"/>
    <n v="1"/>
    <n v="0.2"/>
    <b v="0"/>
    <n v="43078"/>
    <n v="5"/>
  </r>
  <r>
    <s v="CA-2015-111234"/>
    <s v="BA-10607"/>
    <s v="Alun Baveen"/>
    <s v="COR"/>
    <s v="Los Angeles"/>
    <s v="California"/>
    <n v="90004"/>
    <s v="W"/>
    <x v="145"/>
    <x v="0"/>
    <s v="OFF-LA-10002271"/>
    <n v="3"/>
    <n v="0"/>
    <n v="0"/>
    <b v="0"/>
    <n v="42053"/>
    <n v="4"/>
  </r>
  <r>
    <s v="US-2017-124821"/>
    <s v="MA-10709"/>
    <s v="Al Mich"/>
    <s v="HOF"/>
    <s v="Cranston"/>
    <s v="Rhode Island"/>
    <n v="2920"/>
    <s v="E"/>
    <x v="146"/>
    <x v="3"/>
    <s v="FUR-TA-10000688"/>
    <n v="4"/>
    <n v="0"/>
    <n v="0"/>
    <b v="0"/>
    <n v="42911"/>
    <n v="4"/>
  </r>
  <r>
    <s v="CA-2015-142692"/>
    <s v="GA-10497"/>
    <s v="Anthonio Garcia"/>
    <s v="COR"/>
    <s v="Peoria"/>
    <s v="Arizona"/>
    <n v="85345"/>
    <s v="W"/>
    <x v="147"/>
    <x v="0"/>
    <s v="OFF-BI-10004140"/>
    <n v="1"/>
    <n v="1"/>
    <n v="0.2"/>
    <b v="0"/>
    <n v="42300"/>
    <n v="5"/>
  </r>
  <r>
    <s v="CA-2014-103100"/>
    <s v="BA-10119"/>
    <s v="Ashley Barr"/>
    <s v="CON"/>
    <s v="Indianapolis"/>
    <s v="Indiana"/>
    <n v="46203"/>
    <s v="C"/>
    <x v="148"/>
    <x v="2"/>
    <s v="OFF-LA-10003720"/>
    <n v="4"/>
    <n v="0"/>
    <n v="0"/>
    <b v="0"/>
    <n v="41993"/>
    <n v="3"/>
  </r>
  <r>
    <s v="CA-2017-102407"/>
    <s v="TA-10435"/>
    <s v="Alyssa Tate"/>
    <s v="HOF"/>
    <s v="Los Angeles"/>
    <s v="California"/>
    <n v="90004"/>
    <s v="W"/>
    <x v="149"/>
    <x v="3"/>
    <s v="OFF-AR-10000122"/>
    <n v="12"/>
    <n v="1"/>
    <n v="6.6666666666666666E-2"/>
    <b v="0"/>
    <n v="43078"/>
    <n v="4"/>
  </r>
  <r>
    <s v="CA-2014-162278"/>
    <s v="HA-10587"/>
    <s v="Anthony Handerson"/>
    <s v="CON"/>
    <s v="Seattle"/>
    <s v="Washington"/>
    <n v="98105"/>
    <s v="W"/>
    <x v="150"/>
    <x v="3"/>
    <s v="TEC-PH-10000526"/>
    <n v="9"/>
    <n v="1"/>
    <n v="0.1"/>
    <b v="0"/>
    <n v="41938"/>
    <n v="4"/>
  </r>
  <r>
    <s v="CA-2015-115945"/>
    <s v="BA-10165"/>
    <s v="Alan Barnes"/>
    <s v="CON"/>
    <s v="Los Angeles"/>
    <s v="California"/>
    <n v="90036"/>
    <s v="W"/>
    <x v="151"/>
    <x v="0"/>
    <s v="OFF-ST-10001963"/>
    <n v="8"/>
    <n v="1"/>
    <n v="6.6666666666666666E-2"/>
    <b v="0"/>
    <n v="42180"/>
    <n v="6"/>
  </r>
  <r>
    <s v="CA-2017-107748"/>
    <s v="GA-10330"/>
    <s v="Alex Grayson"/>
    <s v="CON"/>
    <s v="Stockton"/>
    <s v="California"/>
    <n v="95207"/>
    <s v="W"/>
    <x v="83"/>
    <x v="3"/>
    <s v="TEC-PH-10003215"/>
    <n v="6"/>
    <n v="1"/>
    <n v="0.1"/>
    <b v="0"/>
    <n v="43079"/>
    <n v="2"/>
  </r>
  <r>
    <s v="CA-2016-148740"/>
    <s v="HA-10693"/>
    <s v="Andrew Heb"/>
    <s v="COR"/>
    <s v="San Diego"/>
    <s v="California"/>
    <n v="92024"/>
    <s v="W"/>
    <x v="37"/>
    <x v="0"/>
    <s v="TEC-PH-10002549"/>
    <n v="2"/>
    <n v="1"/>
    <n v="0.2"/>
    <b v="0"/>
    <n v="42689"/>
    <n v="4"/>
  </r>
  <r>
    <s v="CA-2014-153983"/>
    <s v="HA-10210"/>
    <s v="Alan Hwang"/>
    <s v="CON"/>
    <s v="Brentwood"/>
    <s v="California"/>
    <n v="94513"/>
    <s v="W"/>
    <x v="152"/>
    <x v="0"/>
    <s v="TEC-PH-10004586"/>
    <n v="7"/>
    <n v="1"/>
    <n v="0.1"/>
    <b v="0"/>
    <n v="41972"/>
    <n v="7"/>
  </r>
  <r>
    <s v="CA-2016-168893"/>
    <s v="PA-10934"/>
    <s v="Alice Prince"/>
    <s v="CON"/>
    <s v="Henderson"/>
    <s v="Kentucky"/>
    <n v="42420"/>
    <s v="S"/>
    <x v="31"/>
    <x v="3"/>
    <s v="OFF-FA-10002280"/>
    <n v="16"/>
    <n v="0"/>
    <n v="0"/>
    <b v="0"/>
    <n v="42677"/>
    <n v="5"/>
  </r>
  <r>
    <s v="CA-2016-147137"/>
    <s v="AA-10646"/>
    <s v="Anna Avilla"/>
    <s v="CON"/>
    <s v="San Francisco"/>
    <s v="California"/>
    <n v="94109"/>
    <s v="W"/>
    <x v="153"/>
    <x v="2"/>
    <s v="OFF-ST-10002486"/>
    <n v="16"/>
    <n v="1"/>
    <n v="3.7499999999999999E-2"/>
    <b v="0"/>
    <n v="42555"/>
    <n v="2"/>
  </r>
  <r>
    <s v="US-2015-146745"/>
    <s v="SA-10636"/>
    <s v="Alphonso Smiths"/>
    <s v="HOF"/>
    <s v="Knoxville"/>
    <s v="Tennessee"/>
    <n v="37918"/>
    <s v="S"/>
    <x v="154"/>
    <x v="0"/>
    <s v="OFF-BI-10003274"/>
    <n v="4"/>
    <n v="1"/>
    <n v="0.2"/>
    <b v="1"/>
    <n v="42250"/>
    <n v="5"/>
  </r>
  <r>
    <s v="CA-2017-126662"/>
    <s v="BA-10278"/>
    <s v="Adrian Bidez"/>
    <s v="HOF"/>
    <s v="Los Angeles"/>
    <s v="California"/>
    <n v="90036"/>
    <s v="W"/>
    <x v="155"/>
    <x v="0"/>
    <s v="TEC-CO-10004202"/>
    <n v="2"/>
    <n v="1"/>
    <n v="0.2"/>
    <b v="0"/>
    <n v="42933"/>
    <n v="4"/>
  </r>
  <r>
    <s v="CA-2015-110947"/>
    <s v="GA-10769"/>
    <s v="Andy Green"/>
    <s v="HOF"/>
    <s v="Hampton"/>
    <s v="Virginia"/>
    <n v="23666"/>
    <s v="S"/>
    <x v="156"/>
    <x v="0"/>
    <s v="OFF-BI-10001670"/>
    <n v="3"/>
    <n v="0"/>
    <n v="0"/>
    <b v="0"/>
    <n v="42164"/>
    <n v="6"/>
  </r>
  <r>
    <s v="US-2014-150126"/>
    <s v="SA-10041"/>
    <s v="Alison Summers"/>
    <s v="COR"/>
    <s v="Redmond"/>
    <s v="Oregon"/>
    <n v="97756"/>
    <s v="W"/>
    <x v="157"/>
    <x v="2"/>
    <s v="OFF-PA-10002709"/>
    <n v="11"/>
    <n v="0"/>
    <n v="0"/>
    <b v="0"/>
    <n v="41847"/>
    <n v="6"/>
  </r>
  <r>
    <s v="CA-2015-164427"/>
    <s v="RA-10405"/>
    <s v="Allen Rosenblatt"/>
    <s v="COR"/>
    <s v="Franklin"/>
    <s v="Massachusetts"/>
    <n v="2038"/>
    <s v="E"/>
    <x v="158"/>
    <x v="0"/>
    <s v="TEC-AC-10004469"/>
    <n v="6"/>
    <n v="0"/>
    <n v="0"/>
    <b v="0"/>
    <n v="42216"/>
    <n v="6"/>
  </r>
  <r>
    <s v="CA-2016-120250"/>
    <s v="PA-10722"/>
    <s v="Ann Porter"/>
    <s v="HOF"/>
    <s v="Malden"/>
    <s v="Massachusetts"/>
    <n v="2148"/>
    <s v="E"/>
    <x v="159"/>
    <x v="0"/>
    <s v="FUR-FU-10003424"/>
    <n v="3"/>
    <n v="1"/>
    <n v="0.2"/>
    <b v="0"/>
    <n v="42632"/>
    <n v="3"/>
  </r>
  <r>
    <s v="CA-2017-168228"/>
    <s v="PA-10945"/>
    <s v="Antonio Pinebrook"/>
    <s v="CON"/>
    <s v="Los Angeles"/>
    <s v="California"/>
    <n v="90045"/>
    <s v="W"/>
    <x v="160"/>
    <x v="2"/>
    <s v="OFF-AR-10003373"/>
    <n v="9"/>
    <n v="0"/>
    <n v="0"/>
    <b v="0"/>
    <n v="42852"/>
    <n v="2"/>
  </r>
  <r>
    <s v="CA-2017-150987"/>
    <s v="HA-10120"/>
    <s v="Adrian Hane"/>
    <s v="HOF"/>
    <s v="Tucson"/>
    <s v="Arizona"/>
    <n v="85705"/>
    <s v="W"/>
    <x v="161"/>
    <x v="1"/>
    <s v="OFF-PA-10002923"/>
    <n v="9"/>
    <n v="0"/>
    <n v="0"/>
    <b v="1"/>
    <n v="42833"/>
    <n v="4"/>
  </r>
  <r>
    <s v="CA-2016-116232"/>
    <s v="CA-10471"/>
    <s v="Amie Charles"/>
    <s v="CON"/>
    <s v="Pembroke Pines"/>
    <s v="Florida"/>
    <n v="33024"/>
    <s v="S"/>
    <x v="162"/>
    <x v="0"/>
    <s v="OFF-LA-10001158"/>
    <n v="11"/>
    <n v="1"/>
    <n v="0.44999999999999996"/>
    <b v="0"/>
    <n v="42635"/>
    <n v="4"/>
  </r>
  <r>
    <s v="CA-2017-139416"/>
    <s v="GA-10270"/>
    <s v="Alejandro Grove"/>
    <s v="CON"/>
    <s v="West Jordan"/>
    <s v="Utah"/>
    <n v="84084"/>
    <s v="W"/>
    <x v="163"/>
    <x v="3"/>
    <s v="FUR-FU-10003832"/>
    <n v="2"/>
    <n v="1"/>
    <n v="0.2"/>
    <b v="0"/>
    <n v="42821"/>
    <n v="2"/>
  </r>
  <r>
    <s v="CA-2016-158435"/>
    <s v="GA-10907"/>
    <s v="Allen Golberg"/>
    <s v="CON"/>
    <s v="Waterbury"/>
    <s v="Connecticut"/>
    <n v="6708"/>
    <s v="E"/>
    <x v="164"/>
    <x v="2"/>
    <s v="OFF-SU-10000381"/>
    <n v="13"/>
    <n v="0"/>
    <n v="0"/>
    <b v="0"/>
    <n v="42507"/>
    <n v="1"/>
  </r>
  <r>
    <s v="CA-2017-121643"/>
    <s v="BA-10121"/>
    <s v="Alysa Benz"/>
    <s v="CON"/>
    <s v="Portland"/>
    <s v="Oregon"/>
    <n v="97206"/>
    <s v="W"/>
    <x v="165"/>
    <x v="2"/>
    <s v="TEC-PH-10002200"/>
    <n v="2"/>
    <n v="1"/>
    <n v="0.2"/>
    <b v="0"/>
    <n v="42873"/>
    <n v="2"/>
  </r>
  <r>
    <s v="US-2014-167262"/>
    <s v="CA-10471"/>
    <s v="Amie Charles"/>
    <s v="CON"/>
    <s v="Pembroke Pines"/>
    <s v="Florida"/>
    <n v="33024"/>
    <s v="S"/>
    <x v="166"/>
    <x v="3"/>
    <s v="TEC-PH-10000486"/>
    <n v="8"/>
    <n v="1"/>
    <n v="0.2"/>
    <b v="0"/>
    <n v="41943"/>
    <n v="3"/>
  </r>
  <r>
    <s v="CA-2017-104080"/>
    <s v="HA-10212"/>
    <s v="Ali Hernandez"/>
    <s v="CON"/>
    <s v="Anaheim"/>
    <s v="California"/>
    <n v="92804"/>
    <s v="W"/>
    <x v="167"/>
    <x v="0"/>
    <s v="OFF-BI-10003876"/>
    <n v="7"/>
    <n v="1"/>
    <n v="0.1"/>
    <b v="0"/>
    <n v="42802"/>
    <n v="7"/>
  </r>
  <r>
    <s v="US-2014-122021"/>
    <s v="CA-10660"/>
    <s v="Anna Chung"/>
    <s v="CON"/>
    <s v="Parma"/>
    <s v="Ohio"/>
    <n v="44134"/>
    <s v="E"/>
    <x v="168"/>
    <x v="2"/>
    <s v="OFF-PA-10002230"/>
    <n v="4"/>
    <n v="1"/>
    <n v="0.25"/>
    <b v="0"/>
    <n v="41927"/>
    <n v="2"/>
  </r>
  <r>
    <s v="CA-2017-126438"/>
    <s v="RA-10345"/>
    <s v="Alex Russell"/>
    <s v="COR"/>
    <s v="Philadelphia"/>
    <s v="Pennsylvania"/>
    <n v="19143"/>
    <s v="E"/>
    <x v="169"/>
    <x v="3"/>
    <s v="OFF-AR-10003338"/>
    <n v="2"/>
    <n v="0"/>
    <n v="0"/>
    <b v="0"/>
    <n v="42988"/>
    <n v="3"/>
  </r>
  <r>
    <s v="CA-2017-143245"/>
    <s v="DA-10198"/>
    <s v="Agustin Diaz"/>
    <s v="HOF"/>
    <s v="Fairfield"/>
    <s v="Connecticut"/>
    <n v="6824"/>
    <s v="E"/>
    <x v="170"/>
    <x v="0"/>
    <s v="OFF-PA-10001972"/>
    <n v="6"/>
    <n v="0"/>
    <n v="0"/>
    <b v="0"/>
    <n v="43070"/>
    <n v="5"/>
  </r>
  <r>
    <s v="CA-2017-117926"/>
    <s v="SA-10225"/>
    <s v="Alan Schoenberger"/>
    <s v="COR"/>
    <s v="Montgomery"/>
    <s v="Alabama"/>
    <n v="36116"/>
    <s v="S"/>
    <x v="83"/>
    <x v="3"/>
    <s v="OFF-AP-10002670"/>
    <n v="1"/>
    <n v="0"/>
    <n v="0"/>
    <b v="0"/>
    <n v="43077"/>
    <n v="4"/>
  </r>
  <r>
    <s v="CA-2014-156587"/>
    <s v="BA-10015"/>
    <s v="Aaron Bergman"/>
    <s v="CON"/>
    <s v="Seattle"/>
    <s v="Washington"/>
    <n v="98103"/>
    <s v="W"/>
    <x v="69"/>
    <x v="2"/>
    <s v="OFF-ST-10002344"/>
    <n v="7"/>
    <n v="1"/>
    <n v="6.666666666666668E-2"/>
    <b v="0"/>
    <n v="41705"/>
    <n v="1"/>
  </r>
  <r>
    <s v="CA-2015-165050"/>
    <s v="HA-10214"/>
    <s v="Andy Harper"/>
    <s v="CON"/>
    <s v="Seattle"/>
    <s v="Washington"/>
    <n v="98105"/>
    <s v="W"/>
    <x v="171"/>
    <x v="2"/>
    <s v="TEC-PH-10001336"/>
    <n v="13"/>
    <n v="1"/>
    <n v="0.13333333333333336"/>
    <b v="0"/>
    <n v="42345"/>
    <n v="2"/>
  </r>
  <r>
    <s v="CA-2014-160066"/>
    <s v="HA-10082"/>
    <s v="Aleen Hope"/>
    <s v="COR"/>
    <s v="Knoxville"/>
    <s v="Tennessee"/>
    <n v="37918"/>
    <s v="S"/>
    <x v="172"/>
    <x v="3"/>
    <s v="OFF-LA-10001045"/>
    <n v="2"/>
    <n v="0"/>
    <n v="0"/>
    <b v="0"/>
    <n v="41959"/>
    <n v="6"/>
  </r>
  <r>
    <s v="CA-2014-125171"/>
    <s v="GA-10390"/>
    <s v="Allen Goldenen"/>
    <s v="CON"/>
    <s v="Cincinnati"/>
    <s v="Ohio"/>
    <n v="45231"/>
    <s v="E"/>
    <x v="173"/>
    <x v="1"/>
    <s v="OFF-LA-10001175"/>
    <n v="5"/>
    <n v="0"/>
    <n v="0"/>
    <b v="0"/>
    <n v="41885"/>
    <n v="0"/>
  </r>
  <r>
    <s v="CA-2017-107321"/>
    <s v="WA-10933"/>
    <s v="Anna Whites"/>
    <s v="HOF"/>
    <s v="San Francisco"/>
    <s v="California"/>
    <n v="94110"/>
    <s v="W"/>
    <x v="174"/>
    <x v="2"/>
    <s v="TEC-PH-10002200"/>
    <n v="7"/>
    <n v="1"/>
    <n v="0.2"/>
    <b v="0"/>
    <n v="42978"/>
    <n v="4"/>
  </r>
  <r>
    <s v="CA-2017-159688"/>
    <s v="BA-10074"/>
    <s v="Anh Tam"/>
    <s v="HOF"/>
    <s v="Los Angeles"/>
    <s v="California"/>
    <n v="90004"/>
    <s v="W"/>
    <x v="175"/>
    <x v="0"/>
    <s v="TEC-AC-10000736"/>
    <n v="1"/>
    <n v="0"/>
    <n v="0"/>
    <b v="0"/>
    <n v="42862"/>
    <n v="5"/>
  </r>
  <r>
    <s v="CA-2016-158694"/>
    <s v="IA-10855"/>
    <s v="Arianne Irving"/>
    <s v="HOF"/>
    <s v="Los Angeles"/>
    <s v="California"/>
    <n v="90036"/>
    <s v="W"/>
    <x v="176"/>
    <x v="3"/>
    <s v="OFF-ST-10001496"/>
    <n v="33"/>
    <n v="1"/>
    <n v="2.8571428571428574E-2"/>
    <b v="1"/>
    <n v="42684"/>
    <n v="3"/>
  </r>
  <r>
    <s v="CA-2015-150511"/>
    <s v="BA-10082"/>
    <s v="Antonio Bege"/>
    <s v="HOF"/>
    <s v="Des Moines"/>
    <s v="Washington"/>
    <n v="98198"/>
    <s v="W"/>
    <x v="177"/>
    <x v="0"/>
    <s v="OFF-PA-10001776"/>
    <n v="2"/>
    <n v="0"/>
    <n v="0"/>
    <b v="0"/>
    <n v="42265"/>
    <n v="6"/>
  </r>
  <r>
    <s v="CA-2015-141243"/>
    <s v="HA-10471"/>
    <s v="Allen Hughes"/>
    <s v="CON"/>
    <s v="Dallas"/>
    <s v="Texas"/>
    <n v="75217"/>
    <s v="C"/>
    <x v="178"/>
    <x v="3"/>
    <s v="TEC-AC-10003198"/>
    <n v="17"/>
    <n v="1"/>
    <n v="0.24000000000000002"/>
    <b v="0"/>
    <n v="42007"/>
    <n v="5"/>
  </r>
  <r>
    <s v="CA-2014-158442"/>
    <s v="ZA-10751"/>
    <s v="Andrey Zackeriah"/>
    <s v="CON"/>
    <s v="Dallas"/>
    <s v="Texas"/>
    <n v="75217"/>
    <s v="C"/>
    <x v="179"/>
    <x v="1"/>
    <s v="OFF-PA-10002365"/>
    <n v="6"/>
    <n v="1"/>
    <n v="0.2"/>
    <b v="1"/>
    <n v="41715"/>
    <n v="0"/>
  </r>
  <r>
    <s v="CA-2016-147970"/>
    <s v="BA-10161"/>
    <s v="Amy Banh"/>
    <s v="CON"/>
    <s v="Dallas"/>
    <s v="Texas"/>
    <n v="75220"/>
    <s v="C"/>
    <x v="180"/>
    <x v="3"/>
    <s v="OFF-PA-10003936"/>
    <n v="3"/>
    <n v="1"/>
    <n v="0.2"/>
    <b v="0"/>
    <n v="42400"/>
    <n v="2"/>
  </r>
  <r>
    <s v="CA-2016-151323"/>
    <s v="BA-10280"/>
    <s v="Aiden Bea"/>
    <s v="HOF"/>
    <s v="Seattle"/>
    <s v="Washington"/>
    <n v="98103"/>
    <s v="W"/>
    <x v="181"/>
    <x v="0"/>
    <s v="OFF-FA-10002983"/>
    <n v="5"/>
    <n v="0"/>
    <n v="0"/>
    <b v="0"/>
    <n v="42666"/>
    <n v="5"/>
  </r>
  <r>
    <s v="CA-2015-156146"/>
    <s v="GA-10497"/>
    <s v="Anthonio Garcia"/>
    <s v="COR"/>
    <s v="Peoria"/>
    <s v="Arizona"/>
    <n v="85345"/>
    <s v="W"/>
    <x v="182"/>
    <x v="3"/>
    <s v="TEC-PH-10001700"/>
    <n v="4"/>
    <n v="1"/>
    <n v="0.2"/>
    <b v="1"/>
    <n v="42303"/>
    <n v="4"/>
  </r>
  <r>
    <s v="CA-2016-115378"/>
    <s v="JA-10945"/>
    <s v="Ashley Jarboe"/>
    <s v="CON"/>
    <s v="Detroit"/>
    <s v="Michigan"/>
    <n v="48227"/>
    <s v="C"/>
    <x v="97"/>
    <x v="0"/>
    <s v="FUR-CH-10000863"/>
    <n v="2"/>
    <n v="0"/>
    <n v="0"/>
    <b v="0"/>
    <n v="42692"/>
    <n v="5"/>
  </r>
  <r>
    <s v="CA-2016-123015"/>
    <s v="JA-10797"/>
    <s v="Alanza Jackson"/>
    <s v="COR"/>
    <s v="Apple Valley"/>
    <s v="California"/>
    <n v="92307"/>
    <s v="W"/>
    <x v="183"/>
    <x v="3"/>
    <s v="OFF-BI-10004967"/>
    <n v="3"/>
    <n v="1"/>
    <n v="0.2"/>
    <b v="0"/>
    <n v="42730"/>
    <n v="4"/>
  </r>
  <r>
    <s v="CA-2017-163335"/>
    <s v="GA-10682"/>
    <s v="Angie Gouge"/>
    <s v="CON"/>
    <s v="Columbus"/>
    <s v="Georgia"/>
    <n v="31907"/>
    <s v="S"/>
    <x v="184"/>
    <x v="2"/>
    <s v="OFF-ST-10000885"/>
    <n v="10"/>
    <n v="0"/>
    <n v="0"/>
    <b v="0"/>
    <n v="43002"/>
    <n v="3"/>
  </r>
  <r>
    <s v="CA-2014-159709"/>
    <s v="IA-10853"/>
    <s v="Alisya Igor"/>
    <s v="CON"/>
    <s v="Philadelphia"/>
    <s v="Pennsylvania"/>
    <n v="19120"/>
    <s v="E"/>
    <x v="5"/>
    <x v="0"/>
    <s v="TEC-PH-10003988"/>
    <n v="8"/>
    <n v="1"/>
    <n v="0.1"/>
    <b v="1"/>
    <n v="41769"/>
    <n v="5"/>
  </r>
  <r>
    <s v="CA-2016-103982"/>
    <s v="AA-10318"/>
    <s v="Andrew Ayalla"/>
    <s v="CON"/>
    <s v="Round Rock"/>
    <s v="Texas"/>
    <n v="78664"/>
    <s v="C"/>
    <x v="185"/>
    <x v="0"/>
    <s v="TEC-PH-10000895"/>
    <n v="14"/>
    <n v="1"/>
    <n v="0.2"/>
    <b v="0"/>
    <n v="42432"/>
    <n v="5"/>
  </r>
  <r>
    <s v="CA-2015-130876"/>
    <s v="ZA-10750"/>
    <s v="Annie Zypern"/>
    <s v="CON"/>
    <s v="Wheeling"/>
    <s v="Illinois"/>
    <n v="60090"/>
    <s v="C"/>
    <x v="186"/>
    <x v="3"/>
    <s v="OFF-ST-10004258"/>
    <n v="3"/>
    <n v="0"/>
    <n v="0"/>
    <b v="0"/>
    <n v="42136"/>
    <n v="4"/>
  </r>
  <r>
    <s v="CA-2016-119865"/>
    <s v="SA-10097"/>
    <s v="Ajay Santos"/>
    <s v="CON"/>
    <s v="New York City"/>
    <s v="New York"/>
    <n v="10011"/>
    <s v="E"/>
    <x v="187"/>
    <x v="0"/>
    <s v="OFF-BI-10003007"/>
    <n v="13"/>
    <n v="1"/>
    <n v="0.2"/>
    <b v="0"/>
    <n v="42542"/>
    <n v="5"/>
  </r>
  <r>
    <s v="CA-2015-125185"/>
    <s v="HA-10198"/>
    <s v="Amie Humble"/>
    <s v="COR"/>
    <s v="Bethlehem"/>
    <s v="Pennsylvania"/>
    <n v="18018"/>
    <s v="E"/>
    <x v="188"/>
    <x v="3"/>
    <s v="FUR-FU-10003247"/>
    <n v="4"/>
    <n v="1"/>
    <n v="0.25"/>
    <b v="0"/>
    <n v="42068"/>
    <n v="2"/>
  </r>
  <r>
    <s v="US-2017-104094"/>
    <s v="GA-10694"/>
    <s v="Ann Goefs"/>
    <s v="CON"/>
    <s v="Salem"/>
    <s v="Virginia"/>
    <n v="24153"/>
    <s v="S"/>
    <x v="189"/>
    <x v="0"/>
    <s v="TEC-AC-10002134"/>
    <n v="1"/>
    <n v="0"/>
    <n v="0"/>
    <b v="0"/>
    <n v="42985"/>
    <n v="4"/>
  </r>
  <r>
    <s v="US-2017-136784"/>
    <s v="DA-10199"/>
    <s v="Alena Diaz"/>
    <s v="HOF"/>
    <s v="San Francisco"/>
    <s v="California"/>
    <n v="94122"/>
    <s v="W"/>
    <x v="90"/>
    <x v="0"/>
    <s v="OFF-PA-10000675"/>
    <n v="4"/>
    <n v="0"/>
    <n v="0"/>
    <b v="0"/>
    <n v="42855"/>
    <n v="5"/>
  </r>
  <r>
    <s v="CA-2016-113831"/>
    <s v="HA-10696"/>
    <s v="Aaron Hadine"/>
    <s v="COR"/>
    <s v="Springfield"/>
    <s v="Virginia"/>
    <n v="22153"/>
    <s v="S"/>
    <x v="190"/>
    <x v="0"/>
    <s v="TEC-AC-10003033"/>
    <n v="22"/>
    <n v="0"/>
    <n v="0"/>
    <b v="0"/>
    <n v="42520"/>
    <n v="4"/>
  </r>
  <r>
    <s v="US-2014-139500"/>
    <s v="BA-10165"/>
    <s v="Alan Barnes"/>
    <s v="CON"/>
    <s v="Los Angeles"/>
    <s v="California"/>
    <n v="90036"/>
    <s v="W"/>
    <x v="191"/>
    <x v="0"/>
    <s v="FUR-CH-10002017"/>
    <n v="2"/>
    <n v="1"/>
    <n v="0.3"/>
    <b v="0"/>
    <n v="41959"/>
    <n v="4"/>
  </r>
  <r>
    <s v="CA-2017-111577"/>
    <s v="JA-10780"/>
    <s v="Anthony Jacobs"/>
    <s v="COR"/>
    <s v="Springfield"/>
    <s v="Virginia"/>
    <n v="22153"/>
    <s v="S"/>
    <x v="192"/>
    <x v="0"/>
    <s v="OFF-PA-10000062"/>
    <n v="7"/>
    <n v="1"/>
    <n v="0.2"/>
    <b v="0"/>
    <n v="43024"/>
    <n v="5"/>
  </r>
  <r>
    <s v="CA-2014-113768"/>
    <s v="HA-10034"/>
    <s v="Arthur Holmes"/>
    <s v="CON"/>
    <s v="San Diego"/>
    <s v="California"/>
    <n v="92105"/>
    <s v="W"/>
    <x v="193"/>
    <x v="0"/>
    <s v="OFF-PA-10003063"/>
    <n v="8"/>
    <n v="1"/>
    <n v="0.1"/>
    <b v="0"/>
    <n v="41772"/>
    <n v="6"/>
  </r>
  <r>
    <s v="CA-2016-138037"/>
    <s v="RA-10540"/>
    <s v="Andy Reiter"/>
    <s v="CON"/>
    <s v="Jackson"/>
    <s v="Michigan"/>
    <n v="49201"/>
    <s v="C"/>
    <x v="194"/>
    <x v="3"/>
    <s v="OFF-BI-10002982"/>
    <n v="5"/>
    <n v="1"/>
    <n v="0.2"/>
    <b v="0"/>
    <n v="42642"/>
    <n v="4"/>
  </r>
  <r>
    <s v="CA-2015-118738"/>
    <s v="GA-10506"/>
    <s v="Angel Gulian"/>
    <s v="COR"/>
    <s v="Houston"/>
    <s v="Texas"/>
    <n v="77041"/>
    <s v="C"/>
    <x v="182"/>
    <x v="0"/>
    <s v="OFF-PA-10003177"/>
    <n v="12"/>
    <n v="1"/>
    <n v="0.23333333333333334"/>
    <b v="0"/>
    <n v="42301"/>
    <n v="6"/>
  </r>
  <r>
    <s v="CA-2017-123043"/>
    <s v="HA-10199"/>
    <s v="Andrew Hertz"/>
    <s v="COR"/>
    <s v="New York City"/>
    <s v="New York"/>
    <n v="10024"/>
    <s v="E"/>
    <x v="195"/>
    <x v="0"/>
    <s v="OFF-BI-10003910"/>
    <n v="5"/>
    <n v="1"/>
    <n v="0.2"/>
    <b v="0"/>
    <n v="42971"/>
    <n v="5"/>
  </r>
  <r>
    <s v="CA-2014-132542"/>
    <s v="MA-10360"/>
    <s v="Alice McCarthy"/>
    <s v="COR"/>
    <s v="Grand Prairie"/>
    <s v="Texas"/>
    <n v="75051"/>
    <s v="C"/>
    <x v="29"/>
    <x v="0"/>
    <s v="OFF-BI-10004099"/>
    <n v="2"/>
    <n v="0"/>
    <n v="0"/>
    <b v="0"/>
    <n v="41918"/>
    <n v="2"/>
  </r>
  <r>
    <s v="CA-2017-155929"/>
    <s v="IA-10858"/>
    <s v="Aturoa Ignes"/>
    <s v="CON"/>
    <s v="Glendale"/>
    <s v="Arizona"/>
    <n v="85301"/>
    <s v="W"/>
    <x v="169"/>
    <x v="0"/>
    <s v="OFF-PA-10000859"/>
    <n v="2"/>
    <n v="1"/>
    <n v="0.2"/>
    <b v="0"/>
    <n v="42987"/>
    <n v="4"/>
  </r>
  <r>
    <s v="CA-2015-142055"/>
    <s v="BA-10280"/>
    <s v="Aiden Bea"/>
    <s v="HOF"/>
    <s v="Seattle"/>
    <s v="Washington"/>
    <n v="98103"/>
    <s v="W"/>
    <x v="196"/>
    <x v="2"/>
    <s v="OFF-PA-10003465"/>
    <n v="2"/>
    <n v="0"/>
    <n v="0"/>
    <b v="0"/>
    <n v="42132"/>
    <n v="2"/>
  </r>
  <r>
    <s v="CA-2015-168634"/>
    <s v="FA-10884"/>
    <s v="Anil Fey"/>
    <s v="CON"/>
    <s v="San Francisco"/>
    <s v="California"/>
    <n v="94109"/>
    <s v="W"/>
    <x v="197"/>
    <x v="0"/>
    <s v="OFF-AP-10001626"/>
    <n v="2"/>
    <n v="0"/>
    <n v="0"/>
    <b v="0"/>
    <n v="42344"/>
    <n v="5"/>
  </r>
  <r>
    <s v="CA-2016-147431"/>
    <s v="BA-10124"/>
    <s v="Ahz Brinez"/>
    <s v="CON"/>
    <s v="New York City"/>
    <s v="New York"/>
    <n v="10011"/>
    <s v="E"/>
    <x v="198"/>
    <x v="0"/>
    <s v="OFF-ST-10003994"/>
    <n v="2"/>
    <n v="0"/>
    <n v="0"/>
    <b v="1"/>
    <n v="42402"/>
    <n v="5"/>
  </r>
  <r>
    <s v="CA-2017-106355"/>
    <s v="TA-10435"/>
    <s v="Alyssa Tate"/>
    <s v="HOF"/>
    <s v="Los Angeles"/>
    <s v="California"/>
    <n v="90004"/>
    <s v="W"/>
    <x v="199"/>
    <x v="3"/>
    <s v="OFF-AR-10000246"/>
    <n v="4"/>
    <n v="0"/>
    <n v="0"/>
    <b v="0"/>
    <n v="42827"/>
    <n v="3"/>
  </r>
  <r>
    <s v="CA-2015-166604"/>
    <s v="HA-10696"/>
    <s v="Aaron Hadine"/>
    <s v="COR"/>
    <s v="Springfield"/>
    <s v="Virginia"/>
    <n v="22153"/>
    <s v="S"/>
    <x v="200"/>
    <x v="0"/>
    <s v="OFF-EN-10004147"/>
    <n v="3"/>
    <n v="0"/>
    <n v="0"/>
    <b v="0"/>
    <n v="42139"/>
    <n v="5"/>
  </r>
  <r>
    <s v="CA-2015-104241"/>
    <s v="GA-10511"/>
    <s v="Amy Goue"/>
    <s v="COR"/>
    <s v="Detroit"/>
    <s v="Michigan"/>
    <n v="48234"/>
    <s v="C"/>
    <x v="201"/>
    <x v="0"/>
    <s v="FUR-FU-10001473"/>
    <n v="14"/>
    <n v="0"/>
    <n v="0"/>
    <b v="0"/>
    <n v="42008"/>
    <n v="5"/>
  </r>
  <r>
    <s v="CA-2017-142342"/>
    <s v="JA-10797"/>
    <s v="Alanza Jackson"/>
    <s v="COR"/>
    <s v="Apple Valley"/>
    <s v="California"/>
    <n v="92307"/>
    <s v="W"/>
    <x v="202"/>
    <x v="3"/>
    <s v="OFF-ST-10002957"/>
    <n v="17"/>
    <n v="1"/>
    <n v="3.7499999999999999E-2"/>
    <b v="0"/>
    <n v="42933"/>
    <n v="2"/>
  </r>
  <r>
    <s v="CA-2016-145261"/>
    <s v="HA-10126"/>
    <s v="Amy Hernandez"/>
    <s v="HOF"/>
    <s v="Salem"/>
    <s v="Oregon"/>
    <n v="97301"/>
    <s v="W"/>
    <x v="203"/>
    <x v="2"/>
    <s v="TEC-PH-10004833"/>
    <n v="25"/>
    <n v="1"/>
    <n v="0.31428571428571428"/>
    <b v="1"/>
    <n v="42722"/>
    <n v="3"/>
  </r>
  <r>
    <s v="CA-2016-126165"/>
    <s v="HA-10471"/>
    <s v="Allen Hughes"/>
    <s v="CON"/>
    <s v="Dallas"/>
    <s v="Texas"/>
    <n v="75217"/>
    <s v="C"/>
    <x v="204"/>
    <x v="3"/>
    <s v="FUR-TA-10001676"/>
    <n v="2"/>
    <n v="1"/>
    <n v="0.2"/>
    <b v="0"/>
    <n v="42495"/>
    <n v="2"/>
  </r>
  <r>
    <s v="CA-2017-126123"/>
    <s v="GA-10776"/>
    <s v="Abis Gurfiez"/>
    <s v="HOF"/>
    <s v="Chicago"/>
    <s v="Illinois"/>
    <n v="60623"/>
    <s v="C"/>
    <x v="205"/>
    <x v="0"/>
    <s v="OFF-BI-10004224"/>
    <n v="10"/>
    <n v="1"/>
    <n v="0.8"/>
    <b v="1"/>
    <n v="43022"/>
    <n v="4"/>
  </r>
  <r>
    <s v="CA-2017-116939"/>
    <s v="GA-10907"/>
    <s v="Allen Golberg"/>
    <s v="CON"/>
    <s v="Waterbury"/>
    <s v="Connecticut"/>
    <n v="6708"/>
    <s v="E"/>
    <x v="116"/>
    <x v="2"/>
    <s v="OFF-ST-10001476"/>
    <n v="5"/>
    <n v="0"/>
    <n v="0"/>
    <b v="0"/>
    <n v="43003"/>
    <n v="4"/>
  </r>
  <r>
    <s v="CA-2015-110548"/>
    <s v="HA-10699"/>
    <s v="Ava Himenez"/>
    <s v="COR"/>
    <s v="Houston"/>
    <s v="Texas"/>
    <n v="77095"/>
    <s v="C"/>
    <x v="206"/>
    <x v="0"/>
    <s v="TEC-PH-10002922"/>
    <n v="7"/>
    <n v="1"/>
    <n v="0.2"/>
    <b v="0"/>
    <n v="42128"/>
    <n v="4"/>
  </r>
  <r>
    <s v="CA-2015-150749"/>
    <s v="SA-10242"/>
    <s v="Anna Shoves"/>
    <s v="CON"/>
    <s v="Cleveland"/>
    <s v="Ohio"/>
    <n v="44105"/>
    <s v="E"/>
    <x v="207"/>
    <x v="3"/>
    <s v="OFF-AR-10003732"/>
    <n v="2"/>
    <n v="0"/>
    <n v="0"/>
    <b v="0"/>
    <n v="42092"/>
    <n v="5"/>
  </r>
  <r>
    <s v="CA-2017-126396"/>
    <s v="RA-10345"/>
    <s v="Alex Russell"/>
    <s v="COR"/>
    <s v="Philadelphia"/>
    <s v="Pennsylvania"/>
    <n v="19143"/>
    <s v="E"/>
    <x v="208"/>
    <x v="3"/>
    <s v="TEC-AC-10003116"/>
    <n v="6"/>
    <n v="1"/>
    <n v="0.2"/>
    <b v="0"/>
    <n v="42986"/>
    <n v="4"/>
  </r>
  <r>
    <s v="CA-2014-105270"/>
    <s v="PA-10945"/>
    <s v="Antonio Pinebrook"/>
    <s v="CON"/>
    <s v="Los Angeles"/>
    <s v="California"/>
    <n v="90045"/>
    <s v="W"/>
    <x v="209"/>
    <x v="0"/>
    <s v="OFF-AR-10003156"/>
    <n v="4"/>
    <n v="1"/>
    <n v="0.1"/>
    <b v="1"/>
    <n v="41954"/>
    <n v="7"/>
  </r>
  <r>
    <s v="US-2015-106495"/>
    <s v="CA-10471"/>
    <s v="Amie Charles"/>
    <s v="CON"/>
    <s v="Pembroke Pines"/>
    <s v="Florida"/>
    <n v="33024"/>
    <s v="S"/>
    <x v="210"/>
    <x v="2"/>
    <s v="TEC-AC-10002718"/>
    <n v="1"/>
    <n v="1"/>
    <n v="0.2"/>
    <b v="0"/>
    <n v="42170"/>
    <n v="2"/>
  </r>
  <r>
    <s v="CA-2014-115056"/>
    <s v="RA-10510"/>
    <s v="Andrew Roberts"/>
    <s v="CON"/>
    <s v="Philadelphia"/>
    <s v="Pennsylvania"/>
    <n v="19134"/>
    <s v="E"/>
    <x v="211"/>
    <x v="0"/>
    <s v="OFF-AP-10003971"/>
    <n v="3"/>
    <n v="1"/>
    <n v="0.2"/>
    <b v="0"/>
    <n v="41761"/>
    <n v="0"/>
  </r>
  <r>
    <s v="CA-2015-112214"/>
    <s v="HA-10699"/>
    <s v="Ava Himenez"/>
    <s v="COR"/>
    <s v="Houston"/>
    <s v="Texas"/>
    <n v="77095"/>
    <s v="C"/>
    <x v="212"/>
    <x v="0"/>
    <s v="OFF-SU-10003567"/>
    <n v="16"/>
    <n v="1"/>
    <n v="0.45"/>
    <b v="0"/>
    <n v="42221"/>
    <n v="6"/>
  </r>
  <r>
    <s v="CA-2017-107244"/>
    <s v="GA-10390"/>
    <s v="Allen Goldenen"/>
    <s v="CON"/>
    <s v="Cincinnati"/>
    <s v="Ohio"/>
    <n v="45231"/>
    <s v="E"/>
    <x v="189"/>
    <x v="0"/>
    <s v="FUR-FU-10002597"/>
    <n v="4"/>
    <n v="0"/>
    <n v="0"/>
    <b v="0"/>
    <n v="42985"/>
    <n v="4"/>
  </r>
  <r>
    <s v="CA-2014-102652"/>
    <s v="YA-10555"/>
    <s v="Andy Yotov"/>
    <s v="COR"/>
    <s v="Oceanside"/>
    <s v="California"/>
    <n v="92054"/>
    <s v="W"/>
    <x v="213"/>
    <x v="3"/>
    <s v="OFF-PA-10003309"/>
    <n v="13"/>
    <n v="0"/>
    <n v="0"/>
    <b v="0"/>
    <n v="41735"/>
    <n v="6"/>
  </r>
  <r>
    <s v="CA-2017-136007"/>
    <s v="CA-10625"/>
    <s v="An Cillian"/>
    <s v="COR"/>
    <s v="Seattle"/>
    <s v="Washington"/>
    <n v="98115"/>
    <s v="W"/>
    <x v="214"/>
    <x v="0"/>
    <s v="TEC-PH-10003589"/>
    <n v="10"/>
    <n v="1"/>
    <n v="0.1"/>
    <b v="0"/>
    <n v="42789"/>
    <n v="7"/>
  </r>
  <r>
    <s v="US-2017-152492"/>
    <s v="HA-10587"/>
    <s v="Anthony Handerson"/>
    <s v="CON"/>
    <s v="Seattle"/>
    <s v="Washington"/>
    <n v="98105"/>
    <s v="W"/>
    <x v="215"/>
    <x v="3"/>
    <s v="FUR-CH-10000155"/>
    <n v="1"/>
    <n v="1"/>
    <n v="0.2"/>
    <b v="0"/>
    <n v="42922"/>
    <n v="0"/>
  </r>
  <r>
    <s v="CA-2016-131205"/>
    <s v="AA-10649"/>
    <s v="Alexander Anderson"/>
    <s v="CON"/>
    <s v="Georgetown"/>
    <s v="Kentucky"/>
    <n v="40324"/>
    <s v="S"/>
    <x v="216"/>
    <x v="0"/>
    <s v="OFF-ST-10002583"/>
    <n v="16"/>
    <n v="0"/>
    <n v="0"/>
    <b v="0"/>
    <n v="42617"/>
    <n v="4"/>
  </r>
  <r>
    <s v="CA-2017-145702"/>
    <s v="HA-10082"/>
    <s v="Aleen Hope"/>
    <s v="COR"/>
    <s v="Knoxville"/>
    <s v="Tennessee"/>
    <n v="37918"/>
    <s v="S"/>
    <x v="217"/>
    <x v="3"/>
    <s v="OFF-PA-10001526"/>
    <n v="10"/>
    <n v="1"/>
    <n v="0.2"/>
    <b v="0"/>
    <n v="42874"/>
    <n v="5"/>
  </r>
  <r>
    <s v="CA-2015-151547"/>
    <s v="HA-10465"/>
    <s v="Amy Hunt"/>
    <s v="CON"/>
    <s v="New York City"/>
    <s v="New York"/>
    <n v="10035"/>
    <s v="E"/>
    <x v="218"/>
    <x v="0"/>
    <s v="OFF-SU-10000898"/>
    <n v="8"/>
    <n v="1"/>
    <n v="0.2"/>
    <b v="0"/>
    <n v="42021"/>
    <n v="6"/>
  </r>
  <r>
    <s v="CA-2016-150007"/>
    <s v="SA-10099"/>
    <s v="Alphonso Sami"/>
    <s v="CON"/>
    <s v="Chicago"/>
    <s v="Illinois"/>
    <n v="60653"/>
    <s v="C"/>
    <x v="219"/>
    <x v="0"/>
    <s v="OFF-LA-10001982"/>
    <n v="5"/>
    <n v="1"/>
    <n v="0.5"/>
    <b v="0"/>
    <n v="42624"/>
    <n v="5"/>
  </r>
  <r>
    <s v="US-2014-158400"/>
    <s v="HA-10034"/>
    <s v="Arthur Holmes"/>
    <s v="CON"/>
    <s v="San Diego"/>
    <s v="California"/>
    <n v="92105"/>
    <s v="W"/>
    <x v="220"/>
    <x v="2"/>
    <s v="OFF-BI-10002353"/>
    <n v="4"/>
    <n v="1"/>
    <n v="0.2"/>
    <b v="0"/>
    <n v="41937"/>
    <n v="3"/>
  </r>
  <r>
    <s v="CA-2017-145737"/>
    <s v="BA-10165"/>
    <s v="Alan Barnes"/>
    <s v="CON"/>
    <s v="Los Angeles"/>
    <s v="California"/>
    <n v="90036"/>
    <s v="W"/>
    <x v="221"/>
    <x v="0"/>
    <s v="OFF-PA-10001033"/>
    <n v="5"/>
    <n v="1"/>
    <n v="0.2"/>
    <b v="0"/>
    <n v="42993"/>
    <n v="5"/>
  </r>
  <r>
    <s v="CA-2016-148096"/>
    <s v="OA-10810"/>
    <s v="Anthony O'Donnell"/>
    <s v="COR"/>
    <s v="Los Angeles"/>
    <s v="California"/>
    <n v="90045"/>
    <s v="W"/>
    <x v="222"/>
    <x v="2"/>
    <s v="FUR-TA-10004152"/>
    <n v="2"/>
    <n v="1"/>
    <n v="0.2"/>
    <b v="0"/>
    <n v="42598"/>
    <n v="3"/>
  </r>
  <r>
    <s v="CA-2016-161928"/>
    <s v="CA-10668"/>
    <s v="Antoinnet Cruz"/>
    <s v="CON"/>
    <s v="San Francisco"/>
    <s v="California"/>
    <n v="94109"/>
    <s v="W"/>
    <x v="44"/>
    <x v="3"/>
    <s v="TEC-PH-10003484"/>
    <n v="2"/>
    <n v="1"/>
    <n v="0.2"/>
    <b v="0"/>
    <n v="42548"/>
    <n v="2"/>
  </r>
  <r>
    <s v="CA-2016-104150"/>
    <s v="GA-10330"/>
    <s v="Alex Grayson"/>
    <s v="CON"/>
    <s v="Stockton"/>
    <s v="California"/>
    <n v="95207"/>
    <s v="W"/>
    <x v="223"/>
    <x v="3"/>
    <s v="TEC-AC-10004803"/>
    <n v="15"/>
    <n v="0"/>
    <n v="0"/>
    <b v="1"/>
    <n v="42585"/>
    <n v="2"/>
  </r>
  <r>
    <s v="CA-2017-157903"/>
    <s v="MA-10713"/>
    <s v="Athur Maines"/>
    <s v="CON"/>
    <s v="Des Plaines"/>
    <s v="Illinois"/>
    <n v="60016"/>
    <s v="C"/>
    <x v="224"/>
    <x v="0"/>
    <s v="TEC-PH-10004345"/>
    <n v="4"/>
    <n v="1"/>
    <n v="0.2"/>
    <b v="0"/>
    <n v="42829"/>
    <n v="4"/>
  </r>
  <r>
    <s v="CA-2017-104927"/>
    <s v="GA-10330"/>
    <s v="Alex Grayson"/>
    <s v="CON"/>
    <s v="Stockton"/>
    <s v="California"/>
    <n v="95207"/>
    <s v="W"/>
    <x v="225"/>
    <x v="0"/>
    <s v="OFF-PA-10000176"/>
    <n v="15"/>
    <n v="1"/>
    <n v="0.4"/>
    <b v="0"/>
    <n v="43091"/>
    <n v="4"/>
  </r>
  <r>
    <s v="CA-2014-128538"/>
    <s v="SA-10242"/>
    <s v="Anna Shoves"/>
    <s v="CON"/>
    <s v="Cleveland"/>
    <s v="Ohio"/>
    <n v="44105"/>
    <s v="E"/>
    <x v="226"/>
    <x v="3"/>
    <s v="OFF-EN-10001219"/>
    <n v="1"/>
    <n v="0"/>
    <n v="0"/>
    <b v="0"/>
    <n v="41923"/>
    <n v="4"/>
  </r>
  <r>
    <s v="CA-2016-144400"/>
    <s v="CA-10420"/>
    <s v="Alyssa Crouse"/>
    <s v="COR"/>
    <s v="San Francisco"/>
    <s v="California"/>
    <n v="94122"/>
    <s v="W"/>
    <x v="125"/>
    <x v="0"/>
    <s v="OFF-EN-10004386"/>
    <n v="6"/>
    <n v="1"/>
    <n v="0.2"/>
    <b v="0"/>
    <n v="42423"/>
    <n v="4"/>
  </r>
  <r>
    <s v="CA-2015-133977"/>
    <s v="TA-10435"/>
    <s v="Alyssa Tate"/>
    <s v="HOF"/>
    <s v="Los Angeles"/>
    <s v="California"/>
    <n v="90004"/>
    <s v="W"/>
    <x v="154"/>
    <x v="3"/>
    <s v="OFF-BI-10003166"/>
    <n v="1"/>
    <n v="1"/>
    <n v="0.7"/>
    <b v="0"/>
    <n v="42253"/>
    <n v="2"/>
  </r>
  <r>
    <s v="CA-2017-141425"/>
    <s v="RA-10825"/>
    <s v="Anthony Rawles"/>
    <s v="COR"/>
    <s v="Vancouver"/>
    <s v="Washington"/>
    <n v="98661"/>
    <s v="W"/>
    <x v="227"/>
    <x v="3"/>
    <s v="OFF-SU-10000646"/>
    <n v="2"/>
    <n v="1"/>
    <n v="0.2"/>
    <b v="0"/>
    <n v="43041"/>
    <n v="4"/>
  </r>
  <r>
    <s v="CA-2014-146731"/>
    <s v="TA-10735"/>
    <s v="Annie Thurman"/>
    <s v="CON"/>
    <s v="Nashville"/>
    <s v="Tennessee"/>
    <n v="37211"/>
    <s v="S"/>
    <x v="228"/>
    <x v="0"/>
    <s v="OFF-PA-10001019"/>
    <n v="11"/>
    <n v="1"/>
    <n v="0.2"/>
    <b v="1"/>
    <n v="41946"/>
    <n v="5"/>
  </r>
  <r>
    <s v="CA-2017-149706"/>
    <s v="SA-10285"/>
    <s v="Alejandro Savely"/>
    <s v="COR"/>
    <s v="Palatine"/>
    <s v="Illinois"/>
    <n v="60067"/>
    <s v="C"/>
    <x v="83"/>
    <x v="2"/>
    <s v="TEC-AC-10001284"/>
    <n v="7"/>
    <n v="1"/>
    <n v="0.2"/>
    <b v="0"/>
    <n v="43080"/>
    <n v="1"/>
  </r>
  <r>
    <s v="CA-2015-151253"/>
    <s v="ZA-10760"/>
    <s v="Aiden Zelensky"/>
    <s v="CON"/>
    <s v="San Diego"/>
    <s v="California"/>
    <n v="92037"/>
    <s v="W"/>
    <x v="229"/>
    <x v="0"/>
    <s v="TEC-PH-10002923"/>
    <n v="6"/>
    <n v="1"/>
    <n v="0.1"/>
    <b v="0"/>
    <n v="42116"/>
    <n v="4"/>
  </r>
  <r>
    <s v="CA-2014-141313"/>
    <s v="JA-10784"/>
    <s v="Anderson Jibbs"/>
    <s v="COR"/>
    <s v="Beverly"/>
    <s v="Massachusetts"/>
    <n v="1915"/>
    <s v="E"/>
    <x v="230"/>
    <x v="3"/>
    <s v="OFF-ST-10000689"/>
    <n v="15"/>
    <n v="0"/>
    <n v="0"/>
    <b v="0"/>
    <n v="42001"/>
    <n v="4"/>
  </r>
  <r>
    <s v="CA-2017-166919"/>
    <s v="HA-10214"/>
    <s v="Andy Harper"/>
    <s v="CON"/>
    <s v="Seattle"/>
    <s v="Washington"/>
    <n v="98105"/>
    <s v="W"/>
    <x v="231"/>
    <x v="2"/>
    <s v="TEC-PH-10001305"/>
    <n v="5"/>
    <n v="1"/>
    <n v="0.2"/>
    <b v="0"/>
    <n v="43062"/>
    <n v="4"/>
  </r>
  <r>
    <s v="CA-2017-107552"/>
    <s v="IA-10858"/>
    <s v="Aturoa Ignes"/>
    <s v="CON"/>
    <s v="Glendale"/>
    <s v="Arizona"/>
    <n v="85301"/>
    <s v="W"/>
    <x v="90"/>
    <x v="0"/>
    <s v="OFF-PA-10002947"/>
    <n v="1"/>
    <n v="0"/>
    <n v="0"/>
    <b v="0"/>
    <n v="42860"/>
    <n v="0"/>
  </r>
  <r>
    <s v="CA-2017-161557"/>
    <s v="GA-10907"/>
    <s v="Allen Golberg"/>
    <s v="CON"/>
    <s v="Waterbury"/>
    <s v="Connecticut"/>
    <n v="6708"/>
    <s v="E"/>
    <x v="35"/>
    <x v="2"/>
    <s v="FUR-FU-10004622"/>
    <n v="5"/>
    <n v="1"/>
    <n v="0.6"/>
    <b v="0"/>
    <n v="42981"/>
    <n v="5"/>
  </r>
  <r>
    <s v="CA-2016-163216"/>
    <s v="WA-10933"/>
    <s v="Anna Whites"/>
    <s v="HOF"/>
    <s v="San Francisco"/>
    <s v="California"/>
    <n v="94110"/>
    <s v="W"/>
    <x v="232"/>
    <x v="2"/>
    <s v="OFF-LA-10000134"/>
    <n v="2"/>
    <n v="1"/>
    <n v="0.2"/>
    <b v="0"/>
    <n v="42650"/>
    <n v="3"/>
  </r>
  <r>
    <s v="CA-2017-131632"/>
    <s v="HA-10127"/>
    <s v="Alex Hultz"/>
    <s v="HOF"/>
    <s v="Dallas"/>
    <s v="Texas"/>
    <n v="75217"/>
    <s v="C"/>
    <x v="233"/>
    <x v="0"/>
    <s v="OFF-AR-10003651"/>
    <n v="2"/>
    <n v="1"/>
    <n v="0.2"/>
    <b v="0"/>
    <n v="43039"/>
    <n v="4"/>
  </r>
  <r>
    <s v="CA-2017-151211"/>
    <s v="HA-10130"/>
    <s v="Art Himenez"/>
    <s v="HOF"/>
    <s v="Louisville"/>
    <s v="Kentucky"/>
    <n v="40214"/>
    <s v="S"/>
    <x v="234"/>
    <x v="0"/>
    <s v="TEC-AC-10004510"/>
    <n v="9"/>
    <n v="0"/>
    <n v="0"/>
    <b v="0"/>
    <n v="42964"/>
    <n v="6"/>
  </r>
  <r>
    <s v="US-2017-133361"/>
    <s v="JA-10788"/>
    <s v="Agnes Johns"/>
    <s v="COR"/>
    <s v="Baltimore"/>
    <s v="Maryland"/>
    <n v="21215"/>
    <s v="E"/>
    <x v="235"/>
    <x v="2"/>
    <s v="TEC-AC-10003280"/>
    <n v="22"/>
    <n v="0"/>
    <n v="0"/>
    <b v="0"/>
    <n v="42869"/>
    <n v="3"/>
  </r>
  <r>
    <s v="US-2016-155404"/>
    <s v="SA-10636"/>
    <s v="Alphonso Smiths"/>
    <s v="HOF"/>
    <s v="Knoxville"/>
    <s v="Tennessee"/>
    <n v="37918"/>
    <s v="S"/>
    <x v="236"/>
    <x v="0"/>
    <s v="FUR-FU-10004586"/>
    <n v="2"/>
    <n v="0"/>
    <n v="0"/>
    <b v="0"/>
    <n v="42635"/>
    <n v="6"/>
  </r>
  <r>
    <s v="CA-2015-114503"/>
    <s v="AA-10397"/>
    <s v="Allen Armold"/>
    <s v="CON"/>
    <s v="Lebanon"/>
    <s v="Tennessee"/>
    <n v="37087"/>
    <s v="S"/>
    <x v="237"/>
    <x v="0"/>
    <s v="OFF-ST-10003572"/>
    <n v="6"/>
    <n v="1"/>
    <n v="0.2"/>
    <b v="0"/>
    <n v="42321"/>
    <n v="4"/>
  </r>
  <r>
    <s v="CA-2017-138289"/>
    <s v="RA-10540"/>
    <s v="Andy Reiter"/>
    <s v="CON"/>
    <s v="Jackson"/>
    <s v="Michigan"/>
    <n v="49201"/>
    <s v="C"/>
    <x v="238"/>
    <x v="3"/>
    <s v="OFF-PA-10001260"/>
    <n v="14"/>
    <n v="0"/>
    <n v="0"/>
    <b v="0"/>
    <n v="42751"/>
    <n v="2"/>
  </r>
  <r>
    <s v="CA-2017-104731"/>
    <s v="MA-10715"/>
    <s v="Aaron Mitchel"/>
    <s v="CON"/>
    <s v="Salem"/>
    <s v="Virginia"/>
    <n v="24153"/>
    <s v="S"/>
    <x v="239"/>
    <x v="0"/>
    <s v="TEC-PH-10002660"/>
    <n v="29"/>
    <n v="0"/>
    <n v="0"/>
    <b v="1"/>
    <n v="42937"/>
    <n v="6"/>
  </r>
  <r>
    <s v="CA-2016-168921"/>
    <s v="GA-10511"/>
    <s v="Amy Goue"/>
    <s v="COR"/>
    <s v="Detroit"/>
    <s v="Michigan"/>
    <n v="48234"/>
    <s v="C"/>
    <x v="240"/>
    <x v="2"/>
    <s v="OFF-BI-10004209"/>
    <n v="3"/>
    <n v="1"/>
    <n v="0.2"/>
    <b v="0"/>
    <n v="42663"/>
    <n v="2"/>
  </r>
  <r>
    <s v="CA-2014-108609"/>
    <s v="JA-10780"/>
    <s v="Anthony Jacobs"/>
    <s v="COR"/>
    <s v="Springfield"/>
    <s v="Virginia"/>
    <n v="22153"/>
    <s v="S"/>
    <x v="143"/>
    <x v="0"/>
    <s v="FUR-TA-10003954"/>
    <n v="8"/>
    <n v="1"/>
    <n v="0.4"/>
    <b v="0"/>
    <n v="41943"/>
    <n v="2"/>
  </r>
  <r>
    <s v="CA-2017-100230"/>
    <s v="AA-10399"/>
    <s v="Anna Armold"/>
    <s v="CON"/>
    <s v="New York City"/>
    <s v="New York"/>
    <n v="10035"/>
    <s v="E"/>
    <x v="241"/>
    <x v="0"/>
    <s v="TEC-PH-10004522"/>
    <n v="6"/>
    <n v="1"/>
    <n v="6.666666666666668E-2"/>
    <b v="0"/>
    <n v="43080"/>
    <n v="4"/>
  </r>
  <r>
    <s v="CA-2016-123946"/>
    <s v="JA-10799"/>
    <s v="Alisio Johnson"/>
    <s v="COR"/>
    <s v="Springfield"/>
    <s v="Virginia"/>
    <n v="22153"/>
    <s v="S"/>
    <x v="242"/>
    <x v="0"/>
    <s v="TEC-AC-10004877"/>
    <n v="15"/>
    <n v="0"/>
    <n v="0"/>
    <b v="1"/>
    <n v="42625"/>
    <n v="5"/>
  </r>
  <r>
    <s v="CA-2017-149468"/>
    <s v="RA-10405"/>
    <s v="Allen Rosenblatt"/>
    <s v="COR"/>
    <s v="Franklin"/>
    <s v="Massachusetts"/>
    <n v="2038"/>
    <s v="E"/>
    <x v="165"/>
    <x v="0"/>
    <s v="OFF-BI-10002225"/>
    <n v="2"/>
    <n v="0"/>
    <n v="0"/>
    <b v="0"/>
    <n v="42875"/>
    <n v="0"/>
  </r>
  <r>
    <s v="CA-2017-143021"/>
    <s v="PA-10727"/>
    <s v="Agnes Peters"/>
    <s v="HOF"/>
    <s v="Fort Lauderdale"/>
    <s v="Florida"/>
    <n v="33311"/>
    <s v="S"/>
    <x v="243"/>
    <x v="1"/>
    <s v="OFF-BI-10001628"/>
    <n v="10"/>
    <n v="1"/>
    <n v="0.30000000000000004"/>
    <b v="0"/>
    <n v="43058"/>
    <n v="0"/>
  </r>
  <r>
    <s v="CA-2016-157588"/>
    <s v="RA-10570"/>
    <s v="Anemone Ratner"/>
    <s v="CON"/>
    <s v="Columbus"/>
    <s v="Georgia"/>
    <n v="31907"/>
    <s v="S"/>
    <x v="244"/>
    <x v="0"/>
    <s v="OFF-BI-10003963"/>
    <n v="6"/>
    <n v="0"/>
    <n v="0"/>
    <b v="1"/>
    <n v="42565"/>
    <n v="5"/>
  </r>
  <r>
    <s v="CA-2017-153822"/>
    <s v="BA-10127"/>
    <s v="Ava Benidictine"/>
    <s v="CON"/>
    <s v="Phoenix"/>
    <s v="Arizona"/>
    <n v="85023"/>
    <s v="W"/>
    <x v="245"/>
    <x v="0"/>
    <s v="TEC-PH-10002415"/>
    <n v="10"/>
    <n v="1"/>
    <n v="0.32500000000000001"/>
    <b v="0"/>
    <n v="42997"/>
    <n v="6"/>
  </r>
  <r>
    <s v="CA-2015-166800"/>
    <s v="GA-10300"/>
    <s v="Aleksandra Gannaway"/>
    <s v="COR"/>
    <s v="San Francisco"/>
    <s v="California"/>
    <n v="94122"/>
    <s v="W"/>
    <x v="79"/>
    <x v="0"/>
    <s v="OFF-AP-10004868"/>
    <n v="4"/>
    <n v="0"/>
    <n v="0"/>
    <b v="0"/>
    <n v="42327"/>
    <n v="7"/>
  </r>
  <r>
    <s v="CA-2014-124737"/>
    <s v="PA-10942"/>
    <s v="Andy Phillips"/>
    <s v="CON"/>
    <s v="Denver"/>
    <s v="Colorado"/>
    <n v="80219"/>
    <s v="W"/>
    <x v="246"/>
    <x v="0"/>
    <s v="TEC-PH-10000149"/>
    <n v="31"/>
    <n v="1"/>
    <n v="0.2"/>
    <b v="1"/>
    <n v="41874"/>
    <n v="4"/>
  </r>
  <r>
    <s v="CA-2017-103443"/>
    <s v="TA-10738"/>
    <s v="Alex Tam"/>
    <s v="CON"/>
    <s v="New York City"/>
    <s v="New York"/>
    <n v="10009"/>
    <s v="E"/>
    <x v="247"/>
    <x v="0"/>
    <s v="OFF-ST-10002276"/>
    <n v="7"/>
    <n v="1"/>
    <n v="6.6666666666666666E-2"/>
    <b v="0"/>
    <n v="43086"/>
    <n v="6"/>
  </r>
  <r>
    <s v="CA-2016-114209"/>
    <s v="SA-10285"/>
    <s v="Alejandro Savely"/>
    <s v="COR"/>
    <s v="Palatine"/>
    <s v="Illinois"/>
    <n v="60067"/>
    <s v="C"/>
    <x v="248"/>
    <x v="2"/>
    <s v="OFF-PA-10003591"/>
    <n v="11"/>
    <n v="1"/>
    <n v="0.5"/>
    <b v="0"/>
    <n v="42511"/>
    <n v="5"/>
  </r>
  <r>
    <s v="CA-2017-118724"/>
    <s v="RA-10825"/>
    <s v="Anthony Rawles"/>
    <s v="COR"/>
    <s v="Vancouver"/>
    <s v="Washington"/>
    <n v="98661"/>
    <s v="W"/>
    <x v="249"/>
    <x v="3"/>
    <s v="TEC-PH-10002549"/>
    <n v="11"/>
    <n v="1"/>
    <n v="0.1"/>
    <b v="0"/>
    <n v="42937"/>
    <n v="4"/>
  </r>
  <r>
    <s v="CA-2017-112004"/>
    <s v="HA-10088"/>
    <s v="Andy Henry"/>
    <s v="COR"/>
    <s v="Chester"/>
    <s v="Pennsylvania"/>
    <n v="19013"/>
    <s v="E"/>
    <x v="250"/>
    <x v="2"/>
    <s v="OFF-SU-10000157"/>
    <n v="7"/>
    <n v="1"/>
    <n v="0.44999999999999996"/>
    <b v="0"/>
    <n v="43003"/>
    <n v="3"/>
  </r>
  <r>
    <s v="CA-2017-142909"/>
    <s v="GA-10330"/>
    <s v="Alex Grayson"/>
    <s v="CON"/>
    <s v="Stockton"/>
    <s v="California"/>
    <n v="95207"/>
    <s v="W"/>
    <x v="251"/>
    <x v="3"/>
    <s v="FUR-TA-10003008"/>
    <n v="2"/>
    <n v="1"/>
    <n v="0.5"/>
    <b v="0"/>
    <n v="43091"/>
    <n v="3"/>
  </r>
  <r>
    <s v="CA-2014-122070"/>
    <s v="HA-10036"/>
    <s v="Alisa Henry"/>
    <s v="COR"/>
    <s v="Troy"/>
    <s v="New York"/>
    <n v="12180"/>
    <s v="E"/>
    <x v="252"/>
    <x v="3"/>
    <s v="OFF-EN-10004773"/>
    <n v="11"/>
    <n v="1"/>
    <n v="0.1"/>
    <b v="0"/>
    <n v="41751"/>
    <n v="2"/>
  </r>
  <r>
    <s v="CA-2016-133368"/>
    <s v="GA-10682"/>
    <s v="Angie Gouge"/>
    <s v="CON"/>
    <s v="Columbus"/>
    <s v="Georgia"/>
    <n v="31907"/>
    <s v="S"/>
    <x v="253"/>
    <x v="0"/>
    <s v="OFF-PA-10004039"/>
    <n v="10"/>
    <n v="1"/>
    <n v="0.2"/>
    <b v="0"/>
    <n v="42383"/>
    <n v="6"/>
  </r>
  <r>
    <s v="CA-2015-144519"/>
    <s v="WA-10937"/>
    <s v="Abraham Willison"/>
    <s v="HOF"/>
    <s v="Helena"/>
    <s v="Montana"/>
    <n v="59601"/>
    <s v="W"/>
    <x v="237"/>
    <x v="0"/>
    <s v="TEC-PH-10004908"/>
    <n v="12"/>
    <n v="1"/>
    <n v="0.1"/>
    <b v="0"/>
    <n v="42321"/>
    <n v="4"/>
  </r>
  <r>
    <s v="CA-2014-158281"/>
    <s v="GA-10525"/>
    <s v="Andy Gerbode"/>
    <s v="COR"/>
    <s v="Saint Petersburg"/>
    <s v="Texas"/>
    <n v="77095"/>
    <s v="S"/>
    <x v="254"/>
    <x v="0"/>
    <s v="TEC-MA-10002210"/>
    <n v="6"/>
    <n v="1"/>
    <n v="0.4"/>
    <b v="0"/>
    <n v="41884"/>
    <n v="5"/>
  </r>
  <r>
    <s v="CA-2015-139780"/>
    <s v="HA-10700"/>
    <s v="Adam Hsu"/>
    <s v="COR"/>
    <s v="Detroit"/>
    <s v="Michigan"/>
    <n v="48205"/>
    <s v="C"/>
    <x v="255"/>
    <x v="3"/>
    <s v="OFF-BI-10004139"/>
    <n v="8"/>
    <n v="0"/>
    <n v="0"/>
    <b v="0"/>
    <n v="42369"/>
    <n v="2"/>
  </r>
  <r>
    <s v="US-2014-115189"/>
    <s v="RA-10345"/>
    <s v="Alex Russell"/>
    <s v="COR"/>
    <s v="Philadelphia"/>
    <s v="Pennsylvania"/>
    <n v="19143"/>
    <s v="E"/>
    <x v="256"/>
    <x v="3"/>
    <s v="TEC-PH-10002170"/>
    <n v="9"/>
    <n v="1"/>
    <n v="0.4"/>
    <b v="0"/>
    <n v="42003"/>
    <n v="4"/>
  </r>
  <r>
    <s v="CA-2016-105732"/>
    <s v="GA-10276"/>
    <s v="Alisa Guiterez"/>
    <s v="HOF"/>
    <s v="Omaha"/>
    <s v="Nebraska"/>
    <n v="68104"/>
    <s v="C"/>
    <x v="257"/>
    <x v="0"/>
    <s v="TEC-PH-10004897"/>
    <n v="46"/>
    <n v="0"/>
    <n v="0"/>
    <b v="1"/>
    <n v="42626"/>
    <n v="5"/>
  </r>
  <r>
    <s v="CA-2014-103058"/>
    <s v="GA-10278"/>
    <s v="Amie Grand"/>
    <s v="CON"/>
    <s v="New York City"/>
    <s v="New York"/>
    <n v="10011"/>
    <s v="E"/>
    <x v="258"/>
    <x v="2"/>
    <s v="TEC-AC-10001314"/>
    <n v="2"/>
    <n v="0"/>
    <n v="0"/>
    <b v="0"/>
    <n v="41843"/>
    <n v="1"/>
  </r>
  <r>
    <s v="US-2015-136987"/>
    <s v="RA-10540"/>
    <s v="Andy Reiter"/>
    <s v="CON"/>
    <s v="Jackson"/>
    <s v="Michigan"/>
    <n v="49201"/>
    <s v="C"/>
    <x v="259"/>
    <x v="3"/>
    <s v="TEC-CO-10001943"/>
    <n v="6"/>
    <n v="1"/>
    <n v="0.1"/>
    <b v="0"/>
    <n v="42105"/>
    <n v="3"/>
  </r>
  <r>
    <s v="CA-2016-138282"/>
    <s v="HA-10700"/>
    <s v="Adam Hsu"/>
    <s v="COR"/>
    <s v="Detroit"/>
    <s v="Michigan"/>
    <n v="48205"/>
    <s v="C"/>
    <x v="260"/>
    <x v="0"/>
    <s v="OFF-AP-10001366"/>
    <n v="8"/>
    <n v="0"/>
    <n v="0"/>
    <b v="0"/>
    <n v="42509"/>
    <n v="4"/>
  </r>
  <r>
    <s v="CA-2014-138100"/>
    <s v="AA-10326"/>
    <s v="Alex Atu"/>
    <s v="CON"/>
    <s v="New York City"/>
    <s v="New York"/>
    <n v="10011"/>
    <s v="E"/>
    <x v="261"/>
    <x v="0"/>
    <s v="OFF-PA-10000349"/>
    <n v="5"/>
    <n v="0"/>
    <n v="0"/>
    <b v="1"/>
    <n v="41897"/>
    <n v="5"/>
  </r>
  <r>
    <s v="CA-2015-100734"/>
    <s v="CA-10632"/>
    <s v="Aaron Chu"/>
    <s v="COR"/>
    <s v="Philadelphia"/>
    <s v="Pennsylvania"/>
    <n v="19143"/>
    <s v="E"/>
    <x v="262"/>
    <x v="0"/>
    <s v="OFF-ST-10001522"/>
    <n v="6"/>
    <n v="1"/>
    <n v="0.44999999999999996"/>
    <b v="0"/>
    <n v="42262"/>
    <n v="5"/>
  </r>
  <r>
    <s v="CA-2017-157196"/>
    <s v="AA-10654"/>
    <s v="Aaron Allen"/>
    <s v="CON"/>
    <s v="San Diego"/>
    <s v="California"/>
    <n v="92105"/>
    <s v="W"/>
    <x v="263"/>
    <x v="0"/>
    <s v="OFF-PA-10003172"/>
    <n v="2"/>
    <n v="0"/>
    <n v="0"/>
    <b v="0"/>
    <n v="43044"/>
    <n v="4"/>
  </r>
  <r>
    <s v="CA-2014-114181"/>
    <s v="FA-10885"/>
    <s v="Art Foster"/>
    <s v="CON"/>
    <s v="Louisville"/>
    <s v="Kentucky"/>
    <n v="40214"/>
    <s v="S"/>
    <x v="264"/>
    <x v="3"/>
    <s v="OFF-AR-10000716"/>
    <n v="12"/>
    <n v="1"/>
    <n v="0.35"/>
    <b v="1"/>
    <n v="41769"/>
    <n v="4"/>
  </r>
  <r>
    <s v="CA-2015-123113"/>
    <s v="TA-10741"/>
    <s v="Alan Tran"/>
    <s v="HOF"/>
    <s v="Morristown"/>
    <s v="New Jersey"/>
    <n v="7960"/>
    <s v="E"/>
    <x v="265"/>
    <x v="3"/>
    <s v="OFF-AR-10004999"/>
    <n v="11"/>
    <n v="0"/>
    <n v="0"/>
    <b v="0"/>
    <n v="42331"/>
    <n v="4"/>
  </r>
  <r>
    <s v="CA-2014-102330"/>
    <s v="IA-10865"/>
    <s v="Alaine Igpal"/>
    <s v="CON"/>
    <s v="Brentwood"/>
    <s v="California"/>
    <n v="94513"/>
    <s v="W"/>
    <x v="256"/>
    <x v="1"/>
    <s v="TEC-PH-10001051"/>
    <n v="10"/>
    <n v="1"/>
    <n v="0.1"/>
    <b v="0"/>
    <n v="42002"/>
    <n v="5"/>
  </r>
  <r>
    <s v="CA-2017-107958"/>
    <s v="HA-10127"/>
    <s v="Alex Hultz"/>
    <s v="HOF"/>
    <s v="Dallas"/>
    <s v="Texas"/>
    <n v="75217"/>
    <s v="C"/>
    <x v="266"/>
    <x v="0"/>
    <s v="OFF-PA-10000357"/>
    <n v="9"/>
    <n v="1"/>
    <n v="0.5"/>
    <b v="1"/>
    <n v="42918"/>
    <n v="3"/>
  </r>
  <r>
    <s v="CA-2016-114601"/>
    <s v="AA-10480"/>
    <s v="Andrew Allen"/>
    <s v="CON"/>
    <s v="Mesa"/>
    <s v="North Carolina"/>
    <n v="85204"/>
    <s v="W"/>
    <x v="267"/>
    <x v="0"/>
    <s v="TEC-PH-10002170"/>
    <n v="15"/>
    <n v="0"/>
    <n v="0"/>
    <b v="0"/>
    <n v="42608"/>
    <n v="7"/>
  </r>
  <r>
    <s v="CA-2015-139374"/>
    <s v="RA-10345"/>
    <s v="Alex Russell"/>
    <s v="COR"/>
    <s v="Philadelphia"/>
    <s v="Pennsylvania"/>
    <n v="19143"/>
    <s v="E"/>
    <x v="268"/>
    <x v="3"/>
    <s v="FUR-CH-10003981"/>
    <n v="1"/>
    <n v="1"/>
    <n v="0.3"/>
    <b v="0"/>
    <n v="42257"/>
    <n v="4"/>
  </r>
  <r>
    <s v="CA-2017-108287"/>
    <s v="GA-10330"/>
    <s v="Alex Grayson"/>
    <s v="CON"/>
    <s v="Stockton"/>
    <s v="California"/>
    <n v="95207"/>
    <s v="W"/>
    <x v="110"/>
    <x v="2"/>
    <s v="OFF-AR-10001315"/>
    <n v="9"/>
    <n v="1"/>
    <n v="0.2"/>
    <b v="0"/>
    <n v="43087"/>
    <n v="2"/>
  </r>
  <r>
    <s v="CA-2015-158323"/>
    <s v="BA-10609"/>
    <s v="Arthur Bon"/>
    <s v="COR"/>
    <s v="Jacksonville"/>
    <s v="North Carolina"/>
    <n v="28540"/>
    <s v="S"/>
    <x v="269"/>
    <x v="2"/>
    <s v="FUR-FU-10001546"/>
    <n v="2"/>
    <n v="1"/>
    <n v="0.2"/>
    <b v="0"/>
    <n v="42338"/>
    <n v="3"/>
  </r>
  <r>
    <s v="CA-2015-161795"/>
    <s v="HA-10088"/>
    <s v="Andy Henry"/>
    <s v="COR"/>
    <s v="Chester"/>
    <s v="Pennsylvania"/>
    <n v="19013"/>
    <s v="E"/>
    <x v="270"/>
    <x v="2"/>
    <s v="OFF-AR-10001919"/>
    <n v="2"/>
    <n v="1"/>
    <n v="0.2"/>
    <b v="0"/>
    <n v="42359"/>
    <n v="2"/>
  </r>
  <r>
    <s v="CA-2016-116603"/>
    <s v="TA-10738"/>
    <s v="Alex Tam"/>
    <s v="CON"/>
    <s v="New York City"/>
    <s v="New York"/>
    <n v="10009"/>
    <s v="E"/>
    <x v="8"/>
    <x v="0"/>
    <s v="OFF-AP-10002892"/>
    <n v="2"/>
    <n v="0"/>
    <n v="0"/>
    <b v="0"/>
    <n v="42568"/>
    <n v="5"/>
  </r>
  <r>
    <s v="CA-2014-158470"/>
    <s v="GA-10390"/>
    <s v="Allen Goldenen"/>
    <s v="CON"/>
    <s v="Cincinnati"/>
    <s v="Ohio"/>
    <n v="45231"/>
    <s v="E"/>
    <x v="271"/>
    <x v="3"/>
    <s v="OFF-PA-10001569"/>
    <n v="14"/>
    <n v="0"/>
    <n v="0"/>
    <b v="0"/>
    <n v="41748"/>
    <n v="4"/>
  </r>
  <r>
    <s v="CA-2016-104311"/>
    <s v="SA-10103"/>
    <s v="Alejandro Smeltz"/>
    <s v="CON"/>
    <s v="Irving"/>
    <s v="Texas"/>
    <n v="75061"/>
    <s v="C"/>
    <x v="272"/>
    <x v="0"/>
    <s v="OFF-ST-10002957"/>
    <n v="8"/>
    <n v="1"/>
    <n v="0.2"/>
    <b v="0"/>
    <n v="42492"/>
    <n v="4"/>
  </r>
  <r>
    <s v="CA-2014-143210"/>
    <s v="AA-10658"/>
    <s v="Anna Andreadi"/>
    <s v="CON"/>
    <s v="Lowell"/>
    <s v="Massachusetts"/>
    <n v="1852"/>
    <s v="E"/>
    <x v="273"/>
    <x v="2"/>
    <s v="TEC-PH-10004434"/>
    <n v="7"/>
    <n v="0"/>
    <n v="0"/>
    <b v="0"/>
    <n v="41974"/>
    <n v="2"/>
  </r>
  <r>
    <s v="CA-2015-110863"/>
    <s v="AA-10675"/>
    <s v="An Tran"/>
    <s v="CON"/>
    <s v="Oklahoma City"/>
    <s v="Oklahoma"/>
    <n v="73120"/>
    <s v="C"/>
    <x v="274"/>
    <x v="0"/>
    <s v="OFF-ST-10002756"/>
    <n v="12"/>
    <n v="0"/>
    <n v="0"/>
    <b v="0"/>
    <n v="42325"/>
    <n v="7"/>
  </r>
  <r>
    <s v="CA-2015-153738"/>
    <s v="GA-10288"/>
    <s v="Alphonso Greig"/>
    <s v="CON"/>
    <s v="Lawrence"/>
    <s v="Massachusetts"/>
    <n v="1841"/>
    <s v="E"/>
    <x v="275"/>
    <x v="2"/>
    <s v="OFF-BI-10001308"/>
    <n v="6"/>
    <n v="0"/>
    <n v="0"/>
    <b v="0"/>
    <n v="42267"/>
    <n v="2"/>
  </r>
  <r>
    <s v="CA-2014-101392"/>
    <s v="SA-10633"/>
    <s v="Ali Smiths"/>
    <s v="HOF"/>
    <s v="Boynton Beach"/>
    <s v="Florida"/>
    <n v="33437"/>
    <s v="S"/>
    <x v="276"/>
    <x v="0"/>
    <s v="OFF-ST-10000532"/>
    <n v="7"/>
    <n v="0"/>
    <n v="0"/>
    <b v="0"/>
    <n v="41980"/>
    <n v="6"/>
  </r>
  <r>
    <s v="CA-2016-100993"/>
    <s v="ZA-10760"/>
    <s v="Aiden Zelensky"/>
    <s v="CON"/>
    <s v="San Diego"/>
    <s v="California"/>
    <n v="92037"/>
    <s v="W"/>
    <x v="277"/>
    <x v="0"/>
    <s v="TEC-PH-10001448"/>
    <n v="14"/>
    <n v="1"/>
    <n v="0.1"/>
    <b v="0"/>
    <n v="42405"/>
    <n v="5"/>
  </r>
  <r>
    <s v="US-2017-146822"/>
    <s v="GA-10694"/>
    <s v="Ann Goefs"/>
    <s v="CON"/>
    <s v="Salem"/>
    <s v="Virginia"/>
    <n v="24153"/>
    <s v="S"/>
    <x v="278"/>
    <x v="0"/>
    <s v="OFF-PA-10000249"/>
    <n v="4"/>
    <n v="0"/>
    <n v="0"/>
    <b v="0"/>
    <n v="42895"/>
    <n v="5"/>
  </r>
  <r>
    <s v="CA-2016-144148"/>
    <s v="HA-10700"/>
    <s v="Adam Hsu"/>
    <s v="COR"/>
    <s v="Detroit"/>
    <s v="Michigan"/>
    <n v="48205"/>
    <s v="C"/>
    <x v="223"/>
    <x v="0"/>
    <s v="FUR-TA-10002774"/>
    <n v="7"/>
    <n v="1"/>
    <n v="0.2"/>
    <b v="0"/>
    <n v="42582"/>
    <n v="5"/>
  </r>
  <r>
    <s v="CA-2017-107174"/>
    <s v="BA-10091"/>
    <s v="Ang Li"/>
    <s v="HOF"/>
    <s v="Seattle"/>
    <s v="Washington"/>
    <n v="98105"/>
    <s v="W"/>
    <x v="279"/>
    <x v="0"/>
    <s v="TEC-AC-10001465"/>
    <n v="12"/>
    <n v="1"/>
    <n v="6.6666666666666666E-2"/>
    <b v="1"/>
    <n v="43045"/>
    <n v="7"/>
  </r>
  <r>
    <s v="CA-2015-136728"/>
    <s v="GA-10908"/>
    <s v="August Ga"/>
    <s v="COR"/>
    <s v="Las Vegas"/>
    <s v="Nevada"/>
    <n v="89115"/>
    <s v="W"/>
    <x v="280"/>
    <x v="3"/>
    <s v="OFF-EN-10002621"/>
    <n v="5"/>
    <n v="1"/>
    <n v="0.25"/>
    <b v="0"/>
    <n v="42260"/>
    <n v="4"/>
  </r>
  <r>
    <s v="CA-2017-125269"/>
    <s v="FA-10899"/>
    <s v="Antonio Fu"/>
    <s v="CON"/>
    <s v="Chicago"/>
    <s v="Illinois"/>
    <n v="60610"/>
    <s v="C"/>
    <x v="281"/>
    <x v="0"/>
    <s v="OFF-ST-10004123"/>
    <n v="6"/>
    <n v="1"/>
    <n v="0.5"/>
    <b v="0"/>
    <n v="42849"/>
    <n v="6"/>
  </r>
  <r>
    <s v="CA-2014-152905"/>
    <s v="BA-10018"/>
    <s v="Aaron Bergman"/>
    <s v="CON"/>
    <s v="Arlington"/>
    <s v="Texas"/>
    <n v="76017"/>
    <s v="C"/>
    <x v="282"/>
    <x v="0"/>
    <s v="OFF-ST-10000321"/>
    <n v="2"/>
    <n v="1"/>
    <n v="0.2"/>
    <b v="0"/>
    <n v="41688"/>
    <n v="6"/>
  </r>
  <r>
    <s v="CA-2015-138457"/>
    <s v="MA-10713"/>
    <s v="Athur Maines"/>
    <s v="CON"/>
    <s v="Des Plaines"/>
    <s v="Illinois"/>
    <n v="60016"/>
    <s v="C"/>
    <x v="280"/>
    <x v="0"/>
    <s v="OFF-BI-10000014"/>
    <n v="4"/>
    <n v="1"/>
    <n v="0.7"/>
    <b v="0"/>
    <n v="42260"/>
    <n v="4"/>
  </r>
  <r>
    <s v="CA-2014-131800"/>
    <s v="JA-10960"/>
    <s v="Astrea Jones"/>
    <s v="CON"/>
    <s v="Rochester"/>
    <s v="New York"/>
    <n v="14609"/>
    <s v="E"/>
    <x v="283"/>
    <x v="0"/>
    <s v="OFF-BI-10003429"/>
    <n v="10"/>
    <n v="1"/>
    <n v="0.1"/>
    <b v="1"/>
    <n v="42003"/>
    <n v="5"/>
  </r>
  <r>
    <s v="CA-2016-134544"/>
    <s v="CA-10668"/>
    <s v="Antoinnet Cruz"/>
    <s v="CON"/>
    <s v="San Francisco"/>
    <s v="California"/>
    <n v="94109"/>
    <s v="W"/>
    <x v="284"/>
    <x v="3"/>
    <s v="TEC-PH-10003800"/>
    <n v="2"/>
    <n v="1"/>
    <n v="0.2"/>
    <b v="0"/>
    <n v="42446"/>
    <n v="2"/>
  </r>
  <r>
    <s v="CA-2016-147109"/>
    <s v="HA-10091"/>
    <s v="Alan Hernandez"/>
    <s v="COR"/>
    <s v="Arlington"/>
    <s v="Texas"/>
    <n v="76017"/>
    <s v="C"/>
    <x v="203"/>
    <x v="0"/>
    <s v="TEC-AC-10002942"/>
    <n v="13"/>
    <n v="1"/>
    <n v="0.2"/>
    <b v="0"/>
    <n v="42721"/>
    <n v="4"/>
  </r>
  <r>
    <s v="CA-2015-151470"/>
    <s v="MA-10713"/>
    <s v="Athur Maines"/>
    <s v="CON"/>
    <s v="Des Plaines"/>
    <s v="Illinois"/>
    <n v="60016"/>
    <s v="C"/>
    <x v="285"/>
    <x v="0"/>
    <s v="OFF-BI-10004040"/>
    <n v="11"/>
    <n v="1"/>
    <n v="0.2"/>
    <b v="0"/>
    <n v="42267"/>
    <n v="6"/>
  </r>
  <r>
    <s v="CA-2014-131387"/>
    <s v="IA-10858"/>
    <s v="Aturoa Ignes"/>
    <s v="CON"/>
    <s v="Glendale"/>
    <s v="Arizona"/>
    <n v="85301"/>
    <s v="W"/>
    <x v="286"/>
    <x v="0"/>
    <s v="TEC-PH-10001459"/>
    <n v="5"/>
    <n v="1"/>
    <n v="0.2"/>
    <b v="0"/>
    <n v="41757"/>
    <n v="2"/>
  </r>
  <r>
    <s v="CA-2014-146500"/>
    <s v="TA-10744"/>
    <s v="Alyssa Thompson"/>
    <s v="CON"/>
    <s v="Bristol"/>
    <s v="Connecticut"/>
    <n v="6010"/>
    <s v="E"/>
    <x v="287"/>
    <x v="1"/>
    <s v="OFF-ST-10000563"/>
    <n v="8"/>
    <n v="0"/>
    <n v="0"/>
    <b v="0"/>
    <n v="41881"/>
    <n v="5"/>
  </r>
  <r>
    <s v="CA-2015-144043"/>
    <s v="BA-10165"/>
    <s v="Alan Barnes"/>
    <s v="CON"/>
    <s v="Los Angeles"/>
    <s v="California"/>
    <n v="90036"/>
    <s v="W"/>
    <x v="288"/>
    <x v="0"/>
    <s v="TEC-AC-10002718"/>
    <n v="4"/>
    <n v="1"/>
    <n v="0.2"/>
    <b v="0"/>
    <n v="42134"/>
    <n v="5"/>
  </r>
  <r>
    <s v="US-2016-164196"/>
    <s v="SA-10287"/>
    <s v="Aaron Suchetz"/>
    <s v="COR"/>
    <s v="Noblesville"/>
    <s v="Indiana"/>
    <n v="46060"/>
    <s v="C"/>
    <x v="289"/>
    <x v="0"/>
    <s v="FUR-TA-10001950"/>
    <n v="6"/>
    <n v="0"/>
    <n v="0"/>
    <b v="0"/>
    <n v="42685"/>
    <n v="6"/>
  </r>
  <r>
    <s v="CA-2017-106824"/>
    <s v="TA-10741"/>
    <s v="Alan Tran"/>
    <s v="HOF"/>
    <s v="Morristown"/>
    <s v="New Jersey"/>
    <n v="7960"/>
    <s v="E"/>
    <x v="290"/>
    <x v="3"/>
    <s v="OFF-FA-10001135"/>
    <n v="3"/>
    <n v="0"/>
    <n v="0"/>
    <b v="0"/>
    <n v="42923"/>
    <n v="4"/>
  </r>
  <r>
    <s v="CA-2016-143154"/>
    <s v="SA-10225"/>
    <s v="Alan Schoenberger"/>
    <s v="COR"/>
    <s v="Montgomery"/>
    <s v="Alabama"/>
    <n v="36116"/>
    <s v="S"/>
    <x v="291"/>
    <x v="3"/>
    <s v="TEC-AC-10002942"/>
    <n v="3"/>
    <n v="1"/>
    <n v="0.2"/>
    <b v="0"/>
    <n v="42706"/>
    <n v="6"/>
  </r>
  <r>
    <s v="CA-2014-169061"/>
    <s v="BA-10171"/>
    <s v="Andy Bithis"/>
    <s v="CON"/>
    <s v="Yonkers"/>
    <s v="New York"/>
    <n v="10701"/>
    <s v="E"/>
    <x v="69"/>
    <x v="3"/>
    <s v="TEC-AC-10002001"/>
    <n v="16"/>
    <n v="1"/>
    <n v="0.04"/>
    <b v="0"/>
    <n v="41703"/>
    <n v="3"/>
  </r>
  <r>
    <s v="CA-2015-164084"/>
    <s v="GA-10525"/>
    <s v="Andy Gerbode"/>
    <s v="COR"/>
    <s v="Saint Petersburg"/>
    <s v="Texas"/>
    <n v="77095"/>
    <s v="S"/>
    <x v="292"/>
    <x v="0"/>
    <s v="TEC-AC-10002305"/>
    <n v="32"/>
    <n v="1"/>
    <n v="0.12000000000000002"/>
    <b v="0"/>
    <n v="42254"/>
    <n v="5"/>
  </r>
  <r>
    <s v="CA-2017-126634"/>
    <s v="BA-10165"/>
    <s v="Alan Barnes"/>
    <s v="CON"/>
    <s v="Los Angeles"/>
    <s v="California"/>
    <n v="90036"/>
    <s v="W"/>
    <x v="293"/>
    <x v="3"/>
    <s v="FUR-FU-10004973"/>
    <n v="5"/>
    <n v="0"/>
    <n v="0"/>
    <b v="0"/>
    <n v="42824"/>
    <n v="2"/>
  </r>
  <r>
    <s v="CA-2015-158918"/>
    <s v="IA-10858"/>
    <s v="Aturoa Ignes"/>
    <s v="CON"/>
    <s v="Glendale"/>
    <s v="Arizona"/>
    <n v="85301"/>
    <s v="W"/>
    <x v="294"/>
    <x v="0"/>
    <s v="OFF-PA-10004947"/>
    <n v="4"/>
    <n v="0"/>
    <n v="0"/>
    <b v="0"/>
    <n v="42358"/>
    <n v="5"/>
  </r>
  <r>
    <s v="CA-2016-144015"/>
    <s v="HA-10079"/>
    <s v="Aden Henry"/>
    <s v="COR"/>
    <s v="Henderson"/>
    <s v="Nevada"/>
    <n v="89015"/>
    <s v="W"/>
    <x v="187"/>
    <x v="2"/>
    <s v="OFF-SU-10003505"/>
    <n v="9"/>
    <n v="0"/>
    <n v="0"/>
    <b v="0"/>
    <n v="42547"/>
    <n v="0"/>
  </r>
  <r>
    <s v="CA-2014-101427"/>
    <s v="YA-10558"/>
    <s v="Albert Yebsky"/>
    <s v="COR"/>
    <s v="Philadelphia"/>
    <s v="Pennsylvania"/>
    <n v="19140"/>
    <s v="E"/>
    <x v="70"/>
    <x v="2"/>
    <s v="OFF-AR-10002257"/>
    <n v="3"/>
    <n v="1"/>
    <n v="0.2"/>
    <b v="0"/>
    <n v="41999"/>
    <n v="4"/>
  </r>
  <r>
    <s v="CA-2016-120824"/>
    <s v="WA-10940"/>
    <s v="Augustine Williamson"/>
    <s v="HOF"/>
    <s v="Houston"/>
    <s v="Texas"/>
    <n v="77070"/>
    <s v="C"/>
    <x v="295"/>
    <x v="3"/>
    <s v="OFF-ST-10002562"/>
    <n v="30"/>
    <n v="1"/>
    <n v="0.44285714285714284"/>
    <b v="1"/>
    <n v="42533"/>
    <n v="4"/>
  </r>
  <r>
    <s v="CA-2015-113222"/>
    <s v="GA-10776"/>
    <s v="Abis Gurfiez"/>
    <s v="HOF"/>
    <s v="Chicago"/>
    <s v="Illinois"/>
    <n v="60623"/>
    <s v="C"/>
    <x v="296"/>
    <x v="1"/>
    <s v="OFF-BI-10001890"/>
    <n v="3"/>
    <n v="0"/>
    <n v="0"/>
    <b v="0"/>
    <n v="42317"/>
    <n v="0"/>
  </r>
  <r>
    <s v="US-2017-129224"/>
    <s v="SA-10636"/>
    <s v="Alphonso Smiths"/>
    <s v="HOF"/>
    <s v="Knoxville"/>
    <s v="Tennessee"/>
    <n v="37918"/>
    <s v="S"/>
    <x v="297"/>
    <x v="0"/>
    <s v="OFF-LA-10003190"/>
    <n v="2"/>
    <n v="1"/>
    <n v="0.2"/>
    <b v="0"/>
    <n v="42811"/>
    <n v="6"/>
  </r>
  <r>
    <s v="CA-2015-169572"/>
    <s v="GA-10525"/>
    <s v="Andy Gerbode"/>
    <s v="COR"/>
    <s v="Saint Petersburg"/>
    <s v="Texas"/>
    <n v="77095"/>
    <s v="S"/>
    <x v="292"/>
    <x v="0"/>
    <s v="OFF-BI-10002799"/>
    <n v="18"/>
    <n v="0"/>
    <n v="0"/>
    <b v="0"/>
    <n v="42253"/>
    <n v="6"/>
  </r>
  <r>
    <s v="CA-2016-140935"/>
    <s v="BA-10023"/>
    <s v="Alex Andrews"/>
    <s v="CON"/>
    <s v="Oklahoma City"/>
    <s v="Oklahoma"/>
    <n v="73120"/>
    <s v="C"/>
    <x v="108"/>
    <x v="2"/>
    <s v="TEC-PH-10000562"/>
    <n v="4"/>
    <n v="0"/>
    <n v="0"/>
    <b v="0"/>
    <n v="42684"/>
    <n v="2"/>
  </r>
  <r>
    <s v="CA-2014-157644"/>
    <s v="HA-10043"/>
    <s v="Ana Hughes"/>
    <s v="COR"/>
    <s v="New York City"/>
    <s v="New York"/>
    <n v="10035"/>
    <s v="E"/>
    <x v="230"/>
    <x v="2"/>
    <s v="TEC-AC-10003614"/>
    <n v="6"/>
    <n v="0"/>
    <n v="0"/>
    <b v="1"/>
    <n v="42004"/>
    <n v="1"/>
  </r>
  <r>
    <s v="CA-2015-115399"/>
    <s v="GA-10908"/>
    <s v="August Ga"/>
    <s v="COR"/>
    <s v="Las Vegas"/>
    <s v="Nevada"/>
    <n v="89115"/>
    <s v="W"/>
    <x v="298"/>
    <x v="2"/>
    <s v="OFF-LA-10003190"/>
    <n v="3"/>
    <n v="1"/>
    <n v="0.2"/>
    <b v="0"/>
    <n v="42357"/>
    <n v="3"/>
  </r>
  <r>
    <s v="US-2015-107944"/>
    <s v="MA-10364"/>
    <s v="Arie Mendoza"/>
    <s v="COR"/>
    <s v="Los Angeles"/>
    <s v="California"/>
    <n v="90032"/>
    <s v="W"/>
    <x v="299"/>
    <x v="1"/>
    <s v="TEC-AC-10000736"/>
    <n v="14"/>
    <n v="0"/>
    <n v="0"/>
    <b v="0"/>
    <n v="42086"/>
    <n v="2"/>
  </r>
  <r>
    <s v="CA-2016-135594"/>
    <s v="HA-10130"/>
    <s v="Art Himenez"/>
    <s v="HOF"/>
    <s v="Louisville"/>
    <s v="Kentucky"/>
    <n v="40214"/>
    <s v="S"/>
    <x v="300"/>
    <x v="0"/>
    <s v="TEC-AC-10003038"/>
    <n v="7"/>
    <n v="1"/>
    <n v="0.2"/>
    <b v="1"/>
    <n v="42551"/>
    <n v="3"/>
  </r>
  <r>
    <s v="CA-2016-139934"/>
    <s v="YA-10558"/>
    <s v="Albert Yebsky"/>
    <s v="COR"/>
    <s v="Philadelphia"/>
    <s v="Pennsylvania"/>
    <n v="19140"/>
    <s v="E"/>
    <x v="18"/>
    <x v="2"/>
    <s v="TEC-PH-10001552"/>
    <n v="7"/>
    <n v="1"/>
    <n v="0.2"/>
    <b v="0"/>
    <n v="42722"/>
    <n v="2"/>
  </r>
  <r>
    <s v="CA-2014-160276"/>
    <s v="HA-10690"/>
    <s v="Anna Häberlin"/>
    <s v="COR"/>
    <s v="Plantation"/>
    <s v="Florida"/>
    <n v="33317"/>
    <s v="S"/>
    <x v="301"/>
    <x v="0"/>
    <s v="FUR-FU-10003192"/>
    <n v="2"/>
    <n v="0"/>
    <n v="0"/>
    <b v="0"/>
    <n v="41731"/>
    <n v="6"/>
  </r>
  <r>
    <s v="CA-2016-145709"/>
    <s v="HA-10690"/>
    <s v="Anna Häberlin"/>
    <s v="COR"/>
    <s v="Plantation"/>
    <s v="Florida"/>
    <n v="33317"/>
    <s v="S"/>
    <x v="302"/>
    <x v="0"/>
    <s v="TEC-PH-10003095"/>
    <n v="6"/>
    <n v="1"/>
    <n v="0.2"/>
    <b v="0"/>
    <n v="42647"/>
    <n v="4"/>
  </r>
  <r>
    <s v="CA-2014-132913"/>
    <s v="SA-10092"/>
    <s v="Art Santana"/>
    <s v="CON"/>
    <s v="Philadelphia"/>
    <s v="Pennsylvania"/>
    <n v="19143"/>
    <s v="E"/>
    <x v="303"/>
    <x v="2"/>
    <s v="OFF-AP-10003278"/>
    <n v="1"/>
    <n v="0"/>
    <n v="0"/>
    <b v="0"/>
    <n v="41997"/>
    <n v="2"/>
  </r>
  <r>
    <s v="CA-2016-117121"/>
    <s v="BA-10129"/>
    <s v="Anderson Benz"/>
    <s v="CON"/>
    <s v="Detroit"/>
    <s v="Michigan"/>
    <n v="48205"/>
    <s v="C"/>
    <x v="203"/>
    <x v="0"/>
    <s v="OFF-BI-10000545"/>
    <n v="13"/>
    <n v="0"/>
    <n v="0"/>
    <b v="1"/>
    <n v="42721"/>
    <n v="4"/>
  </r>
  <r>
    <s v="CA-2015-165554"/>
    <s v="JA-10780"/>
    <s v="Anthony Jacobs"/>
    <s v="COR"/>
    <s v="Springfield"/>
    <s v="Virginia"/>
    <n v="22153"/>
    <s v="S"/>
    <x v="304"/>
    <x v="0"/>
    <s v="OFF-PA-10003724"/>
    <n v="2"/>
    <n v="0"/>
    <n v="0"/>
    <b v="0"/>
    <n v="42142"/>
    <n v="4"/>
  </r>
  <r>
    <s v="CA-2016-132304"/>
    <s v="RA-10825"/>
    <s v="Anthony Rawles"/>
    <s v="COR"/>
    <s v="Vancouver"/>
    <s v="Washington"/>
    <n v="98661"/>
    <s v="W"/>
    <x v="305"/>
    <x v="3"/>
    <s v="FUR-TA-10004619"/>
    <n v="7"/>
    <n v="0"/>
    <n v="0"/>
    <b v="0"/>
    <n v="42535"/>
    <n v="4"/>
  </r>
  <r>
    <s v="US-2017-148831"/>
    <s v="HA-10214"/>
    <s v="Andy Harper"/>
    <s v="CON"/>
    <s v="Seattle"/>
    <s v="Washington"/>
    <n v="98105"/>
    <s v="W"/>
    <x v="306"/>
    <x v="2"/>
    <s v="OFF-ST-10002974"/>
    <n v="8"/>
    <n v="0"/>
    <n v="0"/>
    <b v="0"/>
    <n v="43021"/>
    <n v="2"/>
  </r>
  <r>
    <s v="US-2015-132836"/>
    <s v="JA-10945"/>
    <s v="Ashley Jarboe"/>
    <s v="CON"/>
    <s v="Detroit"/>
    <s v="Michigan"/>
    <n v="48227"/>
    <s v="C"/>
    <x v="307"/>
    <x v="0"/>
    <s v="TEC-PH-10001300"/>
    <n v="17"/>
    <n v="0"/>
    <n v="0"/>
    <b v="0"/>
    <n v="42156"/>
    <n v="4"/>
  </r>
  <r>
    <s v="CA-2015-163181"/>
    <s v="BA-10132"/>
    <s v="Atulo Bruche"/>
    <s v="CON"/>
    <s v="Houston"/>
    <s v="Texas"/>
    <n v="77041"/>
    <s v="C"/>
    <x v="308"/>
    <x v="0"/>
    <s v="TEC-MA-10001016"/>
    <n v="25"/>
    <n v="1"/>
    <n v="0.4"/>
    <b v="0"/>
    <n v="42315"/>
    <n v="5"/>
  </r>
  <r>
    <s v="US-2017-147655"/>
    <s v="SA-10041"/>
    <s v="Alison Summers"/>
    <s v="COR"/>
    <s v="Redmond"/>
    <s v="Oregon"/>
    <n v="97756"/>
    <s v="W"/>
    <x v="128"/>
    <x v="2"/>
    <s v="OFF-BI-10002931"/>
    <n v="7"/>
    <n v="1"/>
    <n v="0.7"/>
    <b v="0"/>
    <n v="42982"/>
    <n v="1"/>
  </r>
  <r>
    <s v="CA-2016-160108"/>
    <s v="GA-10911"/>
    <s v="Allan Gomez"/>
    <s v="CON"/>
    <s v="Eau Claire"/>
    <s v="Wisconsin"/>
    <n v="54703"/>
    <s v="C"/>
    <x v="309"/>
    <x v="0"/>
    <s v="FUR-CH-10002335"/>
    <n v="10"/>
    <n v="0"/>
    <n v="0"/>
    <b v="0"/>
    <n v="42712"/>
    <n v="4"/>
  </r>
  <r>
    <s v="CA-2017-140781"/>
    <s v="BA-10142"/>
    <s v="Adrian Boynes"/>
    <s v="CON"/>
    <s v="Bloomington"/>
    <s v="Illinois"/>
    <n v="61701"/>
    <s v="C"/>
    <x v="75"/>
    <x v="0"/>
    <s v="TEC-AC-10000682"/>
    <n v="3"/>
    <n v="1"/>
    <n v="0.2"/>
    <b v="0"/>
    <n v="42950"/>
    <n v="4"/>
  </r>
  <r>
    <s v="CA-2015-167479"/>
    <s v="IA-10865"/>
    <s v="Alaine Igpal"/>
    <s v="CON"/>
    <s v="Brentwood"/>
    <s v="California"/>
    <n v="94513"/>
    <s v="W"/>
    <x v="310"/>
    <x v="1"/>
    <s v="OFF-PA-10002105"/>
    <n v="3"/>
    <n v="0"/>
    <n v="0"/>
    <b v="0"/>
    <n v="42077"/>
    <n v="5"/>
  </r>
  <r>
    <s v="US-2017-118157"/>
    <s v="WA-10937"/>
    <s v="Abraham Willison"/>
    <s v="HOF"/>
    <s v="Helena"/>
    <s v="Montana"/>
    <n v="59601"/>
    <s v="W"/>
    <x v="311"/>
    <x v="0"/>
    <s v="OFF-EN-10004459"/>
    <n v="2"/>
    <n v="0"/>
    <n v="0"/>
    <b v="0"/>
    <n v="43053"/>
    <n v="3"/>
  </r>
  <r>
    <s v="CA-2017-146983"/>
    <s v="HA-10214"/>
    <s v="Andy Harper"/>
    <s v="CON"/>
    <s v="Seattle"/>
    <s v="Washington"/>
    <n v="98105"/>
    <s v="W"/>
    <x v="56"/>
    <x v="2"/>
    <s v="OFF-BI-10003650"/>
    <n v="3"/>
    <n v="0"/>
    <n v="0"/>
    <b v="0"/>
    <n v="42980"/>
    <n v="4"/>
  </r>
  <r>
    <s v="CA-2017-161340"/>
    <s v="MA-10360"/>
    <s v="Alice McCarthy"/>
    <s v="COR"/>
    <s v="Grand Prairie"/>
    <s v="Texas"/>
    <n v="75051"/>
    <s v="C"/>
    <x v="312"/>
    <x v="0"/>
    <s v="OFF-PA-10002464"/>
    <n v="7"/>
    <n v="1"/>
    <n v="0.35"/>
    <b v="0"/>
    <n v="42883"/>
    <n v="4"/>
  </r>
  <r>
    <s v="CA-2015-111948"/>
    <s v="GA-10511"/>
    <s v="Amy Goue"/>
    <s v="COR"/>
    <s v="Detroit"/>
    <s v="Michigan"/>
    <n v="48234"/>
    <s v="C"/>
    <x v="313"/>
    <x v="1"/>
    <s v="OFF-ST-10003282"/>
    <n v="9"/>
    <n v="1"/>
    <n v="0.05"/>
    <b v="0"/>
    <n v="42319"/>
    <n v="0"/>
  </r>
  <r>
    <s v="US-2017-108343"/>
    <s v="RA-10828"/>
    <s v="Alan Richies"/>
    <s v="COR"/>
    <s v="Austin"/>
    <s v="Texas"/>
    <n v="78745"/>
    <s v="C"/>
    <x v="249"/>
    <x v="0"/>
    <s v="OFF-PA-10000743"/>
    <n v="8"/>
    <n v="1"/>
    <n v="3.3333333333333333E-2"/>
    <b v="0"/>
    <n v="42936"/>
    <n v="5"/>
  </r>
  <r>
    <s v="CA-2015-164497"/>
    <s v="JA-10940"/>
    <s v="Allan Jackson"/>
    <s v="CON"/>
    <s v="Wilmington"/>
    <s v="North Carolina"/>
    <n v="28403"/>
    <s v="S"/>
    <x v="82"/>
    <x v="3"/>
    <s v="OFF-AP-10004655"/>
    <n v="4"/>
    <n v="0"/>
    <n v="0"/>
    <b v="0"/>
    <n v="42336"/>
    <n v="2"/>
  </r>
  <r>
    <s v="CA-2017-110198"/>
    <s v="GA-10911"/>
    <s v="Allan Gomez"/>
    <s v="CON"/>
    <s v="Eau Claire"/>
    <s v="Wisconsin"/>
    <n v="54703"/>
    <s v="C"/>
    <x v="314"/>
    <x v="2"/>
    <s v="OFF-LA-10004409"/>
    <n v="5"/>
    <n v="1"/>
    <n v="0.2"/>
    <b v="1"/>
    <n v="42856"/>
    <n v="1"/>
  </r>
  <r>
    <s v="CA-2015-126347"/>
    <s v="JA-10940"/>
    <s v="Allan Jackson"/>
    <s v="CON"/>
    <s v="Wilmington"/>
    <s v="North Carolina"/>
    <n v="28403"/>
    <s v="S"/>
    <x v="315"/>
    <x v="3"/>
    <s v="TEC-AC-10003063"/>
    <n v="2"/>
    <n v="0"/>
    <n v="0"/>
    <b v="0"/>
    <n v="42352"/>
    <n v="5"/>
  </r>
  <r>
    <s v="CA-2016-160479"/>
    <s v="HA-10585"/>
    <s v="Angele Hood"/>
    <s v="CON"/>
    <s v="Chicago"/>
    <s v="Illinois"/>
    <n v="60623"/>
    <s v="C"/>
    <x v="62"/>
    <x v="0"/>
    <s v="OFF-AR-10002445"/>
    <n v="5"/>
    <n v="0"/>
    <n v="0"/>
    <b v="0"/>
    <n v="42628"/>
    <n v="5"/>
  </r>
  <r>
    <s v="CA-2016-158617"/>
    <s v="CA-10669"/>
    <s v="Austin Canes"/>
    <s v="CON"/>
    <s v="Lawrence"/>
    <s v="Indiana"/>
    <n v="46226"/>
    <s v="C"/>
    <x v="236"/>
    <x v="0"/>
    <s v="OFF-PA-10002245"/>
    <n v="6"/>
    <n v="0"/>
    <n v="0"/>
    <b v="0"/>
    <n v="42635"/>
    <n v="6"/>
  </r>
  <r>
    <s v="CA-2014-122679"/>
    <s v="BA-10280"/>
    <s v="Aiden Bea"/>
    <s v="HOF"/>
    <s v="Seattle"/>
    <s v="Washington"/>
    <n v="98103"/>
    <s v="W"/>
    <x v="316"/>
    <x v="0"/>
    <s v="OFF-AR-10004757"/>
    <n v="6"/>
    <n v="0"/>
    <n v="0"/>
    <b v="0"/>
    <n v="41842"/>
    <n v="6"/>
  </r>
  <r>
    <s v="CA-2017-118213"/>
    <s v="BA-10096"/>
    <s v="Andy Burg"/>
    <s v="HOF"/>
    <s v="Greenwood"/>
    <s v="Indiana"/>
    <n v="46142"/>
    <s v="C"/>
    <x v="120"/>
    <x v="2"/>
    <s v="OFF-PA-10003673"/>
    <n v="14"/>
    <n v="0"/>
    <n v="0"/>
    <b v="0"/>
    <n v="43044"/>
    <n v="2"/>
  </r>
  <r>
    <s v="CA-2017-101637"/>
    <s v="CA-10635"/>
    <s v="Amy Chulz"/>
    <s v="COR"/>
    <s v="Beaumont"/>
    <s v="Texas"/>
    <n v="77705"/>
    <s v="C"/>
    <x v="317"/>
    <x v="1"/>
    <s v="OFF-ST-10002352"/>
    <n v="2"/>
    <n v="1"/>
    <n v="0.2"/>
    <b v="0"/>
    <n v="42818"/>
    <n v="1"/>
  </r>
  <r>
    <s v="CA-2016-148747"/>
    <s v="SA-10045"/>
    <s v="Aaron Smayling"/>
    <s v="COR"/>
    <s v="Jacksonville"/>
    <s v="North Carolina"/>
    <n v="28540"/>
    <s v="S"/>
    <x v="318"/>
    <x v="2"/>
    <s v="FUR-BO-10002613"/>
    <n v="2"/>
    <n v="1"/>
    <n v="0.15"/>
    <b v="0"/>
    <n v="42638"/>
    <n v="2"/>
  </r>
  <r>
    <s v="US-2017-169488"/>
    <s v="AA-10472"/>
    <s v="Allen Atomi"/>
    <s v="CON"/>
    <s v="Providence"/>
    <s v="Rhode Island"/>
    <n v="2908"/>
    <s v="E"/>
    <x v="319"/>
    <x v="2"/>
    <s v="OFF-PA-10002659"/>
    <n v="7"/>
    <n v="0"/>
    <n v="0"/>
    <b v="1"/>
    <n v="42985"/>
    <n v="2"/>
  </r>
  <r>
    <s v="CA-2017-110940"/>
    <s v="ZA-10760"/>
    <s v="Aiden Zelensky"/>
    <s v="CON"/>
    <s v="San Diego"/>
    <s v="California"/>
    <n v="92037"/>
    <s v="W"/>
    <x v="320"/>
    <x v="0"/>
    <s v="OFF-AR-10000380"/>
    <n v="4"/>
    <n v="1"/>
    <n v="0.2"/>
    <b v="0"/>
    <n v="42939"/>
    <n v="5"/>
  </r>
  <r>
    <s v="CA-2014-156160"/>
    <s v="SA-10105"/>
    <s v="Al Saminuto"/>
    <s v="CON"/>
    <s v="New York City"/>
    <s v="New York"/>
    <n v="10035"/>
    <s v="E"/>
    <x v="321"/>
    <x v="0"/>
    <s v="OFF-BI-10003355"/>
    <n v="12"/>
    <n v="1"/>
    <n v="7.5000000000000011E-2"/>
    <b v="1"/>
    <n v="41904"/>
    <n v="7"/>
  </r>
  <r>
    <s v="CA-2016-126270"/>
    <s v="FA-10899"/>
    <s v="Antonio Fu"/>
    <s v="CON"/>
    <s v="Chicago"/>
    <s v="Illinois"/>
    <n v="60610"/>
    <s v="C"/>
    <x v="322"/>
    <x v="0"/>
    <s v="OFF-EN-10004386"/>
    <n v="10"/>
    <n v="1"/>
    <n v="0.1"/>
    <b v="0"/>
    <n v="42483"/>
    <n v="4"/>
  </r>
  <r>
    <s v="CA-2017-145275"/>
    <s v="HA-10465"/>
    <s v="Amy Hunt"/>
    <s v="CON"/>
    <s v="New York City"/>
    <s v="New York"/>
    <n v="10035"/>
    <s v="E"/>
    <x v="323"/>
    <x v="0"/>
    <s v="OFF-LA-10001569"/>
    <n v="3"/>
    <n v="0"/>
    <n v="0"/>
    <b v="0"/>
    <n v="42827"/>
    <n v="4"/>
  </r>
  <r>
    <s v="CA-2015-130113"/>
    <s v="HA-10043"/>
    <s v="Ana Hughes"/>
    <s v="COR"/>
    <s v="New York City"/>
    <s v="New York"/>
    <n v="10035"/>
    <s v="E"/>
    <x v="76"/>
    <x v="2"/>
    <s v="TEC-PH-10003505"/>
    <n v="11"/>
    <n v="1"/>
    <n v="0.1"/>
    <b v="0"/>
    <n v="42365"/>
    <n v="4"/>
  </r>
  <r>
    <s v="CA-2016-108210"/>
    <s v="TA-10741"/>
    <s v="Alan Tran"/>
    <s v="HOF"/>
    <s v="Morristown"/>
    <s v="New Jersey"/>
    <n v="7960"/>
    <s v="E"/>
    <x v="324"/>
    <x v="3"/>
    <s v="TEC-PH-10002293"/>
    <n v="10"/>
    <n v="1"/>
    <n v="0.2"/>
    <b v="1"/>
    <n v="42520"/>
    <n v="1"/>
  </r>
  <r>
    <s v="CA-2014-128062"/>
    <s v="DA-10211"/>
    <s v="Alan Dole"/>
    <s v="HOF"/>
    <s v="Philadelphia"/>
    <s v="Pennsylvania"/>
    <n v="19134"/>
    <s v="E"/>
    <x v="172"/>
    <x v="3"/>
    <s v="OFF-PA-10001583"/>
    <n v="1"/>
    <n v="1"/>
    <n v="0.2"/>
    <b v="0"/>
    <n v="41962"/>
    <n v="3"/>
  </r>
  <r>
    <s v="CA-2016-136322"/>
    <s v="PA-10727"/>
    <s v="Agnes Peters"/>
    <s v="HOF"/>
    <s v="Fort Lauderdale"/>
    <s v="Florida"/>
    <n v="33311"/>
    <s v="S"/>
    <x v="325"/>
    <x v="1"/>
    <s v="OFF-BI-10004817"/>
    <n v="10"/>
    <n v="1"/>
    <n v="0.44999999999999996"/>
    <b v="0"/>
    <n v="42664"/>
    <n v="5"/>
  </r>
  <r>
    <s v="CA-2015-162201"/>
    <s v="GA-10528"/>
    <s v="Abigal Gandi"/>
    <s v="COR"/>
    <s v="Saint Petersburg"/>
    <s v="Florida"/>
    <n v="33710"/>
    <s v="S"/>
    <x v="326"/>
    <x v="0"/>
    <s v="OFF-ST-10000046"/>
    <n v="35"/>
    <n v="1"/>
    <n v="0.27142857142857146"/>
    <b v="0"/>
    <n v="42163"/>
    <n v="4"/>
  </r>
  <r>
    <s v="CA-2014-111360"/>
    <s v="TA-10435"/>
    <s v="Alyssa Tate"/>
    <s v="HOF"/>
    <s v="Los Angeles"/>
    <s v="California"/>
    <n v="90004"/>
    <s v="W"/>
    <x v="327"/>
    <x v="3"/>
    <s v="OFF-BI-10003350"/>
    <n v="3"/>
    <n v="1"/>
    <n v="0.7"/>
    <b v="0"/>
    <n v="41967"/>
    <n v="6"/>
  </r>
  <r>
    <s v="CA-2016-114405"/>
    <s v="SA-10251"/>
    <s v="Ann Shrives"/>
    <s v="CON"/>
    <s v="Philadelphia"/>
    <s v="Pennsylvania"/>
    <n v="19120"/>
    <s v="E"/>
    <x v="328"/>
    <x v="0"/>
    <s v="OFF-ST-10001627"/>
    <n v="6"/>
    <n v="1"/>
    <n v="0.2"/>
    <b v="0"/>
    <n v="42467"/>
    <n v="5"/>
  </r>
  <r>
    <s v="CA-2017-137421"/>
    <s v="JA-10940"/>
    <s v="Allan Jackson"/>
    <s v="CON"/>
    <s v="Wilmington"/>
    <s v="North Carolina"/>
    <n v="28403"/>
    <s v="S"/>
    <x v="329"/>
    <x v="3"/>
    <s v="OFF-AR-10001761"/>
    <n v="2"/>
    <n v="1"/>
    <n v="0.2"/>
    <b v="0"/>
    <n v="43014"/>
    <n v="5"/>
  </r>
  <r>
    <s v="CA-2015-143700"/>
    <s v="SA-10251"/>
    <s v="Ann Shrives"/>
    <s v="CON"/>
    <s v="Philadelphia"/>
    <s v="Pennsylvania"/>
    <n v="19120"/>
    <s v="E"/>
    <x v="330"/>
    <x v="1"/>
    <s v="OFF-PA-10003072"/>
    <n v="2"/>
    <n v="1"/>
    <n v="0.2"/>
    <b v="0"/>
    <n v="42211"/>
    <n v="0"/>
  </r>
  <r>
    <s v="US-2016-103674"/>
    <s v="PA-10728"/>
    <s v="Alison Phage"/>
    <s v="HOF"/>
    <s v="Los Angeles"/>
    <s v="California"/>
    <n v="90032"/>
    <s v="W"/>
    <x v="331"/>
    <x v="0"/>
    <s v="TEC-PH-10004080"/>
    <n v="41"/>
    <n v="1"/>
    <n v="0.11428571428571428"/>
    <b v="0"/>
    <n v="42710"/>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x v="0"/>
    <n v="55407"/>
    <x v="0"/>
    <s v="United States"/>
  </r>
  <r>
    <x v="1"/>
    <x v="1"/>
    <x v="0"/>
    <x v="1"/>
    <x v="1"/>
    <n v="94109"/>
    <x v="1"/>
    <s v="United States"/>
  </r>
  <r>
    <x v="2"/>
    <x v="2"/>
    <x v="0"/>
    <x v="2"/>
    <x v="2"/>
    <n v="78664"/>
    <x v="0"/>
    <s v="United States"/>
  </r>
  <r>
    <x v="3"/>
    <x v="3"/>
    <x v="0"/>
    <x v="3"/>
    <x v="3"/>
    <n v="10011"/>
    <x v="2"/>
    <s v="United States"/>
  </r>
  <r>
    <x v="4"/>
    <x v="4"/>
    <x v="0"/>
    <x v="4"/>
    <x v="4"/>
    <n v="85204"/>
    <x v="1"/>
    <s v="United States"/>
  </r>
  <r>
    <x v="5"/>
    <x v="5"/>
    <x v="0"/>
    <x v="5"/>
    <x v="5"/>
    <n v="68104"/>
    <x v="0"/>
    <s v="United States"/>
  </r>
  <r>
    <x v="6"/>
    <x v="6"/>
    <x v="0"/>
    <x v="6"/>
    <x v="1"/>
    <n v="90008"/>
    <x v="1"/>
    <s v="United States"/>
  </r>
  <r>
    <x v="7"/>
    <x v="7"/>
    <x v="0"/>
    <x v="7"/>
    <x v="6"/>
    <n v="97301"/>
    <x v="1"/>
    <s v="United States"/>
  </r>
  <r>
    <x v="8"/>
    <x v="8"/>
    <x v="0"/>
    <x v="8"/>
    <x v="7"/>
    <n v="30318"/>
    <x v="3"/>
    <s v="United States"/>
  </r>
  <r>
    <x v="9"/>
    <x v="9"/>
    <x v="0"/>
    <x v="9"/>
    <x v="1"/>
    <n v="91730"/>
    <x v="1"/>
    <s v="United States"/>
  </r>
  <r>
    <x v="10"/>
    <x v="4"/>
    <x v="0"/>
    <x v="10"/>
    <x v="8"/>
    <n v="37087"/>
    <x v="3"/>
    <s v="United States"/>
  </r>
  <r>
    <x v="11"/>
    <x v="10"/>
    <x v="0"/>
    <x v="3"/>
    <x v="3"/>
    <n v="10035"/>
    <x v="2"/>
    <s v="United States"/>
  </r>
  <r>
    <x v="12"/>
    <x v="11"/>
    <x v="0"/>
    <x v="11"/>
    <x v="9"/>
    <n v="2908"/>
    <x v="2"/>
    <s v="United States"/>
  </r>
  <r>
    <x v="13"/>
    <x v="12"/>
    <x v="0"/>
    <x v="12"/>
    <x v="10"/>
    <n v="28027"/>
    <x v="3"/>
    <s v="United States"/>
  </r>
  <r>
    <x v="14"/>
    <x v="13"/>
    <x v="0"/>
    <x v="13"/>
    <x v="11"/>
    <n v="19013"/>
    <x v="2"/>
    <s v="United States"/>
  </r>
  <r>
    <x v="15"/>
    <x v="14"/>
    <x v="0"/>
    <x v="1"/>
    <x v="1"/>
    <n v="94109"/>
    <x v="1"/>
    <s v="United States"/>
  </r>
  <r>
    <x v="16"/>
    <x v="15"/>
    <x v="0"/>
    <x v="14"/>
    <x v="12"/>
    <n v="40324"/>
    <x v="3"/>
    <s v="United States"/>
  </r>
  <r>
    <x v="17"/>
    <x v="16"/>
    <x v="0"/>
    <x v="15"/>
    <x v="1"/>
    <n v="92105"/>
    <x v="1"/>
    <s v="United States"/>
  </r>
  <r>
    <x v="18"/>
    <x v="13"/>
    <x v="0"/>
    <x v="16"/>
    <x v="13"/>
    <n v="1852"/>
    <x v="2"/>
    <s v="United States"/>
  </r>
  <r>
    <x v="19"/>
    <x v="17"/>
    <x v="0"/>
    <x v="17"/>
    <x v="14"/>
    <n v="73120"/>
    <x v="0"/>
    <s v="United States"/>
  </r>
  <r>
    <x v="20"/>
    <x v="18"/>
    <x v="0"/>
    <x v="18"/>
    <x v="15"/>
    <n v="98103"/>
    <x v="1"/>
    <s v="United States"/>
  </r>
  <r>
    <x v="21"/>
    <x v="18"/>
    <x v="0"/>
    <x v="19"/>
    <x v="2"/>
    <n v="76017"/>
    <x v="0"/>
    <s v="United States"/>
  </r>
  <r>
    <x v="22"/>
    <x v="19"/>
    <x v="0"/>
    <x v="17"/>
    <x v="14"/>
    <n v="73120"/>
    <x v="0"/>
    <s v="United States"/>
  </r>
  <r>
    <x v="23"/>
    <x v="20"/>
    <x v="1"/>
    <x v="3"/>
    <x v="3"/>
    <n v="10009"/>
    <x v="2"/>
    <s v="United States"/>
  </r>
  <r>
    <x v="24"/>
    <x v="21"/>
    <x v="1"/>
    <x v="12"/>
    <x v="16"/>
    <n v="3301"/>
    <x v="2"/>
    <s v="United States"/>
  </r>
  <r>
    <x v="25"/>
    <x v="22"/>
    <x v="1"/>
    <x v="20"/>
    <x v="17"/>
    <n v="22980"/>
    <x v="3"/>
    <s v="United States"/>
  </r>
  <r>
    <x v="26"/>
    <x v="23"/>
    <x v="1"/>
    <x v="21"/>
    <x v="11"/>
    <n v="19143"/>
    <x v="2"/>
    <s v="United States"/>
  </r>
  <r>
    <x v="27"/>
    <x v="24"/>
    <x v="1"/>
    <x v="6"/>
    <x v="1"/>
    <n v="90004"/>
    <x v="1"/>
    <s v="United States"/>
  </r>
  <r>
    <x v="28"/>
    <x v="25"/>
    <x v="1"/>
    <x v="22"/>
    <x v="15"/>
    <n v="98198"/>
    <x v="1"/>
    <s v="United States"/>
  </r>
  <r>
    <x v="29"/>
    <x v="26"/>
    <x v="1"/>
    <x v="18"/>
    <x v="15"/>
    <n v="98105"/>
    <x v="1"/>
    <s v="United States"/>
  </r>
  <r>
    <x v="30"/>
    <x v="27"/>
    <x v="1"/>
    <x v="23"/>
    <x v="18"/>
    <n v="46142"/>
    <x v="0"/>
    <s v="United States"/>
  </r>
  <r>
    <x v="31"/>
    <x v="28"/>
    <x v="0"/>
    <x v="24"/>
    <x v="4"/>
    <n v="85023"/>
    <x v="1"/>
    <s v="United States"/>
  </r>
  <r>
    <x v="32"/>
    <x v="29"/>
    <x v="0"/>
    <x v="25"/>
    <x v="12"/>
    <n v="42420"/>
    <x v="3"/>
    <s v="United States"/>
  </r>
  <r>
    <x v="33"/>
    <x v="30"/>
    <x v="0"/>
    <x v="26"/>
    <x v="2"/>
    <n v="77581"/>
    <x v="0"/>
    <s v="United States"/>
  </r>
  <r>
    <x v="34"/>
    <x v="31"/>
    <x v="0"/>
    <x v="27"/>
    <x v="18"/>
    <n v="46203"/>
    <x v="0"/>
    <s v="United States"/>
  </r>
  <r>
    <x v="35"/>
    <x v="32"/>
    <x v="0"/>
    <x v="28"/>
    <x v="6"/>
    <n v="97206"/>
    <x v="1"/>
    <s v="United States"/>
  </r>
  <r>
    <x v="36"/>
    <x v="33"/>
    <x v="0"/>
    <x v="3"/>
    <x v="3"/>
    <n v="10011"/>
    <x v="2"/>
    <s v="United States"/>
  </r>
  <r>
    <x v="37"/>
    <x v="34"/>
    <x v="0"/>
    <x v="24"/>
    <x v="4"/>
    <n v="85023"/>
    <x v="1"/>
    <s v="United States"/>
  </r>
  <r>
    <x v="38"/>
    <x v="35"/>
    <x v="0"/>
    <x v="29"/>
    <x v="19"/>
    <n v="48205"/>
    <x v="0"/>
    <s v="United States"/>
  </r>
  <r>
    <x v="39"/>
    <x v="36"/>
    <x v="0"/>
    <x v="30"/>
    <x v="2"/>
    <n v="77041"/>
    <x v="0"/>
    <s v="United States"/>
  </r>
  <r>
    <x v="40"/>
    <x v="37"/>
    <x v="0"/>
    <x v="31"/>
    <x v="20"/>
    <n v="61701"/>
    <x v="0"/>
    <s v="United States"/>
  </r>
  <r>
    <x v="41"/>
    <x v="38"/>
    <x v="0"/>
    <x v="32"/>
    <x v="3"/>
    <n v="11561"/>
    <x v="2"/>
    <s v="United States"/>
  </r>
  <r>
    <x v="42"/>
    <x v="39"/>
    <x v="0"/>
    <x v="33"/>
    <x v="2"/>
    <n v="75007"/>
    <x v="0"/>
    <s v="United States"/>
  </r>
  <r>
    <x v="43"/>
    <x v="40"/>
    <x v="0"/>
    <x v="34"/>
    <x v="14"/>
    <n v="74133"/>
    <x v="0"/>
    <s v="United States"/>
  </r>
  <r>
    <x v="44"/>
    <x v="41"/>
    <x v="0"/>
    <x v="35"/>
    <x v="2"/>
    <n v="75220"/>
    <x v="0"/>
    <s v="United States"/>
  </r>
  <r>
    <x v="45"/>
    <x v="42"/>
    <x v="0"/>
    <x v="6"/>
    <x v="1"/>
    <n v="90036"/>
    <x v="1"/>
    <s v="United States"/>
  </r>
  <r>
    <x v="46"/>
    <x v="43"/>
    <x v="0"/>
    <x v="36"/>
    <x v="3"/>
    <n v="10701"/>
    <x v="2"/>
    <s v="United States"/>
  </r>
  <r>
    <x v="47"/>
    <x v="44"/>
    <x v="1"/>
    <x v="37"/>
    <x v="21"/>
    <n v="44052"/>
    <x v="2"/>
    <s v="United States"/>
  </r>
  <r>
    <x v="48"/>
    <x v="45"/>
    <x v="1"/>
    <x v="38"/>
    <x v="2"/>
    <n v="75023"/>
    <x v="0"/>
    <s v="United States"/>
  </r>
  <r>
    <x v="49"/>
    <x v="46"/>
    <x v="1"/>
    <x v="39"/>
    <x v="22"/>
    <n v="88220"/>
    <x v="1"/>
    <s v="United States"/>
  </r>
  <r>
    <x v="50"/>
    <x v="47"/>
    <x v="1"/>
    <x v="21"/>
    <x v="11"/>
    <n v="19134"/>
    <x v="2"/>
    <s v="United States"/>
  </r>
  <r>
    <x v="51"/>
    <x v="48"/>
    <x v="1"/>
    <x v="40"/>
    <x v="23"/>
    <n v="39212"/>
    <x v="3"/>
    <s v="United States"/>
  </r>
  <r>
    <x v="52"/>
    <x v="49"/>
    <x v="1"/>
    <x v="6"/>
    <x v="1"/>
    <n v="90036"/>
    <x v="1"/>
    <s v="United States"/>
  </r>
  <r>
    <x v="53"/>
    <x v="50"/>
    <x v="1"/>
    <x v="18"/>
    <x v="15"/>
    <n v="98103"/>
    <x v="1"/>
    <s v="United States"/>
  </r>
  <r>
    <x v="54"/>
    <x v="51"/>
    <x v="2"/>
    <x v="41"/>
    <x v="4"/>
    <n v="85705"/>
    <x v="1"/>
    <s v="United States"/>
  </r>
  <r>
    <x v="55"/>
    <x v="52"/>
    <x v="2"/>
    <x v="42"/>
    <x v="20"/>
    <n v="60623"/>
    <x v="0"/>
    <s v="United States"/>
  </r>
  <r>
    <x v="56"/>
    <x v="53"/>
    <x v="2"/>
    <x v="6"/>
    <x v="1"/>
    <n v="90004"/>
    <x v="1"/>
    <s v="United States"/>
  </r>
  <r>
    <x v="57"/>
    <x v="54"/>
    <x v="2"/>
    <x v="43"/>
    <x v="10"/>
    <n v="28540"/>
    <x v="3"/>
    <s v="United States"/>
  </r>
  <r>
    <x v="58"/>
    <x v="55"/>
    <x v="2"/>
    <x v="1"/>
    <x v="1"/>
    <n v="94122"/>
    <x v="1"/>
    <s v="United States"/>
  </r>
  <r>
    <x v="58"/>
    <x v="55"/>
    <x v="2"/>
    <x v="1"/>
    <x v="1"/>
    <n v="94122"/>
    <x v="1"/>
    <s v="United States"/>
  </r>
  <r>
    <x v="59"/>
    <x v="56"/>
    <x v="0"/>
    <x v="3"/>
    <x v="3"/>
    <n v="10011"/>
    <x v="2"/>
    <s v="United States"/>
  </r>
  <r>
    <x v="60"/>
    <x v="57"/>
    <x v="2"/>
    <x v="30"/>
    <x v="2"/>
    <n v="77041"/>
    <x v="0"/>
    <s v="United States"/>
  </r>
  <r>
    <x v="61"/>
    <x v="58"/>
    <x v="2"/>
    <x v="44"/>
    <x v="24"/>
    <n v="70506"/>
    <x v="3"/>
    <s v="United States"/>
  </r>
  <r>
    <x v="62"/>
    <x v="59"/>
    <x v="0"/>
    <x v="18"/>
    <x v="15"/>
    <n v="98105"/>
    <x v="1"/>
    <s v="United States"/>
  </r>
  <r>
    <x v="63"/>
    <x v="60"/>
    <x v="0"/>
    <x v="45"/>
    <x v="25"/>
    <n v="33024"/>
    <x v="3"/>
    <s v="United States"/>
  </r>
  <r>
    <x v="64"/>
    <x v="61"/>
    <x v="2"/>
    <x v="3"/>
    <x v="3"/>
    <n v="10009"/>
    <x v="2"/>
    <s v="United States"/>
  </r>
  <r>
    <x v="65"/>
    <x v="62"/>
    <x v="2"/>
    <x v="18"/>
    <x v="15"/>
    <n v="98115"/>
    <x v="1"/>
    <s v="United States"/>
  </r>
  <r>
    <x v="66"/>
    <x v="63"/>
    <x v="2"/>
    <x v="21"/>
    <x v="11"/>
    <n v="19143"/>
    <x v="2"/>
    <s v="United States"/>
  </r>
  <r>
    <x v="67"/>
    <x v="64"/>
    <x v="2"/>
    <x v="46"/>
    <x v="2"/>
    <n v="77705"/>
    <x v="0"/>
    <s v="United States"/>
  </r>
  <r>
    <x v="68"/>
    <x v="65"/>
    <x v="0"/>
    <x v="47"/>
    <x v="21"/>
    <n v="44134"/>
    <x v="2"/>
    <s v="United States"/>
  </r>
  <r>
    <x v="69"/>
    <x v="66"/>
    <x v="0"/>
    <x v="1"/>
    <x v="1"/>
    <n v="94109"/>
    <x v="1"/>
    <s v="United States"/>
  </r>
  <r>
    <x v="70"/>
    <x v="67"/>
    <x v="0"/>
    <x v="48"/>
    <x v="18"/>
    <n v="46226"/>
    <x v="0"/>
    <s v="United States"/>
  </r>
  <r>
    <x v="71"/>
    <x v="68"/>
    <x v="1"/>
    <x v="49"/>
    <x v="26"/>
    <n v="59405"/>
    <x v="1"/>
    <s v="United States"/>
  </r>
  <r>
    <x v="72"/>
    <x v="69"/>
    <x v="0"/>
    <x v="3"/>
    <x v="3"/>
    <n v="10035"/>
    <x v="2"/>
    <s v="United States"/>
  </r>
  <r>
    <x v="73"/>
    <x v="70"/>
    <x v="1"/>
    <x v="21"/>
    <x v="11"/>
    <n v="19120"/>
    <x v="2"/>
    <s v="United States"/>
  </r>
  <r>
    <x v="74"/>
    <x v="71"/>
    <x v="1"/>
    <x v="50"/>
    <x v="27"/>
    <n v="6824"/>
    <x v="2"/>
    <s v="United States"/>
  </r>
  <r>
    <x v="75"/>
    <x v="72"/>
    <x v="1"/>
    <x v="1"/>
    <x v="1"/>
    <n v="94122"/>
    <x v="1"/>
    <s v="United States"/>
  </r>
  <r>
    <x v="76"/>
    <x v="73"/>
    <x v="1"/>
    <x v="21"/>
    <x v="11"/>
    <n v="19134"/>
    <x v="2"/>
    <s v="United States"/>
  </r>
  <r>
    <x v="77"/>
    <x v="74"/>
    <x v="0"/>
    <x v="51"/>
    <x v="2"/>
    <n v="77840"/>
    <x v="0"/>
    <s v="United States"/>
  </r>
  <r>
    <x v="78"/>
    <x v="75"/>
    <x v="0"/>
    <x v="52"/>
    <x v="28"/>
    <n v="7055"/>
    <x v="2"/>
    <s v="United States"/>
  </r>
  <r>
    <x v="79"/>
    <x v="76"/>
    <x v="0"/>
    <x v="42"/>
    <x v="20"/>
    <n v="60610"/>
    <x v="0"/>
    <s v="United States"/>
  </r>
  <r>
    <x v="80"/>
    <x v="77"/>
    <x v="0"/>
    <x v="53"/>
    <x v="25"/>
    <n v="33030"/>
    <x v="3"/>
    <s v="United States"/>
  </r>
  <r>
    <x v="81"/>
    <x v="78"/>
    <x v="0"/>
    <x v="1"/>
    <x v="1"/>
    <n v="94109"/>
    <x v="1"/>
    <s v="United States"/>
  </r>
  <r>
    <x v="82"/>
    <x v="79"/>
    <x v="0"/>
    <x v="54"/>
    <x v="12"/>
    <n v="40214"/>
    <x v="3"/>
    <s v="United States"/>
  </r>
  <r>
    <x v="83"/>
    <x v="80"/>
    <x v="0"/>
    <x v="42"/>
    <x v="20"/>
    <n v="60610"/>
    <x v="0"/>
    <s v="United States"/>
  </r>
  <r>
    <x v="84"/>
    <x v="81"/>
    <x v="2"/>
    <x v="55"/>
    <x v="25"/>
    <n v="33710"/>
    <x v="3"/>
    <s v="United States"/>
  </r>
  <r>
    <x v="85"/>
    <x v="82"/>
    <x v="0"/>
    <x v="56"/>
    <x v="29"/>
    <n v="84084"/>
    <x v="1"/>
    <s v="United States"/>
  </r>
  <r>
    <x v="86"/>
    <x v="83"/>
    <x v="1"/>
    <x v="5"/>
    <x v="5"/>
    <n v="68104"/>
    <x v="0"/>
    <s v="United States"/>
  </r>
  <r>
    <x v="87"/>
    <x v="84"/>
    <x v="0"/>
    <x v="3"/>
    <x v="3"/>
    <n v="10011"/>
    <x v="2"/>
    <s v="United States"/>
  </r>
  <r>
    <x v="88"/>
    <x v="85"/>
    <x v="0"/>
    <x v="48"/>
    <x v="13"/>
    <n v="1841"/>
    <x v="2"/>
    <s v="United States"/>
  </r>
  <r>
    <x v="89"/>
    <x v="86"/>
    <x v="2"/>
    <x v="1"/>
    <x v="1"/>
    <n v="94122"/>
    <x v="1"/>
    <s v="United States"/>
  </r>
  <r>
    <x v="90"/>
    <x v="87"/>
    <x v="0"/>
    <x v="57"/>
    <x v="1"/>
    <n v="95207"/>
    <x v="1"/>
    <s v="United States"/>
  </r>
  <r>
    <x v="91"/>
    <x v="88"/>
    <x v="0"/>
    <x v="58"/>
    <x v="21"/>
    <n v="45231"/>
    <x v="2"/>
    <s v="United States"/>
  </r>
  <r>
    <x v="92"/>
    <x v="89"/>
    <x v="2"/>
    <x v="21"/>
    <x v="11"/>
    <n v="19140"/>
    <x v="2"/>
    <s v="United States"/>
  </r>
  <r>
    <x v="93"/>
    <x v="90"/>
    <x v="2"/>
    <x v="59"/>
    <x v="4"/>
    <n v="85345"/>
    <x v="1"/>
    <s v="United States"/>
  </r>
  <r>
    <x v="94"/>
    <x v="91"/>
    <x v="2"/>
    <x v="30"/>
    <x v="2"/>
    <n v="77041"/>
    <x v="0"/>
    <s v="United States"/>
  </r>
  <r>
    <x v="95"/>
    <x v="92"/>
    <x v="2"/>
    <x v="29"/>
    <x v="19"/>
    <n v="48234"/>
    <x v="0"/>
    <s v="United States"/>
  </r>
  <r>
    <x v="84"/>
    <x v="81"/>
    <x v="2"/>
    <x v="30"/>
    <x v="2"/>
    <n v="77095"/>
    <x v="0"/>
    <s v="United States"/>
  </r>
  <r>
    <x v="96"/>
    <x v="93"/>
    <x v="2"/>
    <x v="55"/>
    <x v="25"/>
    <n v="33710"/>
    <x v="3"/>
    <s v="United States"/>
  </r>
  <r>
    <x v="97"/>
    <x v="94"/>
    <x v="0"/>
    <x v="30"/>
    <x v="2"/>
    <n v="77036"/>
    <x v="0"/>
    <s v="United States"/>
  </r>
  <r>
    <x v="98"/>
    <x v="95"/>
    <x v="0"/>
    <x v="43"/>
    <x v="10"/>
    <n v="28540"/>
    <x v="3"/>
    <s v="United States"/>
  </r>
  <r>
    <x v="99"/>
    <x v="96"/>
    <x v="0"/>
    <x v="60"/>
    <x v="2"/>
    <n v="75002"/>
    <x v="0"/>
    <s v="United States"/>
  </r>
  <r>
    <x v="100"/>
    <x v="97"/>
    <x v="0"/>
    <x v="61"/>
    <x v="7"/>
    <n v="31907"/>
    <x v="3"/>
    <s v="United States"/>
  </r>
  <r>
    <x v="101"/>
    <x v="98"/>
    <x v="0"/>
    <x v="7"/>
    <x v="17"/>
    <n v="24153"/>
    <x v="3"/>
    <s v="United States"/>
  </r>
  <r>
    <x v="102"/>
    <x v="99"/>
    <x v="1"/>
    <x v="21"/>
    <x v="11"/>
    <n v="19120"/>
    <x v="2"/>
    <s v="United States"/>
  </r>
  <r>
    <x v="103"/>
    <x v="100"/>
    <x v="1"/>
    <x v="62"/>
    <x v="17"/>
    <n v="23666"/>
    <x v="3"/>
    <s v="United States"/>
  </r>
  <r>
    <x v="104"/>
    <x v="101"/>
    <x v="1"/>
    <x v="42"/>
    <x v="20"/>
    <n v="60623"/>
    <x v="0"/>
    <s v="United States"/>
  </r>
  <r>
    <x v="105"/>
    <x v="102"/>
    <x v="0"/>
    <x v="41"/>
    <x v="4"/>
    <n v="85705"/>
    <x v="1"/>
    <s v="United States"/>
  </r>
  <r>
    <x v="106"/>
    <x v="103"/>
    <x v="0"/>
    <x v="6"/>
    <x v="1"/>
    <n v="90008"/>
    <x v="1"/>
    <s v="United States"/>
  </r>
  <r>
    <x v="107"/>
    <x v="104"/>
    <x v="0"/>
    <x v="63"/>
    <x v="27"/>
    <n v="6708"/>
    <x v="2"/>
    <s v="United States"/>
  </r>
  <r>
    <x v="108"/>
    <x v="105"/>
    <x v="2"/>
    <x v="64"/>
    <x v="30"/>
    <n v="89115"/>
    <x v="1"/>
    <s v="United States"/>
  </r>
  <r>
    <x v="109"/>
    <x v="106"/>
    <x v="0"/>
    <x v="65"/>
    <x v="31"/>
    <n v="54703"/>
    <x v="0"/>
    <s v="United States"/>
  </r>
  <r>
    <x v="110"/>
    <x v="107"/>
    <x v="0"/>
    <x v="21"/>
    <x v="11"/>
    <n v="19134"/>
    <x v="2"/>
    <s v="United States"/>
  </r>
  <r>
    <x v="111"/>
    <x v="108"/>
    <x v="0"/>
    <x v="15"/>
    <x v="1"/>
    <n v="92105"/>
    <x v="1"/>
    <s v="United States"/>
  </r>
  <r>
    <x v="112"/>
    <x v="109"/>
    <x v="2"/>
    <x v="66"/>
    <x v="3"/>
    <n v="12180"/>
    <x v="2"/>
    <s v="United States"/>
  </r>
  <r>
    <x v="113"/>
    <x v="110"/>
    <x v="2"/>
    <x v="3"/>
    <x v="3"/>
    <n v="10035"/>
    <x v="2"/>
    <s v="United States"/>
  </r>
  <r>
    <x v="114"/>
    <x v="111"/>
    <x v="2"/>
    <x v="3"/>
    <x v="3"/>
    <n v="10011"/>
    <x v="2"/>
    <s v="United States"/>
  </r>
  <r>
    <x v="115"/>
    <x v="112"/>
    <x v="2"/>
    <x v="25"/>
    <x v="30"/>
    <n v="89015"/>
    <x v="1"/>
    <s v="United States"/>
  </r>
  <r>
    <x v="116"/>
    <x v="113"/>
    <x v="2"/>
    <x v="67"/>
    <x v="8"/>
    <n v="37918"/>
    <x v="3"/>
    <s v="United States"/>
  </r>
  <r>
    <x v="117"/>
    <x v="114"/>
    <x v="2"/>
    <x v="13"/>
    <x v="11"/>
    <n v="19013"/>
    <x v="2"/>
    <s v="United States"/>
  </r>
  <r>
    <x v="118"/>
    <x v="115"/>
    <x v="2"/>
    <x v="19"/>
    <x v="2"/>
    <n v="76017"/>
    <x v="0"/>
    <s v="United States"/>
  </r>
  <r>
    <x v="119"/>
    <x v="116"/>
    <x v="2"/>
    <x v="68"/>
    <x v="9"/>
    <n v="2920"/>
    <x v="2"/>
    <s v="United States"/>
  </r>
  <r>
    <x v="120"/>
    <x v="117"/>
    <x v="1"/>
    <x v="41"/>
    <x v="4"/>
    <n v="85705"/>
    <x v="1"/>
    <s v="United States"/>
  </r>
  <r>
    <x v="121"/>
    <x v="118"/>
    <x v="1"/>
    <x v="7"/>
    <x v="6"/>
    <n v="97301"/>
    <x v="1"/>
    <s v="United States"/>
  </r>
  <r>
    <x v="122"/>
    <x v="119"/>
    <x v="1"/>
    <x v="35"/>
    <x v="2"/>
    <n v="75217"/>
    <x v="0"/>
    <s v="United States"/>
  </r>
  <r>
    <x v="123"/>
    <x v="120"/>
    <x v="1"/>
    <x v="54"/>
    <x v="12"/>
    <n v="40214"/>
    <x v="3"/>
    <s v="United States"/>
  </r>
  <r>
    <x v="124"/>
    <x v="121"/>
    <x v="2"/>
    <x v="69"/>
    <x v="25"/>
    <n v="33319"/>
    <x v="3"/>
    <s v="United States"/>
  </r>
  <r>
    <x v="125"/>
    <x v="122"/>
    <x v="2"/>
    <x v="70"/>
    <x v="11"/>
    <n v="18018"/>
    <x v="2"/>
    <s v="United States"/>
  </r>
  <r>
    <x v="126"/>
    <x v="123"/>
    <x v="2"/>
    <x v="3"/>
    <x v="3"/>
    <n v="10024"/>
    <x v="2"/>
    <s v="United States"/>
  </r>
  <r>
    <x v="127"/>
    <x v="124"/>
    <x v="0"/>
    <x v="71"/>
    <x v="1"/>
    <n v="94513"/>
    <x v="1"/>
    <s v="United States"/>
  </r>
  <r>
    <x v="128"/>
    <x v="125"/>
    <x v="0"/>
    <x v="72"/>
    <x v="1"/>
    <n v="92804"/>
    <x v="1"/>
    <s v="United States"/>
  </r>
  <r>
    <x v="129"/>
    <x v="126"/>
    <x v="0"/>
    <x v="18"/>
    <x v="15"/>
    <n v="98105"/>
    <x v="1"/>
    <s v="United States"/>
  </r>
  <r>
    <x v="130"/>
    <x v="127"/>
    <x v="0"/>
    <x v="3"/>
    <x v="3"/>
    <n v="10035"/>
    <x v="2"/>
    <s v="United States"/>
  </r>
  <r>
    <x v="131"/>
    <x v="128"/>
    <x v="0"/>
    <x v="35"/>
    <x v="2"/>
    <n v="75217"/>
    <x v="0"/>
    <s v="United States"/>
  </r>
  <r>
    <x v="132"/>
    <x v="129"/>
    <x v="0"/>
    <x v="42"/>
    <x v="20"/>
    <n v="60623"/>
    <x v="0"/>
    <s v="United States"/>
  </r>
  <r>
    <x v="133"/>
    <x v="130"/>
    <x v="0"/>
    <x v="18"/>
    <x v="15"/>
    <n v="98105"/>
    <x v="1"/>
    <s v="United States"/>
  </r>
  <r>
    <x v="134"/>
    <x v="131"/>
    <x v="2"/>
    <x v="73"/>
    <x v="25"/>
    <n v="33317"/>
    <x v="3"/>
    <s v="United States"/>
  </r>
  <r>
    <x v="135"/>
    <x v="132"/>
    <x v="2"/>
    <x v="15"/>
    <x v="1"/>
    <n v="92024"/>
    <x v="1"/>
    <s v="United States"/>
  </r>
  <r>
    <x v="136"/>
    <x v="133"/>
    <x v="2"/>
    <x v="74"/>
    <x v="17"/>
    <n v="22153"/>
    <x v="3"/>
    <s v="United States"/>
  </r>
  <r>
    <x v="137"/>
    <x v="134"/>
    <x v="2"/>
    <x v="30"/>
    <x v="2"/>
    <n v="77095"/>
    <x v="0"/>
    <s v="United States"/>
  </r>
  <r>
    <x v="138"/>
    <x v="135"/>
    <x v="2"/>
    <x v="29"/>
    <x v="19"/>
    <n v="48205"/>
    <x v="0"/>
    <s v="United States"/>
  </r>
  <r>
    <x v="139"/>
    <x v="136"/>
    <x v="0"/>
    <x v="21"/>
    <x v="11"/>
    <n v="19120"/>
    <x v="2"/>
    <s v="United States"/>
  </r>
  <r>
    <x v="140"/>
    <x v="137"/>
    <x v="1"/>
    <x v="6"/>
    <x v="1"/>
    <n v="90036"/>
    <x v="1"/>
    <s v="United States"/>
  </r>
  <r>
    <x v="141"/>
    <x v="138"/>
    <x v="0"/>
    <x v="75"/>
    <x v="4"/>
    <n v="85301"/>
    <x v="1"/>
    <s v="United States"/>
  </r>
  <r>
    <x v="142"/>
    <x v="139"/>
    <x v="0"/>
    <x v="71"/>
    <x v="1"/>
    <n v="94513"/>
    <x v="1"/>
    <s v="United States"/>
  </r>
  <r>
    <x v="143"/>
    <x v="140"/>
    <x v="2"/>
    <x v="74"/>
    <x v="17"/>
    <n v="22153"/>
    <x v="3"/>
    <s v="United States"/>
  </r>
  <r>
    <x v="144"/>
    <x v="141"/>
    <x v="2"/>
    <x v="76"/>
    <x v="13"/>
    <n v="1915"/>
    <x v="2"/>
    <s v="United States"/>
  </r>
  <r>
    <x v="145"/>
    <x v="142"/>
    <x v="2"/>
    <x v="77"/>
    <x v="32"/>
    <n v="21215"/>
    <x v="2"/>
    <s v="United States"/>
  </r>
  <r>
    <x v="146"/>
    <x v="143"/>
    <x v="2"/>
    <x v="55"/>
    <x v="25"/>
    <n v="33710"/>
    <x v="3"/>
    <s v="United States"/>
  </r>
  <r>
    <x v="147"/>
    <x v="144"/>
    <x v="2"/>
    <x v="1"/>
    <x v="1"/>
    <n v="94110"/>
    <x v="1"/>
    <s v="United States"/>
  </r>
  <r>
    <x v="148"/>
    <x v="145"/>
    <x v="2"/>
    <x v="78"/>
    <x v="1"/>
    <n v="92307"/>
    <x v="1"/>
    <s v="United States"/>
  </r>
  <r>
    <x v="149"/>
    <x v="146"/>
    <x v="2"/>
    <x v="74"/>
    <x v="17"/>
    <n v="22153"/>
    <x v="3"/>
    <s v="United States"/>
  </r>
  <r>
    <x v="150"/>
    <x v="147"/>
    <x v="0"/>
    <x v="79"/>
    <x v="10"/>
    <n v="28403"/>
    <x v="3"/>
    <s v="United States"/>
  </r>
  <r>
    <x v="151"/>
    <x v="148"/>
    <x v="0"/>
    <x v="29"/>
    <x v="19"/>
    <n v="48227"/>
    <x v="0"/>
    <s v="United States"/>
  </r>
  <r>
    <x v="152"/>
    <x v="149"/>
    <x v="0"/>
    <x v="80"/>
    <x v="3"/>
    <n v="14609"/>
    <x v="2"/>
    <s v="United States"/>
  </r>
  <r>
    <x v="153"/>
    <x v="150"/>
    <x v="2"/>
    <x v="81"/>
    <x v="2"/>
    <n v="75051"/>
    <x v="0"/>
    <s v="United States"/>
  </r>
  <r>
    <x v="154"/>
    <x v="151"/>
    <x v="2"/>
    <x v="6"/>
    <x v="1"/>
    <n v="90032"/>
    <x v="1"/>
    <s v="United States"/>
  </r>
  <r>
    <x v="155"/>
    <x v="152"/>
    <x v="0"/>
    <x v="82"/>
    <x v="33"/>
    <n v="36830"/>
    <x v="3"/>
    <s v="United States"/>
  </r>
  <r>
    <x v="156"/>
    <x v="153"/>
    <x v="1"/>
    <x v="68"/>
    <x v="9"/>
    <n v="2920"/>
    <x v="2"/>
    <s v="United States"/>
  </r>
  <r>
    <x v="157"/>
    <x v="154"/>
    <x v="0"/>
    <x v="83"/>
    <x v="20"/>
    <n v="60016"/>
    <x v="0"/>
    <s v="United States"/>
  </r>
  <r>
    <x v="158"/>
    <x v="155"/>
    <x v="0"/>
    <x v="7"/>
    <x v="17"/>
    <n v="24153"/>
    <x v="3"/>
    <s v="United States"/>
  </r>
  <r>
    <x v="159"/>
    <x v="156"/>
    <x v="2"/>
    <x v="6"/>
    <x v="1"/>
    <n v="90045"/>
    <x v="1"/>
    <s v="United States"/>
  </r>
  <r>
    <x v="160"/>
    <x v="157"/>
    <x v="1"/>
    <x v="3"/>
    <x v="3"/>
    <n v="10035"/>
    <x v="2"/>
    <s v="United States"/>
  </r>
  <r>
    <x v="161"/>
    <x v="158"/>
    <x v="1"/>
    <x v="84"/>
    <x v="13"/>
    <n v="2148"/>
    <x v="2"/>
    <s v="United States"/>
  </r>
  <r>
    <x v="162"/>
    <x v="159"/>
    <x v="1"/>
    <x v="85"/>
    <x v="25"/>
    <n v="33311"/>
    <x v="3"/>
    <s v="United States"/>
  </r>
  <r>
    <x v="163"/>
    <x v="160"/>
    <x v="1"/>
    <x v="6"/>
    <x v="1"/>
    <n v="90032"/>
    <x v="1"/>
    <s v="United States"/>
  </r>
  <r>
    <x v="164"/>
    <x v="161"/>
    <x v="0"/>
    <x v="6"/>
    <x v="1"/>
    <n v="90045"/>
    <x v="1"/>
    <s v="United States"/>
  </r>
  <r>
    <x v="165"/>
    <x v="162"/>
    <x v="0"/>
    <x v="18"/>
    <x v="15"/>
    <n v="98105"/>
    <x v="1"/>
    <s v="United States"/>
  </r>
  <r>
    <x v="166"/>
    <x v="163"/>
    <x v="0"/>
    <x v="86"/>
    <x v="34"/>
    <n v="80525"/>
    <x v="1"/>
    <s v="United States"/>
  </r>
  <r>
    <x v="167"/>
    <x v="164"/>
    <x v="0"/>
    <x v="25"/>
    <x v="12"/>
    <n v="42420"/>
    <x v="3"/>
    <s v="United States"/>
  </r>
  <r>
    <x v="168"/>
    <x v="165"/>
    <x v="0"/>
    <x v="87"/>
    <x v="34"/>
    <n v="80219"/>
    <x v="1"/>
    <s v="United States"/>
  </r>
  <r>
    <x v="169"/>
    <x v="166"/>
    <x v="0"/>
    <x v="6"/>
    <x v="1"/>
    <n v="90045"/>
    <x v="1"/>
    <s v="United States"/>
  </r>
  <r>
    <x v="170"/>
    <x v="167"/>
    <x v="2"/>
    <x v="21"/>
    <x v="11"/>
    <n v="19143"/>
    <x v="2"/>
    <s v="United States"/>
  </r>
  <r>
    <x v="171"/>
    <x v="168"/>
    <x v="2"/>
    <x v="88"/>
    <x v="13"/>
    <n v="2038"/>
    <x v="2"/>
    <s v="United States"/>
  </r>
  <r>
    <x v="172"/>
    <x v="169"/>
    <x v="0"/>
    <x v="21"/>
    <x v="11"/>
    <n v="19134"/>
    <x v="2"/>
    <s v="United States"/>
  </r>
  <r>
    <x v="173"/>
    <x v="170"/>
    <x v="0"/>
    <x v="40"/>
    <x v="19"/>
    <n v="49201"/>
    <x v="0"/>
    <s v="United States"/>
  </r>
  <r>
    <x v="174"/>
    <x v="171"/>
    <x v="0"/>
    <x v="61"/>
    <x v="7"/>
    <n v="31907"/>
    <x v="3"/>
    <s v="United States"/>
  </r>
  <r>
    <x v="175"/>
    <x v="172"/>
    <x v="2"/>
    <x v="89"/>
    <x v="15"/>
    <n v="98661"/>
    <x v="1"/>
    <s v="United States"/>
  </r>
  <r>
    <x v="176"/>
    <x v="173"/>
    <x v="2"/>
    <x v="90"/>
    <x v="2"/>
    <n v="78745"/>
    <x v="0"/>
    <s v="United States"/>
  </r>
  <r>
    <x v="177"/>
    <x v="174"/>
    <x v="2"/>
    <x v="43"/>
    <x v="10"/>
    <n v="28540"/>
    <x v="3"/>
    <s v="United States"/>
  </r>
  <r>
    <x v="178"/>
    <x v="175"/>
    <x v="2"/>
    <x v="91"/>
    <x v="6"/>
    <n v="97756"/>
    <x v="1"/>
    <s v="United States"/>
  </r>
  <r>
    <x v="179"/>
    <x v="176"/>
    <x v="0"/>
    <x v="74"/>
    <x v="35"/>
    <n v="65807"/>
    <x v="0"/>
    <s v="United States"/>
  </r>
  <r>
    <x v="180"/>
    <x v="177"/>
    <x v="0"/>
    <x v="21"/>
    <x v="11"/>
    <n v="19143"/>
    <x v="2"/>
    <s v="United States"/>
  </r>
  <r>
    <x v="181"/>
    <x v="178"/>
    <x v="0"/>
    <x v="3"/>
    <x v="3"/>
    <n v="10011"/>
    <x v="2"/>
    <s v="United States"/>
  </r>
  <r>
    <x v="182"/>
    <x v="179"/>
    <x v="0"/>
    <x v="42"/>
    <x v="20"/>
    <n v="60653"/>
    <x v="0"/>
    <s v="United States"/>
  </r>
  <r>
    <x v="183"/>
    <x v="180"/>
    <x v="0"/>
    <x v="92"/>
    <x v="2"/>
    <n v="75061"/>
    <x v="0"/>
    <s v="United States"/>
  </r>
  <r>
    <x v="184"/>
    <x v="181"/>
    <x v="0"/>
    <x v="3"/>
    <x v="3"/>
    <n v="10035"/>
    <x v="2"/>
    <s v="United States"/>
  </r>
  <r>
    <x v="185"/>
    <x v="182"/>
    <x v="1"/>
    <x v="3"/>
    <x v="3"/>
    <n v="10035"/>
    <x v="2"/>
    <s v="United States"/>
  </r>
  <r>
    <x v="186"/>
    <x v="183"/>
    <x v="2"/>
    <x v="93"/>
    <x v="33"/>
    <n v="36116"/>
    <x v="3"/>
    <s v="United States"/>
  </r>
  <r>
    <x v="187"/>
    <x v="184"/>
    <x v="2"/>
    <x v="94"/>
    <x v="29"/>
    <n v="84604"/>
    <x v="1"/>
    <s v="United States"/>
  </r>
  <r>
    <x v="188"/>
    <x v="185"/>
    <x v="0"/>
    <x v="95"/>
    <x v="25"/>
    <n v="33614"/>
    <x v="3"/>
    <s v="United States"/>
  </r>
  <r>
    <x v="189"/>
    <x v="186"/>
    <x v="0"/>
    <x v="96"/>
    <x v="21"/>
    <n v="44105"/>
    <x v="2"/>
    <s v="United States"/>
  </r>
  <r>
    <x v="190"/>
    <x v="187"/>
    <x v="0"/>
    <x v="21"/>
    <x v="11"/>
    <n v="19120"/>
    <x v="2"/>
    <s v="United States"/>
  </r>
  <r>
    <x v="191"/>
    <x v="188"/>
    <x v="2"/>
    <x v="97"/>
    <x v="20"/>
    <n v="60067"/>
    <x v="0"/>
    <s v="United States"/>
  </r>
  <r>
    <x v="192"/>
    <x v="189"/>
    <x v="2"/>
    <x v="98"/>
    <x v="18"/>
    <n v="46060"/>
    <x v="0"/>
    <s v="United States"/>
  </r>
  <r>
    <x v="193"/>
    <x v="190"/>
    <x v="1"/>
    <x v="99"/>
    <x v="2"/>
    <n v="77506"/>
    <x v="0"/>
    <s v="United States"/>
  </r>
  <r>
    <x v="194"/>
    <x v="191"/>
    <x v="1"/>
    <x v="100"/>
    <x v="25"/>
    <n v="33437"/>
    <x v="3"/>
    <s v="United States"/>
  </r>
  <r>
    <x v="195"/>
    <x v="192"/>
    <x v="1"/>
    <x v="67"/>
    <x v="8"/>
    <n v="37918"/>
    <x v="3"/>
    <s v="United States"/>
  </r>
  <r>
    <x v="196"/>
    <x v="193"/>
    <x v="1"/>
    <x v="6"/>
    <x v="1"/>
    <n v="90004"/>
    <x v="1"/>
    <s v="United States"/>
  </r>
  <r>
    <x v="197"/>
    <x v="194"/>
    <x v="0"/>
    <x v="101"/>
    <x v="8"/>
    <n v="37211"/>
    <x v="3"/>
    <s v="United States"/>
  </r>
  <r>
    <x v="198"/>
    <x v="195"/>
    <x v="0"/>
    <x v="3"/>
    <x v="3"/>
    <n v="10009"/>
    <x v="2"/>
    <s v="United States"/>
  </r>
  <r>
    <x v="199"/>
    <x v="196"/>
    <x v="1"/>
    <x v="102"/>
    <x v="28"/>
    <n v="7960"/>
    <x v="2"/>
    <s v="United States"/>
  </r>
  <r>
    <x v="200"/>
    <x v="197"/>
    <x v="0"/>
    <x v="103"/>
    <x v="27"/>
    <n v="6010"/>
    <x v="2"/>
    <s v="United States"/>
  </r>
  <r>
    <x v="201"/>
    <x v="198"/>
    <x v="0"/>
    <x v="104"/>
    <x v="1"/>
    <n v="93309"/>
    <x v="1"/>
    <s v="United States"/>
  </r>
  <r>
    <x v="202"/>
    <x v="199"/>
    <x v="1"/>
    <x v="105"/>
    <x v="20"/>
    <n v="60505"/>
    <x v="0"/>
    <s v="United States"/>
  </r>
  <r>
    <x v="203"/>
    <x v="200"/>
    <x v="1"/>
    <x v="1"/>
    <x v="1"/>
    <n v="94110"/>
    <x v="1"/>
    <s v="United States"/>
  </r>
  <r>
    <x v="204"/>
    <x v="201"/>
    <x v="1"/>
    <x v="106"/>
    <x v="26"/>
    <n v="59601"/>
    <x v="1"/>
    <s v="United States"/>
  </r>
  <r>
    <x v="205"/>
    <x v="202"/>
    <x v="1"/>
    <x v="30"/>
    <x v="2"/>
    <n v="77070"/>
    <x v="0"/>
    <s v="United States"/>
  </r>
  <r>
    <x v="206"/>
    <x v="203"/>
    <x v="2"/>
    <x v="107"/>
    <x v="1"/>
    <n v="92054"/>
    <x v="1"/>
    <s v="United States"/>
  </r>
  <r>
    <x v="207"/>
    <x v="204"/>
    <x v="2"/>
    <x v="21"/>
    <x v="11"/>
    <n v="19140"/>
    <x v="2"/>
    <s v="United States"/>
  </r>
  <r>
    <x v="208"/>
    <x v="205"/>
    <x v="0"/>
    <x v="108"/>
    <x v="20"/>
    <n v="60090"/>
    <x v="0"/>
    <s v="United States"/>
  </r>
  <r>
    <x v="209"/>
    <x v="206"/>
    <x v="0"/>
    <x v="35"/>
    <x v="2"/>
    <n v="75217"/>
    <x v="0"/>
    <s v="United States"/>
  </r>
  <r>
    <x v="210"/>
    <x v="207"/>
    <x v="0"/>
    <x v="15"/>
    <x v="1"/>
    <n v="92037"/>
    <x v="1"/>
    <s v="United Sta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75365-7328-864F-9D08-3168D76A15CB}" name="PivotTable2"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7" rowHeaderCaption="City">
  <location ref="A3:E114" firstHeaderRow="1" firstDataRow="2" firstDataCol="1"/>
  <pivotFields count="8">
    <pivotField showAll="0">
      <items count="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5"/>
        <item x="86"/>
        <item x="87"/>
        <item x="88"/>
        <item x="89"/>
        <item x="90"/>
        <item x="91"/>
        <item x="92"/>
        <item x="93"/>
        <item x="94"/>
        <item x="95"/>
        <item x="84"/>
        <item x="96"/>
        <item x="97"/>
        <item x="100"/>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8"/>
        <item x="177"/>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dataField="1" showAll="0">
      <items count="209">
        <item x="16"/>
        <item x="6"/>
        <item x="7"/>
        <item x="18"/>
        <item x="29"/>
        <item x="59"/>
        <item x="63"/>
        <item x="133"/>
        <item x="107"/>
        <item x="155"/>
        <item x="174"/>
        <item x="189"/>
        <item x="96"/>
        <item x="93"/>
        <item x="101"/>
        <item x="201"/>
        <item x="20"/>
        <item x="111"/>
        <item x="135"/>
        <item x="176"/>
        <item x="47"/>
        <item x="21"/>
        <item x="112"/>
        <item x="40"/>
        <item x="28"/>
        <item x="49"/>
        <item x="37"/>
        <item x="117"/>
        <item x="182"/>
        <item x="142"/>
        <item x="159"/>
        <item x="71"/>
        <item x="33"/>
        <item x="50"/>
        <item x="207"/>
        <item x="38"/>
        <item x="178"/>
        <item x="153"/>
        <item x="181"/>
        <item x="139"/>
        <item x="8"/>
        <item x="42"/>
        <item x="69"/>
        <item x="73"/>
        <item x="68"/>
        <item x="121"/>
        <item x="115"/>
        <item x="124"/>
        <item x="173"/>
        <item x="183"/>
        <item x="185"/>
        <item x="196"/>
        <item x="145"/>
        <item x="204"/>
        <item x="113"/>
        <item x="44"/>
        <item x="82"/>
        <item x="188"/>
        <item x="180"/>
        <item x="86"/>
        <item x="72"/>
        <item x="19"/>
        <item x="3"/>
        <item x="0"/>
        <item x="45"/>
        <item x="87"/>
        <item x="119"/>
        <item x="144"/>
        <item x="162"/>
        <item x="167"/>
        <item x="195"/>
        <item x="15"/>
        <item x="57"/>
        <item x="125"/>
        <item x="191"/>
        <item x="150"/>
        <item x="164"/>
        <item x="83"/>
        <item x="109"/>
        <item x="146"/>
        <item x="160"/>
        <item x="175"/>
        <item x="136"/>
        <item x="106"/>
        <item x="147"/>
        <item x="4"/>
        <item x="11"/>
        <item x="104"/>
        <item x="88"/>
        <item x="128"/>
        <item x="168"/>
        <item x="85"/>
        <item x="179"/>
        <item x="192"/>
        <item x="53"/>
        <item x="32"/>
        <item x="55"/>
        <item x="193"/>
        <item x="197"/>
        <item x="60"/>
        <item x="84"/>
        <item x="122"/>
        <item x="41"/>
        <item x="64"/>
        <item x="56"/>
        <item x="92"/>
        <item x="118"/>
        <item x="127"/>
        <item x="62"/>
        <item x="17"/>
        <item x="110"/>
        <item x="35"/>
        <item x="141"/>
        <item x="12"/>
        <item x="9"/>
        <item x="1"/>
        <item x="2"/>
        <item x="89"/>
        <item x="132"/>
        <item x="123"/>
        <item x="169"/>
        <item x="206"/>
        <item x="46"/>
        <item x="43"/>
        <item x="27"/>
        <item x="81"/>
        <item x="100"/>
        <item x="126"/>
        <item x="114"/>
        <item x="165"/>
        <item x="170"/>
        <item x="184"/>
        <item x="203"/>
        <item x="171"/>
        <item x="26"/>
        <item x="39"/>
        <item x="70"/>
        <item x="91"/>
        <item x="116"/>
        <item x="129"/>
        <item x="97"/>
        <item x="5"/>
        <item x="30"/>
        <item x="103"/>
        <item x="24"/>
        <item x="78"/>
        <item x="52"/>
        <item x="163"/>
        <item x="51"/>
        <item x="22"/>
        <item x="61"/>
        <item x="98"/>
        <item x="158"/>
        <item x="187"/>
        <item x="190"/>
        <item x="13"/>
        <item x="10"/>
        <item x="14"/>
        <item x="65"/>
        <item x="94"/>
        <item x="131"/>
        <item x="186"/>
        <item x="200"/>
        <item x="152"/>
        <item x="157"/>
        <item x="76"/>
        <item x="194"/>
        <item x="205"/>
        <item x="90"/>
        <item x="58"/>
        <item x="99"/>
        <item x="130"/>
        <item x="140"/>
        <item x="143"/>
        <item x="156"/>
        <item x="172"/>
        <item x="198"/>
        <item x="23"/>
        <item x="66"/>
        <item x="25"/>
        <item x="80"/>
        <item x="166"/>
        <item x="137"/>
        <item x="151"/>
        <item x="74"/>
        <item x="79"/>
        <item x="120"/>
        <item x="177"/>
        <item x="54"/>
        <item x="75"/>
        <item x="102"/>
        <item x="95"/>
        <item x="108"/>
        <item x="161"/>
        <item x="199"/>
        <item x="31"/>
        <item x="148"/>
        <item x="149"/>
        <item x="154"/>
        <item x="36"/>
        <item x="138"/>
        <item x="105"/>
        <item x="202"/>
        <item x="67"/>
        <item x="34"/>
        <item x="77"/>
        <item x="134"/>
        <item x="48"/>
        <item t="default"/>
      </items>
    </pivotField>
    <pivotField axis="axisCol" showAll="0">
      <items count="4">
        <item x="0"/>
        <item x="2"/>
        <item x="1"/>
        <item t="default"/>
      </items>
    </pivotField>
    <pivotField axis="axisRow" showAll="0">
      <items count="110">
        <item x="60"/>
        <item x="72"/>
        <item x="78"/>
        <item x="19"/>
        <item x="8"/>
        <item x="82"/>
        <item x="105"/>
        <item x="90"/>
        <item x="104"/>
        <item x="77"/>
        <item x="46"/>
        <item x="70"/>
        <item x="76"/>
        <item x="31"/>
        <item x="100"/>
        <item x="71"/>
        <item x="103"/>
        <item x="39"/>
        <item x="33"/>
        <item x="13"/>
        <item x="42"/>
        <item x="58"/>
        <item x="96"/>
        <item x="51"/>
        <item x="61"/>
        <item x="12"/>
        <item x="68"/>
        <item x="35"/>
        <item x="87"/>
        <item x="22"/>
        <item x="83"/>
        <item x="29"/>
        <item x="65"/>
        <item x="50"/>
        <item x="86"/>
        <item x="85"/>
        <item x="88"/>
        <item x="14"/>
        <item x="75"/>
        <item x="81"/>
        <item x="49"/>
        <item x="23"/>
        <item x="62"/>
        <item x="106"/>
        <item x="25"/>
        <item x="53"/>
        <item x="30"/>
        <item x="27"/>
        <item x="92"/>
        <item x="40"/>
        <item x="43"/>
        <item x="67"/>
        <item x="44"/>
        <item x="64"/>
        <item x="48"/>
        <item x="10"/>
        <item x="32"/>
        <item x="37"/>
        <item x="6"/>
        <item x="54"/>
        <item x="16"/>
        <item x="84"/>
        <item x="4"/>
        <item x="0"/>
        <item x="93"/>
        <item x="102"/>
        <item x="101"/>
        <item x="3"/>
        <item x="98"/>
        <item x="107"/>
        <item x="17"/>
        <item x="5"/>
        <item x="97"/>
        <item x="47"/>
        <item x="99"/>
        <item x="52"/>
        <item x="26"/>
        <item x="45"/>
        <item x="59"/>
        <item x="21"/>
        <item x="24"/>
        <item x="38"/>
        <item x="73"/>
        <item x="28"/>
        <item x="11"/>
        <item x="94"/>
        <item x="9"/>
        <item x="91"/>
        <item x="80"/>
        <item x="2"/>
        <item x="55"/>
        <item x="7"/>
        <item x="15"/>
        <item x="1"/>
        <item x="18"/>
        <item x="74"/>
        <item x="57"/>
        <item x="69"/>
        <item x="95"/>
        <item x="66"/>
        <item x="41"/>
        <item x="34"/>
        <item x="89"/>
        <item x="63"/>
        <item x="20"/>
        <item x="56"/>
        <item x="108"/>
        <item x="79"/>
        <item x="36"/>
        <item t="default"/>
      </items>
    </pivotField>
    <pivotField showAll="0">
      <items count="37">
        <item x="33"/>
        <item x="4"/>
        <item x="1"/>
        <item x="34"/>
        <item x="27"/>
        <item x="25"/>
        <item x="7"/>
        <item x="20"/>
        <item x="18"/>
        <item x="12"/>
        <item x="24"/>
        <item x="32"/>
        <item x="13"/>
        <item x="19"/>
        <item x="0"/>
        <item x="23"/>
        <item x="35"/>
        <item x="26"/>
        <item x="5"/>
        <item x="30"/>
        <item x="16"/>
        <item x="28"/>
        <item x="22"/>
        <item x="3"/>
        <item x="10"/>
        <item x="21"/>
        <item x="14"/>
        <item x="6"/>
        <item x="11"/>
        <item x="9"/>
        <item x="8"/>
        <item x="2"/>
        <item x="29"/>
        <item x="17"/>
        <item x="15"/>
        <item x="31"/>
        <item t="default"/>
      </items>
    </pivotField>
    <pivotField showAll="0"/>
    <pivotField showAll="0">
      <items count="5">
        <item x="0"/>
        <item x="2"/>
        <item x="3"/>
        <item x="1"/>
        <item t="default"/>
      </items>
    </pivotField>
    <pivotField showAll="0"/>
  </pivotFields>
  <rowFields count="1">
    <field x="3"/>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4">
    <i>
      <x/>
    </i>
    <i>
      <x v="1"/>
    </i>
    <i>
      <x v="2"/>
    </i>
    <i t="grand">
      <x/>
    </i>
  </colItems>
  <dataFields count="1">
    <dataField name="Count of Customer Name" fld="1" subtotal="count" baseField="0" baseItem="0"/>
  </dataFields>
  <formats count="23">
    <format dxfId="72">
      <pivotArea dataOnly="0" fieldPosition="0">
        <references count="1">
          <reference field="3" count="1">
            <x v="20"/>
          </reference>
        </references>
      </pivotArea>
    </format>
    <format dxfId="71">
      <pivotArea dataOnly="0" labelOnly="1" fieldPosition="0">
        <references count="1">
          <reference field="3" count="1">
            <x v="20"/>
          </reference>
        </references>
      </pivotArea>
    </format>
    <format dxfId="70">
      <pivotArea dataOnly="0" labelOnly="1" fieldPosition="0">
        <references count="1">
          <reference field="3" count="1">
            <x v="94"/>
          </reference>
        </references>
      </pivotArea>
    </format>
    <format dxfId="69">
      <pivotArea dataOnly="0" labelOnly="1" fieldPosition="0">
        <references count="1">
          <reference field="3" count="1">
            <x v="94"/>
          </reference>
        </references>
      </pivotArea>
    </format>
    <format dxfId="68">
      <pivotArea dataOnly="0" labelOnly="1" fieldPosition="0">
        <references count="1">
          <reference field="3" count="1">
            <x v="93"/>
          </reference>
        </references>
      </pivotArea>
    </format>
    <format dxfId="67">
      <pivotArea dataOnly="0" labelOnly="1" fieldPosition="0">
        <references count="1">
          <reference field="3" count="1">
            <x v="93"/>
          </reference>
        </references>
      </pivotArea>
    </format>
    <format dxfId="66">
      <pivotArea dataOnly="0" labelOnly="1" fieldPosition="0">
        <references count="1">
          <reference field="3" count="1">
            <x v="79"/>
          </reference>
        </references>
      </pivotArea>
    </format>
    <format dxfId="65">
      <pivotArea dataOnly="0" labelOnly="1" fieldPosition="0">
        <references count="1">
          <reference field="3" count="1">
            <x v="79"/>
          </reference>
        </references>
      </pivotArea>
    </format>
    <format dxfId="64">
      <pivotArea field="3" type="button" dataOnly="0" labelOnly="1" outline="0" axis="axisRow" fieldPosition="0"/>
    </format>
    <format dxfId="63">
      <pivotArea dataOnly="0" labelOnly="1" fieldPosition="0">
        <references count="1">
          <reference field="3" count="1">
            <x v="46"/>
          </reference>
        </references>
      </pivotArea>
    </format>
    <format dxfId="62">
      <pivotArea dataOnly="0" labelOnly="1" fieldPosition="0">
        <references count="1">
          <reference field="3" count="1">
            <x v="46"/>
          </reference>
        </references>
      </pivotArea>
    </format>
    <format dxfId="61">
      <pivotArea dataOnly="0" labelOnly="1" fieldPosition="0">
        <references count="1">
          <reference field="3" count="1">
            <x v="58"/>
          </reference>
        </references>
      </pivotArea>
    </format>
    <format dxfId="60">
      <pivotArea dataOnly="0" labelOnly="1" fieldPosition="0">
        <references count="1">
          <reference field="3" count="1">
            <x v="58"/>
          </reference>
        </references>
      </pivotArea>
    </format>
    <format dxfId="59">
      <pivotArea dataOnly="0" labelOnly="1" fieldPosition="0">
        <references count="1">
          <reference field="3" count="1">
            <x v="67"/>
          </reference>
        </references>
      </pivotArea>
    </format>
    <format dxfId="58">
      <pivotArea dataOnly="0" labelOnly="1" fieldPosition="0">
        <references count="1">
          <reference field="3" count="1">
            <x v="67"/>
          </reference>
        </references>
      </pivotArea>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3">
      <pivotArea dataOnly="0" labelOnly="1" fieldPosition="0">
        <references count="1">
          <reference field="3" count="9">
            <x v="100"/>
            <x v="101"/>
            <x v="102"/>
            <x v="103"/>
            <x v="104"/>
            <x v="105"/>
            <x v="106"/>
            <x v="107"/>
            <x v="108"/>
          </reference>
        </references>
      </pivotArea>
    </format>
    <format dxfId="52">
      <pivotArea dataOnly="0" labelOnly="1" grandRow="1" outline="0" fieldPosition="0"/>
    </format>
    <format dxfId="51">
      <pivotArea dataOnly="0" labelOnly="1" fieldPosition="0">
        <references count="1">
          <reference field="2" count="0"/>
        </references>
      </pivotArea>
    </format>
    <format dxfId="50">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7"/>
          </reference>
        </references>
      </pivotArea>
    </chartFormat>
    <chartFormat chart="0" format="2">
      <pivotArea type="data" outline="0" fieldPosition="0">
        <references count="2">
          <reference field="4294967294" count="1" selected="0">
            <x v="0"/>
          </reference>
          <reference field="3" count="1" selected="0">
            <x v="79"/>
          </reference>
        </references>
      </pivotArea>
    </chartFormat>
    <chartFormat chart="0" format="3">
      <pivotArea type="data" outline="0" fieldPosition="0">
        <references count="2">
          <reference field="4294967294" count="1" selected="0">
            <x v="0"/>
          </reference>
          <reference field="3" count="1" selected="0">
            <x v="58"/>
          </reference>
        </references>
      </pivotArea>
    </chartFormat>
    <chartFormat chart="0" format="4">
      <pivotArea type="data" outline="0" fieldPosition="0">
        <references count="2">
          <reference field="4294967294" count="1" selected="0">
            <x v="0"/>
          </reference>
          <reference field="3" count="1" selected="0">
            <x v="93"/>
          </reference>
        </references>
      </pivotArea>
    </chartFormat>
    <chartFormat chart="0" format="5">
      <pivotArea type="data" outline="0" fieldPosition="0">
        <references count="2">
          <reference field="4294967294" count="1" selected="0">
            <x v="0"/>
          </reference>
          <reference field="3" count="1" selected="0">
            <x v="46"/>
          </reference>
        </references>
      </pivotArea>
    </chartFormat>
    <chartFormat chart="0" format="6">
      <pivotArea type="data" outline="0" fieldPosition="0">
        <references count="2">
          <reference field="4294967294" count="1" selected="0">
            <x v="0"/>
          </reference>
          <reference field="3" count="1" selected="0">
            <x v="20"/>
          </reference>
        </references>
      </pivotArea>
    </chartFormat>
    <chartFormat chart="0" format="7">
      <pivotArea type="data" outline="0" fieldPosition="0">
        <references count="2">
          <reference field="4294967294" count="1" selected="0">
            <x v="0"/>
          </reference>
          <reference field="3" count="1" selected="0">
            <x v="94"/>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3">
          <reference field="4294967294" count="1" selected="0">
            <x v="0"/>
          </reference>
          <reference field="2" count="1" selected="0">
            <x v="0"/>
          </reference>
          <reference field="3" count="1" selected="0">
            <x v="20"/>
          </reference>
        </references>
      </pivotArea>
    </chartFormat>
    <chartFormat chart="0" format="13">
      <pivotArea type="data" outline="0" fieldPosition="0">
        <references count="3">
          <reference field="4294967294" count="1" selected="0">
            <x v="0"/>
          </reference>
          <reference field="2" count="1" selected="0">
            <x v="0"/>
          </reference>
          <reference field="3" count="1" selected="0">
            <x v="46"/>
          </reference>
        </references>
      </pivotArea>
    </chartFormat>
    <chartFormat chart="0" format="14">
      <pivotArea type="data" outline="0" fieldPosition="0">
        <references count="3">
          <reference field="4294967294" count="1" selected="0">
            <x v="0"/>
          </reference>
          <reference field="2" count="1" selected="0">
            <x v="0"/>
          </reference>
          <reference field="3" count="1" selected="0">
            <x v="58"/>
          </reference>
        </references>
      </pivotArea>
    </chartFormat>
    <chartFormat chart="0" format="15">
      <pivotArea type="data" outline="0" fieldPosition="0">
        <references count="3">
          <reference field="4294967294" count="1" selected="0">
            <x v="0"/>
          </reference>
          <reference field="2" count="1" selected="0">
            <x v="0"/>
          </reference>
          <reference field="3" count="1" selected="0">
            <x v="67"/>
          </reference>
        </references>
      </pivotArea>
    </chartFormat>
    <chartFormat chart="0" format="16">
      <pivotArea type="data" outline="0" fieldPosition="0">
        <references count="3">
          <reference field="4294967294" count="1" selected="0">
            <x v="0"/>
          </reference>
          <reference field="2" count="1" selected="0">
            <x v="0"/>
          </reference>
          <reference field="3" count="1" selected="0">
            <x v="79"/>
          </reference>
        </references>
      </pivotArea>
    </chartFormat>
    <chartFormat chart="0" format="17">
      <pivotArea type="data" outline="0" fieldPosition="0">
        <references count="3">
          <reference field="4294967294" count="1" selected="0">
            <x v="0"/>
          </reference>
          <reference field="2" count="1" selected="0">
            <x v="0"/>
          </reference>
          <reference field="3" count="1" selected="0">
            <x v="93"/>
          </reference>
        </references>
      </pivotArea>
    </chartFormat>
    <chartFormat chart="0" format="18">
      <pivotArea type="data" outline="0" fieldPosition="0">
        <references count="3">
          <reference field="4294967294" count="1" selected="0">
            <x v="0"/>
          </reference>
          <reference field="2" count="1" selected="0">
            <x v="0"/>
          </reference>
          <reference field="3" count="1" selected="0">
            <x v="94"/>
          </reference>
        </references>
      </pivotArea>
    </chartFormat>
    <chartFormat chart="0" format="19">
      <pivotArea type="data" outline="0" fieldPosition="0">
        <references count="3">
          <reference field="4294967294" count="1" selected="0">
            <x v="0"/>
          </reference>
          <reference field="2" count="1" selected="0">
            <x v="1"/>
          </reference>
          <reference field="3" count="1" selected="0">
            <x v="20"/>
          </reference>
        </references>
      </pivotArea>
    </chartFormat>
    <chartFormat chart="0" format="20">
      <pivotArea type="data" outline="0" fieldPosition="0">
        <references count="3">
          <reference field="4294967294" count="1" selected="0">
            <x v="0"/>
          </reference>
          <reference field="2" count="1" selected="0">
            <x v="1"/>
          </reference>
          <reference field="3" count="1" selected="0">
            <x v="46"/>
          </reference>
        </references>
      </pivotArea>
    </chartFormat>
    <chartFormat chart="0" format="21">
      <pivotArea type="data" outline="0" fieldPosition="0">
        <references count="3">
          <reference field="4294967294" count="1" selected="0">
            <x v="0"/>
          </reference>
          <reference field="2" count="1" selected="0">
            <x v="1"/>
          </reference>
          <reference field="3" count="1" selected="0">
            <x v="58"/>
          </reference>
        </references>
      </pivotArea>
    </chartFormat>
    <chartFormat chart="0" format="22">
      <pivotArea type="data" outline="0" fieldPosition="0">
        <references count="3">
          <reference field="4294967294" count="1" selected="0">
            <x v="0"/>
          </reference>
          <reference field="2" count="1" selected="0">
            <x v="1"/>
          </reference>
          <reference field="3" count="1" selected="0">
            <x v="67"/>
          </reference>
        </references>
      </pivotArea>
    </chartFormat>
    <chartFormat chart="0" format="23">
      <pivotArea type="data" outline="0" fieldPosition="0">
        <references count="3">
          <reference field="4294967294" count="1" selected="0">
            <x v="0"/>
          </reference>
          <reference field="2" count="1" selected="0">
            <x v="1"/>
          </reference>
          <reference field="3" count="1" selected="0">
            <x v="79"/>
          </reference>
        </references>
      </pivotArea>
    </chartFormat>
    <chartFormat chart="0" format="24">
      <pivotArea type="data" outline="0" fieldPosition="0">
        <references count="3">
          <reference field="4294967294" count="1" selected="0">
            <x v="0"/>
          </reference>
          <reference field="2" count="1" selected="0">
            <x v="1"/>
          </reference>
          <reference field="3" count="1" selected="0">
            <x v="93"/>
          </reference>
        </references>
      </pivotArea>
    </chartFormat>
    <chartFormat chart="0" format="25">
      <pivotArea type="data" outline="0" fieldPosition="0">
        <references count="3">
          <reference field="4294967294" count="1" selected="0">
            <x v="0"/>
          </reference>
          <reference field="2" count="1" selected="0">
            <x v="1"/>
          </reference>
          <reference field="3" count="1" selected="0">
            <x v="94"/>
          </reference>
        </references>
      </pivotArea>
    </chartFormat>
    <chartFormat chart="0" format="26">
      <pivotArea type="data" outline="0" fieldPosition="0">
        <references count="3">
          <reference field="4294967294" count="1" selected="0">
            <x v="0"/>
          </reference>
          <reference field="2" count="1" selected="0">
            <x v="2"/>
          </reference>
          <reference field="3" count="1" selected="0">
            <x v="20"/>
          </reference>
        </references>
      </pivotArea>
    </chartFormat>
    <chartFormat chart="0" format="27">
      <pivotArea type="data" outline="0" fieldPosition="0">
        <references count="3">
          <reference field="4294967294" count="1" selected="0">
            <x v="0"/>
          </reference>
          <reference field="2" count="1" selected="0">
            <x v="2"/>
          </reference>
          <reference field="3" count="1" selected="0">
            <x v="46"/>
          </reference>
        </references>
      </pivotArea>
    </chartFormat>
    <chartFormat chart="0" format="28">
      <pivotArea type="data" outline="0" fieldPosition="0">
        <references count="3">
          <reference field="4294967294" count="1" selected="0">
            <x v="0"/>
          </reference>
          <reference field="2" count="1" selected="0">
            <x v="2"/>
          </reference>
          <reference field="3" count="1" selected="0">
            <x v="58"/>
          </reference>
        </references>
      </pivotArea>
    </chartFormat>
    <chartFormat chart="0" format="29">
      <pivotArea type="data" outline="0" fieldPosition="0">
        <references count="3">
          <reference field="4294967294" count="1" selected="0">
            <x v="0"/>
          </reference>
          <reference field="2" count="1" selected="0">
            <x v="2"/>
          </reference>
          <reference field="3" count="1" selected="0">
            <x v="67"/>
          </reference>
        </references>
      </pivotArea>
    </chartFormat>
    <chartFormat chart="0" format="30">
      <pivotArea type="data" outline="0" fieldPosition="0">
        <references count="3">
          <reference field="4294967294" count="1" selected="0">
            <x v="0"/>
          </reference>
          <reference field="2" count="1" selected="0">
            <x v="2"/>
          </reference>
          <reference field="3" count="1" selected="0">
            <x v="79"/>
          </reference>
        </references>
      </pivotArea>
    </chartFormat>
    <chartFormat chart="0" format="31">
      <pivotArea type="data" outline="0" fieldPosition="0">
        <references count="3">
          <reference field="4294967294" count="1" selected="0">
            <x v="0"/>
          </reference>
          <reference field="2" count="1" selected="0">
            <x v="2"/>
          </reference>
          <reference field="3" count="1" selected="0">
            <x v="93"/>
          </reference>
        </references>
      </pivotArea>
    </chartFormat>
    <chartFormat chart="0" format="32">
      <pivotArea type="data" outline="0" fieldPosition="0">
        <references count="3">
          <reference field="4294967294" count="1" selected="0">
            <x v="0"/>
          </reference>
          <reference field="2" count="1" selected="0">
            <x v="2"/>
          </reference>
          <reference field="3" count="1" selected="0">
            <x v="94"/>
          </reference>
        </references>
      </pivotArea>
    </chartFormat>
    <chartFormat chart="8" format="33" series="1">
      <pivotArea type="data" outline="0" fieldPosition="0">
        <references count="2">
          <reference field="4294967294" count="1" selected="0">
            <x v="0"/>
          </reference>
          <reference field="2" count="1" selected="0">
            <x v="0"/>
          </reference>
        </references>
      </pivotArea>
    </chartFormat>
    <chartFormat chart="8" format="34" series="1">
      <pivotArea type="data" outline="0" fieldPosition="0">
        <references count="2">
          <reference field="4294967294" count="1" selected="0">
            <x v="0"/>
          </reference>
          <reference field="2" count="1" selected="0">
            <x v="1"/>
          </reference>
        </references>
      </pivotArea>
    </chartFormat>
    <chartFormat chart="8" format="35" series="1">
      <pivotArea type="data" outline="0" fieldPosition="0">
        <references count="2">
          <reference field="4294967294" count="1" selected="0">
            <x v="0"/>
          </reference>
          <reference field="2" count="1" selected="0">
            <x v="2"/>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C4FC6-BA33-8344-A2B8-BDAD82C27180}" name="PivotTable2" cacheId="0" applyNumberFormats="0" applyBorderFormats="0" applyFontFormats="0" applyPatternFormats="0" applyAlignmentFormats="0" applyWidthHeightFormats="1" dataCaption="Values" grandTotalCaption="Total Average" updatedVersion="8" minRefreshableVersion="3" useAutoFormatting="1" itemPrintTitles="1" createdVersion="8" indent="0" outline="1" outlineData="1" multipleFieldFilters="0" chartFormat="13" rowHeaderCaption="Ship Mode">
  <location ref="A3:B8" firstHeaderRow="1" firstDataRow="1" firstDataCol="1"/>
  <pivotFields count="17">
    <pivotField showAll="0"/>
    <pivotField showAll="0"/>
    <pivotField showAll="0"/>
    <pivotField showAll="0"/>
    <pivotField showAll="0"/>
    <pivotField showAll="0"/>
    <pivotField showAll="0"/>
    <pivotField showAll="0"/>
    <pivotField showAll="0">
      <items count="333">
        <item x="58"/>
        <item x="282"/>
        <item x="39"/>
        <item x="69"/>
        <item x="179"/>
        <item x="40"/>
        <item x="96"/>
        <item x="4"/>
        <item x="301"/>
        <item x="213"/>
        <item x="271"/>
        <item x="252"/>
        <item x="14"/>
        <item x="286"/>
        <item x="211"/>
        <item x="100"/>
        <item x="2"/>
        <item x="264"/>
        <item x="5"/>
        <item x="193"/>
        <item x="54"/>
        <item x="45"/>
        <item x="135"/>
        <item x="115"/>
        <item x="22"/>
        <item x="85"/>
        <item x="95"/>
        <item x="258"/>
        <item x="25"/>
        <item x="316"/>
        <item x="157"/>
        <item x="91"/>
        <item x="21"/>
        <item x="246"/>
        <item x="173"/>
        <item x="287"/>
        <item x="254"/>
        <item x="118"/>
        <item x="34"/>
        <item x="261"/>
        <item x="60"/>
        <item x="321"/>
        <item x="53"/>
        <item x="29"/>
        <item x="226"/>
        <item x="168"/>
        <item x="20"/>
        <item x="131"/>
        <item x="220"/>
        <item x="112"/>
        <item x="150"/>
        <item x="143"/>
        <item x="166"/>
        <item x="228"/>
        <item x="209"/>
        <item x="191"/>
        <item x="172"/>
        <item x="138"/>
        <item x="134"/>
        <item x="327"/>
        <item x="273"/>
        <item x="152"/>
        <item x="276"/>
        <item x="148"/>
        <item x="303"/>
        <item x="6"/>
        <item x="70"/>
        <item x="230"/>
        <item x="136"/>
        <item x="256"/>
        <item x="283"/>
        <item x="178"/>
        <item x="201"/>
        <item x="218"/>
        <item x="11"/>
        <item x="145"/>
        <item x="188"/>
        <item x="141"/>
        <item x="310"/>
        <item x="299"/>
        <item x="41"/>
        <item x="207"/>
        <item x="259"/>
        <item x="84"/>
        <item x="229"/>
        <item x="206"/>
        <item x="19"/>
        <item x="196"/>
        <item x="16"/>
        <item x="288"/>
        <item x="186"/>
        <item x="200"/>
        <item x="304"/>
        <item x="307"/>
        <item x="326"/>
        <item x="156"/>
        <item x="210"/>
        <item x="61"/>
        <item x="151"/>
        <item x="59"/>
        <item x="330"/>
        <item x="158"/>
        <item x="212"/>
        <item x="46"/>
        <item x="154"/>
        <item x="77"/>
        <item x="292"/>
        <item x="268"/>
        <item x="101"/>
        <item x="280"/>
        <item x="262"/>
        <item x="275"/>
        <item x="177"/>
        <item x="285"/>
        <item x="93"/>
        <item x="3"/>
        <item x="57"/>
        <item x="147"/>
        <item x="182"/>
        <item x="296"/>
        <item x="313"/>
        <item x="308"/>
        <item x="88"/>
        <item x="12"/>
        <item x="237"/>
        <item x="132"/>
        <item x="274"/>
        <item x="79"/>
        <item x="265"/>
        <item x="82"/>
        <item x="269"/>
        <item x="127"/>
        <item x="171"/>
        <item x="197"/>
        <item x="315"/>
        <item x="298"/>
        <item x="270"/>
        <item x="294"/>
        <item x="76"/>
        <item x="255"/>
        <item x="55"/>
        <item x="253"/>
        <item x="103"/>
        <item x="180"/>
        <item x="198"/>
        <item x="277"/>
        <item x="125"/>
        <item x="185"/>
        <item x="26"/>
        <item x="284"/>
        <item x="119"/>
        <item x="74"/>
        <item x="328"/>
        <item x="139"/>
        <item x="322"/>
        <item x="272"/>
        <item x="204"/>
        <item x="122"/>
        <item x="164"/>
        <item x="260"/>
        <item x="248"/>
        <item x="66"/>
        <item x="324"/>
        <item x="190"/>
        <item x="295"/>
        <item x="305"/>
        <item x="187"/>
        <item x="44"/>
        <item x="300"/>
        <item x="153"/>
        <item x="10"/>
        <item x="244"/>
        <item x="8"/>
        <item x="223"/>
        <item x="124"/>
        <item x="222"/>
        <item x="267"/>
        <item x="24"/>
        <item x="216"/>
        <item x="32"/>
        <item x="114"/>
        <item x="111"/>
        <item x="98"/>
        <item x="219"/>
        <item x="242"/>
        <item x="257"/>
        <item x="62"/>
        <item x="159"/>
        <item x="92"/>
        <item x="162"/>
        <item x="318"/>
        <item x="236"/>
        <item x="33"/>
        <item x="194"/>
        <item x="302"/>
        <item x="232"/>
        <item x="240"/>
        <item x="325"/>
        <item x="181"/>
        <item x="30"/>
        <item x="31"/>
        <item x="105"/>
        <item x="108"/>
        <item x="176"/>
        <item x="17"/>
        <item x="289"/>
        <item x="37"/>
        <item x="67"/>
        <item x="97"/>
        <item x="137"/>
        <item x="71"/>
        <item x="107"/>
        <item x="68"/>
        <item x="142"/>
        <item x="291"/>
        <item x="331"/>
        <item x="309"/>
        <item x="49"/>
        <item x="94"/>
        <item x="18"/>
        <item x="203"/>
        <item x="130"/>
        <item x="183"/>
        <item x="121"/>
        <item x="73"/>
        <item x="238"/>
        <item x="7"/>
        <item x="214"/>
        <item x="167"/>
        <item x="297"/>
        <item x="317"/>
        <item x="106"/>
        <item x="163"/>
        <item x="293"/>
        <item x="89"/>
        <item x="199"/>
        <item x="323"/>
        <item x="224"/>
        <item x="161"/>
        <item x="42"/>
        <item x="80"/>
        <item x="1"/>
        <item x="160"/>
        <item x="281"/>
        <item x="314"/>
        <item x="90"/>
        <item x="175"/>
        <item x="23"/>
        <item x="235"/>
        <item x="140"/>
        <item x="165"/>
        <item x="47"/>
        <item x="217"/>
        <item x="312"/>
        <item x="43"/>
        <item x="278"/>
        <item x="104"/>
        <item x="28"/>
        <item x="86"/>
        <item x="146"/>
        <item x="0"/>
        <item x="266"/>
        <item x="215"/>
        <item x="290"/>
        <item x="202"/>
        <item x="155"/>
        <item x="249"/>
        <item x="239"/>
        <item x="320"/>
        <item x="72"/>
        <item x="48"/>
        <item x="75"/>
        <item x="234"/>
        <item x="195"/>
        <item x="27"/>
        <item x="174"/>
        <item x="128"/>
        <item x="56"/>
        <item x="52"/>
        <item x="35"/>
        <item x="319"/>
        <item x="189"/>
        <item x="208"/>
        <item x="169"/>
        <item x="126"/>
        <item x="221"/>
        <item x="102"/>
        <item x="245"/>
        <item x="184"/>
        <item x="250"/>
        <item x="116"/>
        <item x="65"/>
        <item x="51"/>
        <item x="113"/>
        <item x="329"/>
        <item x="306"/>
        <item x="15"/>
        <item x="205"/>
        <item x="133"/>
        <item x="192"/>
        <item x="233"/>
        <item x="227"/>
        <item x="120"/>
        <item x="263"/>
        <item x="50"/>
        <item x="279"/>
        <item x="311"/>
        <item x="129"/>
        <item x="243"/>
        <item x="38"/>
        <item x="36"/>
        <item x="99"/>
        <item x="64"/>
        <item x="231"/>
        <item x="63"/>
        <item x="9"/>
        <item x="87"/>
        <item x="170"/>
        <item x="123"/>
        <item x="83"/>
        <item x="149"/>
        <item x="144"/>
        <item x="241"/>
        <item x="81"/>
        <item x="110"/>
        <item x="109"/>
        <item x="117"/>
        <item x="247"/>
        <item x="251"/>
        <item x="225"/>
        <item x="78"/>
        <item x="13"/>
        <item t="default"/>
      </items>
    </pivotField>
    <pivotField axis="axisRow" showAll="0">
      <items count="5">
        <item n="Same Day (1)" x="1"/>
        <item n="First Class (2)" x="2"/>
        <item n="Second Class (3)" x="3"/>
        <item n="Standard (4)" x="0"/>
        <item t="default"/>
      </items>
    </pivotField>
    <pivotField showAll="0"/>
    <pivotField showAll="0"/>
    <pivotField showAll="0"/>
    <pivotField showAll="0"/>
    <pivotField showAll="0"/>
    <pivotField showAll="0"/>
    <pivotField dataField="1" showAll="0"/>
  </pivotFields>
  <rowFields count="1">
    <field x="9"/>
  </rowFields>
  <rowItems count="5">
    <i>
      <x/>
    </i>
    <i>
      <x v="1"/>
    </i>
    <i>
      <x v="2"/>
    </i>
    <i>
      <x v="3"/>
    </i>
    <i t="grand">
      <x/>
    </i>
  </rowItems>
  <colItems count="1">
    <i/>
  </colItems>
  <dataFields count="1">
    <dataField name="Average Lag (days)" fld="16" subtotal="average" baseField="0" baseItem="0" numFmtId="2"/>
  </dataFields>
  <formats count="1">
    <format dxfId="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041445B8-E331-4040-8CCB-25D03A34ED3C}" autoFormatId="16" applyNumberFormats="0" applyBorderFormats="0" applyFontFormats="0" applyPatternFormats="0" applyAlignmentFormats="0" applyWidthHeightFormats="0">
  <queryTableRefresh nextId="20">
    <queryTableFields count="16">
      <queryTableField id="1" name="Customer Code" tableColumnId="1"/>
      <queryTableField id="2" name="Customer Name" tableColumnId="2"/>
      <queryTableField id="3" name="Segment" tableColumnId="3"/>
      <queryTableField id="4" name="City" tableColumnId="4"/>
      <queryTableField id="5" name="State" tableColumnId="5"/>
      <queryTableField id="6" name="Postal Code" tableColumnId="6"/>
      <queryTableField id="7" name="Region" tableColumnId="7"/>
      <queryTableField id="10" name="Order ID" tableColumnId="10"/>
      <queryTableField id="11" name="Order Date" tableColumnId="11"/>
      <queryTableField id="12" name="Ship Date" tableColumnId="12"/>
      <queryTableField id="13" name="Ship Mode" tableColumnId="13"/>
      <queryTableField id="15" name="Product ID" tableColumnId="15"/>
      <queryTableField id="16" name="Quantity" tableColumnId="16"/>
      <queryTableField id="17" name="Discount" tableColumnId="17"/>
      <queryTableField id="18" name="Discount Percent" tableColumnId="18"/>
      <queryTableField id="19" name="IsHoliday" tableColumnId="19"/>
    </queryTableFields>
    <queryTableDeletedFields count="3">
      <deletedField name="Row ID"/>
      <deletedField name="Customer ID"/>
      <deletedField name="Countr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EB168EC-82FB-584A-BC83-F739FEE03760}" autoFormatId="16" applyNumberFormats="0" applyBorderFormats="0" applyFontFormats="0" applyPatternFormats="0" applyAlignmentFormats="0" applyWidthHeightFormats="0">
  <queryTableRefresh nextId="31">
    <queryTableFields count="17">
      <queryTableField id="1" name="Order ID" tableColumnId="1"/>
      <queryTableField id="2" name="Customer Code" tableColumnId="2"/>
      <queryTableField id="3" name="Customer Name" tableColumnId="3"/>
      <queryTableField id="4" name="Segment" tableColumnId="4"/>
      <queryTableField id="6" name="City" tableColumnId="6"/>
      <queryTableField id="7" name="State" tableColumnId="7"/>
      <queryTableField id="8" name="Postal Code" tableColumnId="8"/>
      <queryTableField id="18" name="Region " tableColumnId="5"/>
      <queryTableField id="11" name="Ship Date" tableColumnId="11"/>
      <queryTableField id="12" name="Ship Mode" tableColumnId="12"/>
      <queryTableField id="19" name="Product ID" tableColumnId="9"/>
      <queryTableField id="20" name="Quantity" tableColumnId="13"/>
      <queryTableField id="14" name="Discount Used" tableColumnId="14"/>
      <queryTableField id="21" name="Discount Percent" tableColumnId="15"/>
      <queryTableField id="22" name="IsHoliday" tableColumnId="16"/>
      <queryTableField id="10" name="Order Date" tableColumnId="10"/>
      <queryTableField id="17" name="OrderLagDay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4790E37-F744-104C-8BA1-224201BEC42D}" autoFormatId="16" applyNumberFormats="0" applyBorderFormats="0" applyFontFormats="0" applyPatternFormats="0" applyAlignmentFormats="0" applyWidthHeightFormats="0">
  <queryTableRefresh nextId="43" unboundColumnsRight="11">
    <queryTableFields count="26">
      <queryTableField id="1" name="Order ID" tableColumnId="1"/>
      <queryTableField id="2" name="Customer Code" tableColumnId="2"/>
      <queryTableField id="3" name="Customer Name" tableColumnId="3"/>
      <queryTableField id="4" name="Segment" tableColumnId="4"/>
      <queryTableField id="6" name="City" tableColumnId="6"/>
      <queryTableField id="7" name="State" tableColumnId="7"/>
      <queryTableField id="8" name="Postal Code" tableColumnId="8"/>
      <queryTableField id="18" name="Region " tableColumnId="5"/>
      <queryTableField id="11" name="Ship Date" tableColumnId="11"/>
      <queryTableField id="12" name="Ship Mode" tableColumnId="12"/>
      <queryTableField id="19" name="Product ID" tableColumnId="9"/>
      <queryTableField id="21" name="Discount Percent" tableColumnId="15"/>
      <queryTableField id="22" name="IsHoliday" tableColumnId="16"/>
      <queryTableField id="10" name="Order Date" tableColumnId="10"/>
      <queryTableField id="17" name="OrderLagDays" tableColumnId="17"/>
      <queryTableField id="31" dataBound="0" tableColumnId="18"/>
      <queryTableField id="32" dataBound="0" tableColumnId="19"/>
      <queryTableField id="33" dataBound="0" tableColumnId="20"/>
      <queryTableField id="34" dataBound="0" tableColumnId="21"/>
      <queryTableField id="35" dataBound="0" tableColumnId="22"/>
      <queryTableField id="36" dataBound="0" tableColumnId="23"/>
      <queryTableField id="37" dataBound="0" tableColumnId="24"/>
      <queryTableField id="38" dataBound="0" tableColumnId="25"/>
      <queryTableField id="39" dataBound="0" tableColumnId="26"/>
      <queryTableField id="41" dataBound="0" tableColumnId="27"/>
      <queryTableField id="42" dataBound="0" tableColumnId="28"/>
    </queryTableFields>
    <queryTableDeletedFields count="2">
      <deletedField name="Quantity"/>
      <deletedField name="Discount Us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2924FD-1D02-0F40-ACCF-A477ADECC073}" sourceName="City">
  <pivotTables>
    <pivotTable tabId="32" name="PivotTable2"/>
  </pivotTables>
  <data>
    <tabular pivotCacheId="1810494576">
      <items count="109">
        <i x="60" s="1"/>
        <i x="72" s="1"/>
        <i x="78" s="1"/>
        <i x="19" s="1"/>
        <i x="8" s="1"/>
        <i x="82" s="1"/>
        <i x="105" s="1"/>
        <i x="90" s="1"/>
        <i x="104" s="1"/>
        <i x="77" s="1"/>
        <i x="46" s="1"/>
        <i x="70" s="1"/>
        <i x="76" s="1"/>
        <i x="31" s="1"/>
        <i x="100" s="1"/>
        <i x="71" s="1"/>
        <i x="103" s="1"/>
        <i x="39" s="1"/>
        <i x="33" s="1"/>
        <i x="13" s="1"/>
        <i x="42" s="1"/>
        <i x="58" s="1"/>
        <i x="96" s="1"/>
        <i x="51" s="1"/>
        <i x="61" s="1"/>
        <i x="12" s="1"/>
        <i x="68" s="1"/>
        <i x="35" s="1"/>
        <i x="87" s="1"/>
        <i x="22" s="1"/>
        <i x="83" s="1"/>
        <i x="29" s="1"/>
        <i x="65" s="1"/>
        <i x="50" s="1"/>
        <i x="86" s="1"/>
        <i x="85" s="1"/>
        <i x="88" s="1"/>
        <i x="14" s="1"/>
        <i x="75" s="1"/>
        <i x="81" s="1"/>
        <i x="49" s="1"/>
        <i x="23" s="1"/>
        <i x="62" s="1"/>
        <i x="106" s="1"/>
        <i x="25" s="1"/>
        <i x="53" s="1"/>
        <i x="30" s="1"/>
        <i x="27" s="1"/>
        <i x="92" s="1"/>
        <i x="40" s="1"/>
        <i x="43" s="1"/>
        <i x="67" s="1"/>
        <i x="44" s="1"/>
        <i x="64" s="1"/>
        <i x="48" s="1"/>
        <i x="10" s="1"/>
        <i x="32" s="1"/>
        <i x="37" s="1"/>
        <i x="6" s="1"/>
        <i x="54" s="1"/>
        <i x="16" s="1"/>
        <i x="84" s="1"/>
        <i x="4" s="1"/>
        <i x="0" s="1"/>
        <i x="93" s="1"/>
        <i x="102" s="1"/>
        <i x="101" s="1"/>
        <i x="3" s="1"/>
        <i x="98" s="1"/>
        <i x="107" s="1"/>
        <i x="17" s="1"/>
        <i x="5" s="1"/>
        <i x="97" s="1"/>
        <i x="47" s="1"/>
        <i x="99" s="1"/>
        <i x="52" s="1"/>
        <i x="26" s="1"/>
        <i x="45" s="1"/>
        <i x="59" s="1"/>
        <i x="21" s="1"/>
        <i x="24" s="1"/>
        <i x="38" s="1"/>
        <i x="73" s="1"/>
        <i x="28" s="1"/>
        <i x="11" s="1"/>
        <i x="94" s="1"/>
        <i x="9" s="1"/>
        <i x="91" s="1"/>
        <i x="80" s="1"/>
        <i x="2" s="1"/>
        <i x="55" s="1"/>
        <i x="7" s="1"/>
        <i x="15" s="1"/>
        <i x="1" s="1"/>
        <i x="18" s="1"/>
        <i x="74" s="1"/>
        <i x="57" s="1"/>
        <i x="69" s="1"/>
        <i x="95" s="1"/>
        <i x="66" s="1"/>
        <i x="41" s="1"/>
        <i x="34" s="1"/>
        <i x="89" s="1"/>
        <i x="63" s="1"/>
        <i x="20" s="1"/>
        <i x="56" s="1"/>
        <i x="108" s="1"/>
        <i x="79"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A7919CE-B48E-3240-92AB-633EBB20858B}" sourceName="Segment">
  <pivotTables>
    <pivotTable tabId="32" name="PivotTable2"/>
  </pivotTables>
  <data>
    <tabular pivotCacheId="18104945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FC23373-2365-604C-8FFE-DDB76BFB1E25}" sourceName="State">
  <pivotTables>
    <pivotTable tabId="32" name="PivotTable2"/>
  </pivotTables>
  <data>
    <tabular pivotCacheId="1810494576">
      <items count="36">
        <i x="33" s="1"/>
        <i x="4" s="1"/>
        <i x="1" s="1"/>
        <i x="34" s="1"/>
        <i x="27" s="1"/>
        <i x="25" s="1"/>
        <i x="7" s="1"/>
        <i x="20" s="1"/>
        <i x="18" s="1"/>
        <i x="12" s="1"/>
        <i x="24" s="1"/>
        <i x="32" s="1"/>
        <i x="13" s="1"/>
        <i x="19" s="1"/>
        <i x="0" s="1"/>
        <i x="23" s="1"/>
        <i x="35" s="1"/>
        <i x="26" s="1"/>
        <i x="5" s="1"/>
        <i x="30" s="1"/>
        <i x="16" s="1"/>
        <i x="28" s="1"/>
        <i x="22" s="1"/>
        <i x="3" s="1"/>
        <i x="10" s="1"/>
        <i x="21" s="1"/>
        <i x="14" s="1"/>
        <i x="6" s="1"/>
        <i x="11" s="1"/>
        <i x="9" s="1"/>
        <i x="8" s="1"/>
        <i x="2" s="1"/>
        <i x="29" s="1"/>
        <i x="17" s="1"/>
        <i x="15" s="1"/>
        <i x="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B64A36-A022-D44C-A00F-190ECBF8A0BD}" sourceName="Region">
  <pivotTables>
    <pivotTable tabId="32" name="PivotTable2"/>
  </pivotTables>
  <data>
    <tabular pivotCacheId="181049457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49FBFE7-E98E-3341-9FDC-05D7C2D8BD09}" cache="Slicer_City" caption="City" startItem="39" style="SlicerStyleLight2" rowHeight="230716"/>
  <slicer name="Segment" xr10:uid="{A1F1506D-F941-B94E-B7A4-F0A33C7E590C}" cache="Slicer_Segment" caption="Segment" style="SlicerStyleLight4" rowHeight="230716"/>
  <slicer name="State" xr10:uid="{8115894D-2167-3144-B3CE-048D11347305}" cache="Slicer_State" caption="State" style="SlicerStyleLight6" rowHeight="230716"/>
  <slicer name="Region" xr10:uid="{F5093016-7AD2-C549-BF5E-907511FE337F}" cache="Slicer_Region" caption="Region" rowHeight="230716"/>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CE186B-BEB2-5341-831F-E712224DEAC2}" name="Table4" displayName="Table4" ref="A1:H214" totalsRowShown="0">
  <autoFilter ref="A1:H214" xr:uid="{01CE186B-BEB2-5341-831F-E712224DEAC2}"/>
  <tableColumns count="8">
    <tableColumn id="1" xr3:uid="{11AF8DD0-BA94-2A45-94D3-D314ADA6A98A}" name="Customer Code"/>
    <tableColumn id="2" xr3:uid="{3BCC0753-7DB7-434D-93D4-458E4BD060BD}" name="Customer Name"/>
    <tableColumn id="3" xr3:uid="{A4859358-A2BB-6C4B-802C-B3B5DBE0F967}" name="Segment"/>
    <tableColumn id="4" xr3:uid="{7E3AA081-7E6D-D341-B82D-6A4E94945699}" name="City"/>
    <tableColumn id="5" xr3:uid="{12026483-0C41-364C-8352-EE0CAA36D835}" name="State"/>
    <tableColumn id="6" xr3:uid="{727E0E99-9B5C-A743-B089-7C38F99B608F}" name="Postal Code"/>
    <tableColumn id="7" xr3:uid="{E873DEA8-C9E0-964B-BE23-B59AABECA248}" name="Region"/>
    <tableColumn id="8" xr3:uid="{BE1F0F5C-B802-9248-BE39-7AF11DD1993D}" name="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E1E3A2-F1D8-7742-9406-5421608EC683}" name="Table5" displayName="Table5" ref="A1:K779" totalsRowShown="0">
  <autoFilter ref="A1:K779" xr:uid="{8FE1E3A2-F1D8-7742-9406-5421608EC683}">
    <filterColumn colId="4">
      <filters>
        <filter val="4"/>
      </filters>
    </filterColumn>
  </autoFilter>
  <tableColumns count="11">
    <tableColumn id="1" xr3:uid="{52B66D96-050D-1D42-A6E3-A89FE234E661}" name="Row ID"/>
    <tableColumn id="2" xr3:uid="{351E8AAE-E3B1-2C4D-85B3-313D0695DB8F}" name="Order ID"/>
    <tableColumn id="3" xr3:uid="{FA9EF9AE-9360-2340-93C3-1D84D590BA61}" name="Order Date" dataDxfId="48"/>
    <tableColumn id="4" xr3:uid="{D44DEBFF-6D41-3C48-8A64-BE3848682191}" name="Ship Date" dataDxfId="47"/>
    <tableColumn id="5" xr3:uid="{096BE7C8-0427-B748-B75B-53E0725BB085}" name="Ship Mode"/>
    <tableColumn id="6" xr3:uid="{F50F57D7-88CC-664D-A32A-ADD950FB25A3}" name="Customer ID"/>
    <tableColumn id="7" xr3:uid="{89DD3887-E581-6640-985E-922AC4C07D8F}" name="Product ID"/>
    <tableColumn id="8" xr3:uid="{36B7E803-9F84-7847-AAFC-0685ADB71A6B}" name="Quantity"/>
    <tableColumn id="9" xr3:uid="{589A6C8B-A0F6-6E47-A489-03509BB37FAA}" name="Discount"/>
    <tableColumn id="10" xr3:uid="{08FCE89E-0E24-2B43-A926-1C4A88F49F58}" name="Discount Percent"/>
    <tableColumn id="11" xr3:uid="{4DD3EF62-66FC-9048-AFB0-4BDCBE7F0DF6}" name="IsHolida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5C53E4-11FC-FE43-9AD0-89A5C302C6E0}" name="Table6" displayName="Table6" ref="A1:E637" totalsRowShown="0">
  <autoFilter ref="A1:E637" xr:uid="{885C53E4-11FC-FE43-9AD0-89A5C302C6E0}"/>
  <tableColumns count="5">
    <tableColumn id="1" xr3:uid="{210D273E-CB46-F240-B004-1765FFCEB018}" name="Product ID"/>
    <tableColumn id="2" xr3:uid="{E14F5C29-6945-5247-AAA6-5CE190F02447}" name="Category"/>
    <tableColumn id="3" xr3:uid="{0E2BDC55-F14D-934F-B4CB-B00445CD4D6C}" name="Sub-Category"/>
    <tableColumn id="4" xr3:uid="{65B21E61-6593-6740-944D-16D610373D39}" name="Product Name"/>
    <tableColumn id="5" xr3:uid="{2CB5C2B5-6880-854F-B9F8-D77E4AC326C0}" name="Item Co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D6AD9-1E0F-2C4C-B4D1-C0DEAB500F96}" name="Table8" displayName="Table8" ref="A1:C6" totalsRowShown="0">
  <autoFilter ref="A1:C6" xr:uid="{CEDD6AD9-1E0F-2C4C-B4D1-C0DEAB500F96}"/>
  <tableColumns count="3">
    <tableColumn id="1" xr3:uid="{CCC42659-10F0-B346-8408-7F657E5B24C6}" name="Region ID"/>
    <tableColumn id="2" xr3:uid="{6E7C5814-D2F1-7243-A141-D8ABFDEA3DEF}" name="Region"/>
    <tableColumn id="3" xr3:uid="{A26FC5B0-16A3-A04F-A602-18E5BEC21479}"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C6C46BB-EE8C-F140-AD3A-DE6B101DE17D}" name="Table9" displayName="Table9" ref="A1:C4" totalsRowShown="0" headerRowDxfId="46" dataDxfId="45">
  <autoFilter ref="A1:C4" xr:uid="{AC6C46BB-EE8C-F140-AD3A-DE6B101DE17D}"/>
  <tableColumns count="3">
    <tableColumn id="1" xr3:uid="{1898FD77-B92D-714A-9962-CA30A322F8CD}" name="SegID" dataDxfId="44"/>
    <tableColumn id="2" xr3:uid="{A8C8128A-DE56-2049-8F6E-890B41BA179D}" name="SegApp" dataDxfId="43"/>
    <tableColumn id="3" xr3:uid="{1AA6AA5F-D74E-4448-A401-1F7E83405071}" name=" Customer Segment" dataDxfId="4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5007AB5-FB23-364C-A93A-621846AFC337}" name="Customers__3" displayName="Customers__3" ref="A1:P793" tableType="queryTable" totalsRowShown="0">
  <autoFilter ref="A1:P793" xr:uid="{E5007AB5-FB23-364C-A93A-621846AFC337}"/>
  <tableColumns count="16">
    <tableColumn id="1" xr3:uid="{C46C1C4B-E051-2C40-B7A9-8968B0A9D001}" uniqueName="1" name="Customer Code" queryTableFieldId="1" dataDxfId="41"/>
    <tableColumn id="2" xr3:uid="{D00589D1-A02F-644D-BF57-43BC3622820E}" uniqueName="2" name="Customer Name" queryTableFieldId="2" dataDxfId="40"/>
    <tableColumn id="3" xr3:uid="{76001939-29B9-FE4E-9D22-5432DBE36000}" uniqueName="3" name="Segment" queryTableFieldId="3" dataDxfId="39"/>
    <tableColumn id="4" xr3:uid="{7E5C0B7A-ABCE-D64D-98CE-0B85A7CBD4D7}" uniqueName="4" name="City" queryTableFieldId="4" dataDxfId="38"/>
    <tableColumn id="5" xr3:uid="{52C9256D-F1A4-F64F-BEE6-BDF460361748}" uniqueName="5" name="State" queryTableFieldId="5" dataDxfId="37"/>
    <tableColumn id="6" xr3:uid="{7A8FECDF-1DF9-F94D-9622-4FCD25AB882E}" uniqueName="6" name="Postal Code" queryTableFieldId="6"/>
    <tableColumn id="7" xr3:uid="{D3517E0C-8810-4C4F-91E0-8A3C1F28F5B7}" uniqueName="7" name="Region" queryTableFieldId="7" dataDxfId="36"/>
    <tableColumn id="10" xr3:uid="{476F62CD-5029-9D44-9FCC-9263F9287C5B}" uniqueName="10" name="Order ID" queryTableFieldId="10" dataDxfId="35"/>
    <tableColumn id="11" xr3:uid="{C565153C-56CA-2E43-9ACC-094B27CF4167}" uniqueName="11" name="Order Date" queryTableFieldId="11" dataDxfId="34"/>
    <tableColumn id="12" xr3:uid="{1167A69A-EC84-014D-8433-7802F7DE3D2F}" uniqueName="12" name="Ship Date" queryTableFieldId="12" dataDxfId="33"/>
    <tableColumn id="13" xr3:uid="{25FF4003-21EE-9B40-B548-618330C17609}" uniqueName="13" name="Ship Mode" queryTableFieldId="13"/>
    <tableColumn id="15" xr3:uid="{D63AC2E1-24AA-0A46-9D5F-E03340B37A5A}" uniqueName="15" name="Product ID" queryTableFieldId="15" dataDxfId="32"/>
    <tableColumn id="16" xr3:uid="{EFB6FF67-3438-A04D-8B61-AD2F7BF1E29A}" uniqueName="16" name="Quantity" queryTableFieldId="16"/>
    <tableColumn id="17" xr3:uid="{E9D6B73D-0E79-DB4B-AC46-4234BE80A75A}" uniqueName="17" name="Discount" queryTableFieldId="17"/>
    <tableColumn id="18" xr3:uid="{D87FC72C-F723-F743-96B0-262432D70DE7}" uniqueName="18" name="Discount Percent" queryTableFieldId="18"/>
    <tableColumn id="19" xr3:uid="{9611996C-AA12-5143-9DB8-DB02FC01F53D}" uniqueName="19" name="IsHoliday" queryTableField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D1A14-7CE5-DA45-B996-913D4A890EA6}" name="CO_Combined" displayName="CO_Combined" ref="A1:Q395" tableType="queryTable" totalsRowShown="0">
  <autoFilter ref="A1:Q395" xr:uid="{577D1A14-7CE5-DA45-B996-913D4A890EA6}"/>
  <tableColumns count="17">
    <tableColumn id="1" xr3:uid="{0F242C31-674E-BB41-A54B-417AB67A4280}" uniqueName="1" name="Order ID" queryTableFieldId="1" dataDxfId="31"/>
    <tableColumn id="2" xr3:uid="{D05D4011-63E2-C441-881F-862F56FA5659}" uniqueName="2" name="Customer Code" queryTableFieldId="2" dataDxfId="30"/>
    <tableColumn id="3" xr3:uid="{38B24AA1-28A3-124E-9F8F-DD6292755CE8}" uniqueName="3" name="Customer Name" queryTableFieldId="3" dataDxfId="29"/>
    <tableColumn id="4" xr3:uid="{2D79DC0B-4D50-D34D-9790-27559DF757F2}" uniqueName="4" name="Segment" queryTableFieldId="4" dataDxfId="28"/>
    <tableColumn id="6" xr3:uid="{48649C52-AD21-4549-95D1-D2C969C15119}" uniqueName="6" name="City" queryTableFieldId="6" dataDxfId="27"/>
    <tableColumn id="7" xr3:uid="{5DD891CA-CAC6-0F46-9E02-F11599992A23}" uniqueName="7" name="State" queryTableFieldId="7" dataDxfId="26"/>
    <tableColumn id="8" xr3:uid="{371B4A82-3EAF-8B45-9774-046DC0783841}" uniqueName="8" name="Postal Code" queryTableFieldId="8" dataDxfId="25"/>
    <tableColumn id="5" xr3:uid="{2B5CED11-12E0-204C-BABB-5405895DB4C7}" uniqueName="5" name="Region " queryTableFieldId="18"/>
    <tableColumn id="11" xr3:uid="{6F666BD4-0D09-F341-8436-1004F88B8F0A}" uniqueName="11" name="Ship Date" queryTableFieldId="11" dataDxfId="24"/>
    <tableColumn id="12" xr3:uid="{C1BD7B8B-4749-F546-AC8D-C1DBF7ADBFE2}" uniqueName="12" name="Ship Mode" queryTableFieldId="12" dataDxfId="23"/>
    <tableColumn id="9" xr3:uid="{2C1B8BB2-1748-8A40-8D18-516474830209}" uniqueName="9" name="Product ID" queryTableFieldId="19"/>
    <tableColumn id="13" xr3:uid="{938974E3-7A46-E949-979A-A8F35BB0FA60}" uniqueName="13" name="Quantity" queryTableFieldId="20"/>
    <tableColumn id="14" xr3:uid="{0C29A641-B893-BB41-AE80-068C6CBDF0E0}" uniqueName="14" name="Discount Used" queryTableFieldId="14" dataDxfId="22"/>
    <tableColumn id="15" xr3:uid="{0E8052E0-7624-AA4E-A21D-1BD2BC1BB40B}" uniqueName="15" name="Discount Percent" queryTableFieldId="21"/>
    <tableColumn id="16" xr3:uid="{FB9F9876-42E8-1948-94F0-659CDB373A85}" uniqueName="16" name="IsHoliday" queryTableFieldId="22"/>
    <tableColumn id="10" xr3:uid="{8EBB4294-C036-4943-AFC3-D3198C7F2A8E}" uniqueName="10" name="Order Date" queryTableFieldId="10" dataDxfId="21"/>
    <tableColumn id="17" xr3:uid="{DEB44F0F-26D3-2E40-AA93-5BD2CD474995}" uniqueName="17" name="OrderLagDays"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DA25E-84A3-F648-87A5-831CD30EA8F8}" name="Table2" displayName="Table2" ref="S19:T23" totalsRowShown="0">
  <autoFilter ref="S19:T23" xr:uid="{85FDA25E-84A3-F648-87A5-831CD30EA8F8}"/>
  <tableColumns count="2">
    <tableColumn id="1" xr3:uid="{E4E4CBF1-1A80-4D4A-8A3D-4FF76D3AE83F}" name="Ship Mode"/>
    <tableColumn id="2" xr3:uid="{716CD8D4-C773-E74D-802E-0B60F102BC13}" name="Average Lag"/>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E1F6B2-0980-1645-A39F-14AEAF7D9B95}" name="CO_Combined4" displayName="CO_Combined4" ref="A1:Z395" tableType="queryTable" totalsRowShown="0">
  <tableColumns count="26">
    <tableColumn id="1" xr3:uid="{D46F6082-954B-6B4C-8017-3FBC726FF474}" uniqueName="1" name="Order ID" queryTableFieldId="1" dataDxfId="20"/>
    <tableColumn id="2" xr3:uid="{E5BB88C3-3498-7946-B723-850221D0C1E6}" uniqueName="2" name="Customer Code" queryTableFieldId="2" dataDxfId="19"/>
    <tableColumn id="3" xr3:uid="{2517CF31-4922-A04A-82A8-ACA21CBE8607}" uniqueName="3" name="Customer Name" queryTableFieldId="3" dataDxfId="18"/>
    <tableColumn id="4" xr3:uid="{58B86D14-836C-624F-9BE3-F80F79BBF761}" uniqueName="4" name="Segment" queryTableFieldId="4" dataDxfId="17"/>
    <tableColumn id="6" xr3:uid="{BA456920-9AE7-934F-9D26-2AE070C54506}" uniqueName="6" name="City" queryTableFieldId="6" dataDxfId="16"/>
    <tableColumn id="7" xr3:uid="{8F4CDB79-AEFB-9149-8F31-EE14869FE8C2}" uniqueName="7" name="State" queryTableFieldId="7" dataDxfId="15"/>
    <tableColumn id="8" xr3:uid="{FDF558EF-8336-F04C-B5E4-7C6952AF5AD4}" uniqueName="8" name="Postal Code" queryTableFieldId="8" dataDxfId="14"/>
    <tableColumn id="5" xr3:uid="{05680961-CF42-A54A-BB0E-9CBCD152CF05}" uniqueName="5" name="Region " queryTableFieldId="18"/>
    <tableColumn id="11" xr3:uid="{6A408901-D32D-C348-A7FF-077489FB7A6B}" uniqueName="11" name="Ship Date" queryTableFieldId="11" dataDxfId="13"/>
    <tableColumn id="12" xr3:uid="{4BFE4243-6959-0646-90F8-2ADDFFE1DB96}" uniqueName="12" name="Ship Mode" queryTableFieldId="12" dataDxfId="12"/>
    <tableColumn id="9" xr3:uid="{56CC70FA-5996-8644-978E-A8E2C8858213}" uniqueName="9" name="Product ID" queryTableFieldId="19"/>
    <tableColumn id="15" xr3:uid="{61BFF73E-0E30-8940-976C-5401BC6ECB05}" uniqueName="15" name="Discount Percent" queryTableFieldId="21"/>
    <tableColumn id="16" xr3:uid="{75BB0EDF-27DD-4D4D-873B-C28ECAE36BE3}" uniqueName="16" name="IsHoliday" queryTableFieldId="22"/>
    <tableColumn id="10" xr3:uid="{2A5D9469-23CF-1D4F-8237-808EDCC20344}" uniqueName="10" name="Order Date" queryTableFieldId="10" dataDxfId="11"/>
    <tableColumn id="17" xr3:uid="{17EA91C0-D48B-E145-AA81-8BFD715A24A2}" uniqueName="17" name="OrderLagDays" queryTableFieldId="17"/>
    <tableColumn id="18" xr3:uid="{AE8FA6FF-8634-7F46-94C0-76BDC2434637}" uniqueName="18" name="Consumer" queryTableFieldId="31" dataDxfId="10">
      <calculatedColumnFormula>IF($D2="CON",1,0)</calculatedColumnFormula>
    </tableColumn>
    <tableColumn id="19" xr3:uid="{30665EBF-089C-044D-9458-87E9949A6E9A}" uniqueName="19" name="Corporate" queryTableFieldId="32" dataDxfId="9">
      <calculatedColumnFormula>IF(CO_Combined4[[#This Row],[Segment]]="COR",1,0)</calculatedColumnFormula>
    </tableColumn>
    <tableColumn id="20" xr3:uid="{ADF87586-E0AE-AB45-A2BA-62E619E9A931}" uniqueName="20" name="East" queryTableFieldId="33" dataDxfId="8">
      <calculatedColumnFormula>IF(CO_Combined4[[#This Row],[Region ]]="E",1,0)</calculatedColumnFormula>
    </tableColumn>
    <tableColumn id="21" xr3:uid="{CD30F1F9-7585-A741-AF15-4D49BCB8217F}" uniqueName="21" name="West" queryTableFieldId="34" dataDxfId="7">
      <calculatedColumnFormula>IF(CO_Combined4[[#This Row],[Region ]]="W",1,0)</calculatedColumnFormula>
    </tableColumn>
    <tableColumn id="22" xr3:uid="{02618529-66FD-1148-9568-099BE61C7E9B}" uniqueName="22" name="South" queryTableFieldId="35" dataDxfId="6">
      <calculatedColumnFormula>IF(CO_Combined4[[#This Row],[Region ]]="S",1,0)</calculatedColumnFormula>
    </tableColumn>
    <tableColumn id="23" xr3:uid="{16A2CB78-47D6-DE48-996B-81A08024F431}" uniqueName="23" name="Same Day" queryTableFieldId="36" dataDxfId="5">
      <calculatedColumnFormula>IF(CO_Combined4[[#This Row],[Ship Mode]]=1,1,0)</calculatedColumnFormula>
    </tableColumn>
    <tableColumn id="24" xr3:uid="{60342829-6A8E-6544-84D8-8314F7C25D8A}" uniqueName="24" name="First Class" queryTableFieldId="37" dataDxfId="4">
      <calculatedColumnFormula>IF(CO_Combined4[[#This Row],[Ship Mode]]=2,1,0)</calculatedColumnFormula>
    </tableColumn>
    <tableColumn id="25" xr3:uid="{A4F7608E-50ED-784A-B87B-12F4A222587D}" uniqueName="25" name="Second Class" queryTableFieldId="38" dataDxfId="3">
      <calculatedColumnFormula>IF(CO_Combined4[[#This Row],[Ship Mode]]=3,1,0)</calculatedColumnFormula>
    </tableColumn>
    <tableColumn id="26" xr3:uid="{E42E0BAB-C338-6249-B81B-4E73A7BFF9F0}" uniqueName="26" name="Not Holiday" queryTableFieldId="39" dataDxfId="2">
      <calculatedColumnFormula>IF($M2=$M$2,1,0)</calculatedColumnFormula>
    </tableColumn>
    <tableColumn id="27" xr3:uid="{45C762FB-CD28-2140-AC2E-AB67F83B75F7}" uniqueName="27" name="Quantity" queryTableFieldId="41" dataDxfId="1"/>
    <tableColumn id="28" xr3:uid="{A7DB3733-9E26-194A-9F21-320A1B4F9549}" uniqueName="28" name="Discount Used" queryTableFieldId="4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9944-5637-834B-8535-88E586FA52D9}">
  <dimension ref="A3:J114"/>
  <sheetViews>
    <sheetView tabSelected="1" zoomScale="84" workbookViewId="0">
      <selection activeCell="L51" sqref="L51"/>
    </sheetView>
  </sheetViews>
  <sheetFormatPr baseColWidth="10" defaultRowHeight="15" x14ac:dyDescent="0.2"/>
  <cols>
    <col min="1" max="1" width="20.6640625" bestFit="1" customWidth="1"/>
    <col min="2" max="2" width="15.1640625" bestFit="1" customWidth="1"/>
    <col min="3" max="4" width="4.5" bestFit="1" customWidth="1"/>
    <col min="5" max="5" width="5" bestFit="1" customWidth="1"/>
    <col min="6" max="6" width="9.83203125" bestFit="1" customWidth="1"/>
    <col min="7" max="7" width="16.33203125" bestFit="1" customWidth="1"/>
    <col min="8" max="8" width="11.33203125" customWidth="1"/>
    <col min="9" max="9" width="16.33203125" bestFit="1" customWidth="1"/>
    <col min="10" max="10" width="27.1640625" bestFit="1" customWidth="1"/>
    <col min="11" max="11" width="12.33203125" bestFit="1" customWidth="1"/>
    <col min="12" max="12" width="13" bestFit="1" customWidth="1"/>
    <col min="13" max="13" width="12.1640625" bestFit="1" customWidth="1"/>
    <col min="14" max="14" width="9" bestFit="1" customWidth="1"/>
    <col min="16" max="16" width="10.33203125" bestFit="1" customWidth="1"/>
    <col min="17" max="17" width="14.83203125" bestFit="1" customWidth="1"/>
    <col min="18" max="18" width="14.33203125" bestFit="1" customWidth="1"/>
    <col min="19" max="19" width="9.33203125" bestFit="1" customWidth="1"/>
    <col min="20" max="20" width="8.83203125" bestFit="1" customWidth="1"/>
    <col min="21" max="21" width="15.83203125" bestFit="1" customWidth="1"/>
    <col min="22" max="22" width="10.33203125" bestFit="1" customWidth="1"/>
    <col min="23" max="23" width="9.83203125" bestFit="1" customWidth="1"/>
    <col min="24" max="24" width="10.33203125" bestFit="1" customWidth="1"/>
    <col min="25" max="25" width="10.6640625" bestFit="1" customWidth="1"/>
    <col min="26" max="26" width="11.83203125" bestFit="1" customWidth="1"/>
    <col min="28" max="28" width="12.1640625" bestFit="1" customWidth="1"/>
    <col min="29" max="29" width="10.6640625" bestFit="1" customWidth="1"/>
    <col min="30" max="30" width="11.33203125" bestFit="1" customWidth="1"/>
    <col min="31" max="31" width="10.5" bestFit="1" customWidth="1"/>
    <col min="32" max="32" width="11.1640625" bestFit="1" customWidth="1"/>
    <col min="33" max="33" width="10.5" bestFit="1" customWidth="1"/>
    <col min="34" max="34" width="9.1640625" bestFit="1" customWidth="1"/>
    <col min="35" max="35" width="9" bestFit="1" customWidth="1"/>
    <col min="36" max="36" width="12.83203125" bestFit="1" customWidth="1"/>
    <col min="38" max="38" width="9.83203125" bestFit="1" customWidth="1"/>
    <col min="39" max="39" width="7.1640625" bestFit="1" customWidth="1"/>
    <col min="40" max="40" width="10.5" bestFit="1" customWidth="1"/>
    <col min="41" max="41" width="10.1640625" bestFit="1" customWidth="1"/>
    <col min="42" max="42" width="12.5" bestFit="1" customWidth="1"/>
    <col min="43" max="43" width="10.1640625" bestFit="1" customWidth="1"/>
    <col min="44" max="44" width="8" bestFit="1" customWidth="1"/>
    <col min="45" max="45" width="8.6640625" bestFit="1" customWidth="1"/>
    <col min="46" max="46" width="13.6640625" bestFit="1" customWidth="1"/>
    <col min="47" max="47" width="10.1640625" bestFit="1" customWidth="1"/>
    <col min="48" max="48" width="13.33203125" bestFit="1" customWidth="1"/>
    <col min="49" max="49" width="10.1640625" bestFit="1" customWidth="1"/>
    <col min="50" max="50" width="10.5" bestFit="1" customWidth="1"/>
    <col min="51" max="51" width="15.83203125" bestFit="1" customWidth="1"/>
    <col min="52" max="52" width="11.1640625" bestFit="1" customWidth="1"/>
    <col min="53" max="53" width="8.33203125" bestFit="1" customWidth="1"/>
    <col min="54" max="54" width="12.33203125" bestFit="1" customWidth="1"/>
    <col min="55" max="55" width="11.83203125" bestFit="1" customWidth="1"/>
    <col min="56" max="56" width="10.33203125" bestFit="1" customWidth="1"/>
    <col min="57" max="57" width="17.33203125" bestFit="1" customWidth="1"/>
    <col min="58" max="58" width="13.83203125" bestFit="1" customWidth="1"/>
    <col min="59" max="59" width="14" bestFit="1" customWidth="1"/>
    <col min="60" max="60" width="14.33203125" bestFit="1" customWidth="1"/>
    <col min="61" max="61" width="18" bestFit="1" customWidth="1"/>
    <col min="62" max="62" width="9.1640625" bestFit="1" customWidth="1"/>
    <col min="63" max="63" width="11.83203125" bestFit="1" customWidth="1"/>
    <col min="64" max="64" width="7.83203125" bestFit="1" customWidth="1"/>
    <col min="65" max="65" width="8.83203125" bestFit="1" customWidth="1"/>
    <col min="66" max="66" width="7.83203125" bestFit="1" customWidth="1"/>
    <col min="67" max="67" width="11.1640625" bestFit="1" customWidth="1"/>
    <col min="68" max="68" width="9" bestFit="1" customWidth="1"/>
    <col min="69" max="69" width="11.33203125" bestFit="1" customWidth="1"/>
    <col min="70" max="70" width="10.6640625" bestFit="1" customWidth="1"/>
    <col min="71" max="71" width="10.33203125" bestFit="1" customWidth="1"/>
    <col min="72" max="72" width="8.1640625" bestFit="1" customWidth="1"/>
    <col min="73" max="73" width="17.1640625" bestFit="1" customWidth="1"/>
    <col min="74" max="74" width="14.33203125" bestFit="1" customWidth="1"/>
    <col min="75" max="75" width="12" bestFit="1" customWidth="1"/>
    <col min="76" max="76" width="8.83203125" bestFit="1" customWidth="1"/>
    <col min="77" max="77" width="13" bestFit="1" customWidth="1"/>
    <col min="78" max="78" width="10.5" bestFit="1" customWidth="1"/>
    <col min="79" max="79" width="11.83203125" bestFit="1" customWidth="1"/>
    <col min="80" max="80" width="9.83203125" bestFit="1" customWidth="1"/>
    <col min="81" max="81" width="12.1640625" bestFit="1" customWidth="1"/>
    <col min="82" max="82" width="11" bestFit="1" customWidth="1"/>
    <col min="83" max="83" width="13.5" bestFit="1" customWidth="1"/>
    <col min="84" max="84" width="9" bestFit="1" customWidth="1"/>
    <col min="86" max="86" width="11.33203125" bestFit="1" customWidth="1"/>
    <col min="87" max="87" width="11.5" bestFit="1" customWidth="1"/>
    <col min="88" max="88" width="10.5" bestFit="1" customWidth="1"/>
    <col min="89" max="89" width="11.83203125" bestFit="1" customWidth="1"/>
    <col min="90" max="90" width="13.33203125" bestFit="1" customWidth="1"/>
    <col min="91" max="91" width="11.33203125" bestFit="1" customWidth="1"/>
    <col min="92" max="92" width="14" bestFit="1" customWidth="1"/>
    <col min="93" max="93" width="13" bestFit="1" customWidth="1"/>
    <col min="94" max="94" width="12.5" bestFit="1" customWidth="1"/>
    <col min="95" max="95" width="14" bestFit="1" customWidth="1"/>
    <col min="97" max="97" width="9.1640625" bestFit="1" customWidth="1"/>
    <col min="98" max="98" width="11.5" bestFit="1" customWidth="1"/>
    <col min="99" max="99" width="9.5" bestFit="1" customWidth="1"/>
    <col min="100" max="100" width="14.1640625" bestFit="1" customWidth="1"/>
    <col min="101" max="101" width="11.33203125" bestFit="1" customWidth="1"/>
    <col min="102" max="102" width="10.33203125" bestFit="1" customWidth="1"/>
    <col min="103" max="103" width="11.83203125" bestFit="1" customWidth="1"/>
    <col min="104" max="104" width="8.83203125" bestFit="1" customWidth="1"/>
    <col min="105" max="105" width="9.1640625" bestFit="1" customWidth="1"/>
    <col min="106" max="106" width="7.83203125" bestFit="1" customWidth="1"/>
    <col min="107" max="107" width="9.1640625" bestFit="1" customWidth="1"/>
    <col min="108" max="108" width="13.33203125" bestFit="1" customWidth="1"/>
    <col min="109" max="109" width="8.83203125" bestFit="1" customWidth="1"/>
    <col min="110" max="110" width="8.5" bestFit="1" customWidth="1"/>
    <col min="111" max="111" width="7" bestFit="1" customWidth="1"/>
    <col min="112" max="112" width="10.1640625" bestFit="1" customWidth="1"/>
    <col min="113" max="113" width="12.6640625" bestFit="1" customWidth="1"/>
    <col min="114" max="114" width="12.83203125" bestFit="1" customWidth="1"/>
    <col min="115" max="115" width="11.83203125" bestFit="1" customWidth="1"/>
    <col min="116" max="116" width="15.1640625" bestFit="1" customWidth="1"/>
    <col min="117" max="117" width="11.5" bestFit="1" customWidth="1"/>
    <col min="118" max="118" width="12.33203125" bestFit="1" customWidth="1"/>
    <col min="119" max="119" width="14.33203125" bestFit="1" customWidth="1"/>
    <col min="121" max="121" width="11.83203125" bestFit="1" customWidth="1"/>
    <col min="122" max="122" width="13.6640625" bestFit="1" customWidth="1"/>
    <col min="123" max="123" width="14.5" bestFit="1" customWidth="1"/>
    <col min="124" max="124" width="10" bestFit="1" customWidth="1"/>
    <col min="125" max="125" width="9.83203125" bestFit="1" customWidth="1"/>
    <col min="126" max="126" width="9" bestFit="1" customWidth="1"/>
    <col min="127" max="127" width="12.33203125" bestFit="1" customWidth="1"/>
    <col min="128" max="128" width="10.33203125" bestFit="1" customWidth="1"/>
    <col min="130" max="130" width="10.1640625" bestFit="1" customWidth="1"/>
    <col min="131" max="131" width="11.1640625" bestFit="1" customWidth="1"/>
    <col min="132" max="132" width="10.33203125" bestFit="1" customWidth="1"/>
    <col min="133" max="133" width="12.1640625" bestFit="1" customWidth="1"/>
    <col min="134" max="134" width="10" bestFit="1" customWidth="1"/>
    <col min="135" max="135" width="14.33203125" bestFit="1" customWidth="1"/>
    <col min="136" max="136" width="5.83203125" bestFit="1" customWidth="1"/>
    <col min="137" max="137" width="8.5" bestFit="1" customWidth="1"/>
    <col min="138" max="138" width="11.1640625" bestFit="1" customWidth="1"/>
    <col min="139" max="139" width="11" bestFit="1" customWidth="1"/>
    <col min="140" max="140" width="10.5" bestFit="1" customWidth="1"/>
    <col min="141" max="141" width="11.1640625" bestFit="1" customWidth="1"/>
    <col min="142" max="142" width="11" bestFit="1" customWidth="1"/>
    <col min="143" max="143" width="10" bestFit="1" customWidth="1"/>
    <col min="144" max="144" width="7.1640625" bestFit="1" customWidth="1"/>
    <col min="145" max="145" width="6.33203125" bestFit="1" customWidth="1"/>
    <col min="146" max="146" width="7.83203125" bestFit="1" customWidth="1"/>
    <col min="147" max="147" width="7.33203125" bestFit="1" customWidth="1"/>
    <col min="148" max="148" width="9" bestFit="1" customWidth="1"/>
    <col min="149" max="149" width="12.6640625" bestFit="1" customWidth="1"/>
    <col min="150" max="150" width="9.6640625" bestFit="1" customWidth="1"/>
    <col min="151" max="151" width="10.1640625" bestFit="1" customWidth="1"/>
    <col min="152" max="152" width="9.5" bestFit="1" customWidth="1"/>
    <col min="153" max="153" width="9" bestFit="1" customWidth="1"/>
    <col min="154" max="154" width="9.6640625" bestFit="1" customWidth="1"/>
    <col min="155" max="155" width="10.1640625" bestFit="1" customWidth="1"/>
    <col min="156" max="156" width="9.6640625" bestFit="1" customWidth="1"/>
    <col min="157" max="157" width="12.6640625" bestFit="1" customWidth="1"/>
    <col min="158" max="158" width="11.33203125" bestFit="1" customWidth="1"/>
    <col min="159" max="159" width="9.83203125" bestFit="1" customWidth="1"/>
    <col min="160" max="160" width="10.33203125" bestFit="1" customWidth="1"/>
    <col min="161" max="161" width="11.6640625" bestFit="1" customWidth="1"/>
    <col min="162" max="162" width="12" bestFit="1" customWidth="1"/>
    <col min="164" max="164" width="11" bestFit="1" customWidth="1"/>
    <col min="165" max="165" width="13.83203125" bestFit="1" customWidth="1"/>
    <col min="166" max="166" width="9.83203125" bestFit="1" customWidth="1"/>
    <col min="167" max="167" width="12" bestFit="1" customWidth="1"/>
    <col min="168" max="168" width="13" bestFit="1" customWidth="1"/>
    <col min="169" max="169" width="11.5" bestFit="1" customWidth="1"/>
    <col min="170" max="170" width="13.6640625" bestFit="1" customWidth="1"/>
    <col min="171" max="171" width="14" bestFit="1" customWidth="1"/>
    <col min="172" max="172" width="15.5" bestFit="1" customWidth="1"/>
    <col min="173" max="173" width="16.6640625" bestFit="1" customWidth="1"/>
    <col min="174" max="174" width="13.1640625" bestFit="1" customWidth="1"/>
    <col min="175" max="175" width="14.5" bestFit="1" customWidth="1"/>
    <col min="176" max="176" width="16" bestFit="1" customWidth="1"/>
    <col min="177" max="177" width="13.5" bestFit="1" customWidth="1"/>
    <col min="178" max="178" width="11.6640625" bestFit="1" customWidth="1"/>
    <col min="179" max="179" width="13.5" bestFit="1" customWidth="1"/>
    <col min="180" max="180" width="12.83203125" bestFit="1" customWidth="1"/>
    <col min="181" max="181" width="11.6640625" bestFit="1" customWidth="1"/>
    <col min="182" max="182" width="9.6640625" bestFit="1" customWidth="1"/>
    <col min="183" max="183" width="15.83203125" bestFit="1" customWidth="1"/>
    <col min="184" max="185" width="12" bestFit="1" customWidth="1"/>
    <col min="186" max="186" width="11" bestFit="1" customWidth="1"/>
    <col min="187" max="187" width="8.83203125" bestFit="1" customWidth="1"/>
    <col min="189" max="189" width="10" bestFit="1" customWidth="1"/>
    <col min="190" max="190" width="9.6640625" bestFit="1" customWidth="1"/>
    <col min="191" max="191" width="10.33203125" bestFit="1" customWidth="1"/>
    <col min="192" max="192" width="11.83203125" bestFit="1" customWidth="1"/>
    <col min="193" max="193" width="13.5" bestFit="1" customWidth="1"/>
    <col min="194" max="194" width="12.5" bestFit="1" customWidth="1"/>
    <col min="195" max="195" width="12.6640625" bestFit="1" customWidth="1"/>
    <col min="196" max="196" width="13.83203125" bestFit="1" customWidth="1"/>
    <col min="197" max="197" width="9.83203125" bestFit="1" customWidth="1"/>
    <col min="198" max="198" width="11.83203125" bestFit="1" customWidth="1"/>
    <col min="200" max="200" width="11.6640625" bestFit="1" customWidth="1"/>
    <col min="201" max="201" width="11.33203125" bestFit="1" customWidth="1"/>
    <col min="203" max="203" width="8.83203125" bestFit="1" customWidth="1"/>
    <col min="204" max="204" width="18.1640625" bestFit="1" customWidth="1"/>
    <col min="205" max="205" width="11" bestFit="1" customWidth="1"/>
    <col min="206" max="206" width="13.33203125" bestFit="1" customWidth="1"/>
    <col min="207" max="207" width="9.5" bestFit="1" customWidth="1"/>
    <col min="208" max="208" width="11.1640625" bestFit="1" customWidth="1"/>
    <col min="209" max="209" width="9.6640625" bestFit="1" customWidth="1"/>
    <col min="210" max="210" width="10" bestFit="1" customWidth="1"/>
  </cols>
  <sheetData>
    <row r="3" spans="1:5" x14ac:dyDescent="0.2">
      <c r="A3" s="3" t="s">
        <v>2329</v>
      </c>
      <c r="B3" s="3" t="s">
        <v>2332</v>
      </c>
    </row>
    <row r="4" spans="1:5" x14ac:dyDescent="0.2">
      <c r="A4" s="14" t="s">
        <v>2</v>
      </c>
      <c r="B4" s="15" t="s">
        <v>9</v>
      </c>
      <c r="C4" s="15" t="s">
        <v>150</v>
      </c>
      <c r="D4" s="15" t="s">
        <v>90</v>
      </c>
      <c r="E4" s="15" t="s">
        <v>2291</v>
      </c>
    </row>
    <row r="5" spans="1:5" x14ac:dyDescent="0.2">
      <c r="A5" s="16" t="s">
        <v>216</v>
      </c>
      <c r="B5" s="29">
        <v>1</v>
      </c>
      <c r="C5" s="29"/>
      <c r="D5" s="29"/>
      <c r="E5" s="29">
        <v>1</v>
      </c>
    </row>
    <row r="6" spans="1:5" x14ac:dyDescent="0.2">
      <c r="A6" s="16" t="s">
        <v>260</v>
      </c>
      <c r="B6" s="29">
        <v>1</v>
      </c>
      <c r="C6" s="29"/>
      <c r="D6" s="29"/>
      <c r="E6" s="29">
        <v>1</v>
      </c>
    </row>
    <row r="7" spans="1:5" x14ac:dyDescent="0.2">
      <c r="A7" s="16" t="s">
        <v>287</v>
      </c>
      <c r="B7" s="29"/>
      <c r="C7" s="29">
        <v>1</v>
      </c>
      <c r="D7" s="29"/>
      <c r="E7" s="29">
        <v>1</v>
      </c>
    </row>
    <row r="8" spans="1:5" x14ac:dyDescent="0.2">
      <c r="A8" s="16" t="s">
        <v>87</v>
      </c>
      <c r="B8" s="29">
        <v>1</v>
      </c>
      <c r="C8" s="29">
        <v>1</v>
      </c>
      <c r="D8" s="29"/>
      <c r="E8" s="29">
        <v>2</v>
      </c>
    </row>
    <row r="9" spans="1:5" x14ac:dyDescent="0.2">
      <c r="A9" s="16" t="s">
        <v>45</v>
      </c>
      <c r="B9" s="29">
        <v>1</v>
      </c>
      <c r="C9" s="29"/>
      <c r="D9" s="29"/>
      <c r="E9" s="29">
        <v>1</v>
      </c>
    </row>
    <row r="10" spans="1:5" x14ac:dyDescent="0.2">
      <c r="A10" s="16" t="s">
        <v>298</v>
      </c>
      <c r="B10" s="29">
        <v>1</v>
      </c>
      <c r="C10" s="29"/>
      <c r="D10" s="29"/>
      <c r="E10" s="29">
        <v>1</v>
      </c>
    </row>
    <row r="11" spans="1:5" x14ac:dyDescent="0.2">
      <c r="A11" s="16" t="s">
        <v>371</v>
      </c>
      <c r="B11" s="29"/>
      <c r="C11" s="29"/>
      <c r="D11" s="29">
        <v>1</v>
      </c>
      <c r="E11" s="29">
        <v>1</v>
      </c>
    </row>
    <row r="12" spans="1:5" x14ac:dyDescent="0.2">
      <c r="A12" s="16" t="s">
        <v>329</v>
      </c>
      <c r="B12" s="29"/>
      <c r="C12" s="29">
        <v>1</v>
      </c>
      <c r="D12" s="29"/>
      <c r="E12" s="29">
        <v>1</v>
      </c>
    </row>
    <row r="13" spans="1:5" x14ac:dyDescent="0.2">
      <c r="A13" s="16" t="s">
        <v>369</v>
      </c>
      <c r="B13" s="29">
        <v>1</v>
      </c>
      <c r="C13" s="29"/>
      <c r="D13" s="29"/>
      <c r="E13" s="29">
        <v>1</v>
      </c>
    </row>
    <row r="14" spans="1:5" x14ac:dyDescent="0.2">
      <c r="A14" s="16" t="s">
        <v>282</v>
      </c>
      <c r="B14" s="29"/>
      <c r="C14" s="29">
        <v>1</v>
      </c>
      <c r="D14" s="29"/>
      <c r="E14" s="29">
        <v>1</v>
      </c>
    </row>
    <row r="15" spans="1:5" x14ac:dyDescent="0.2">
      <c r="A15" s="16" t="s">
        <v>171</v>
      </c>
      <c r="B15" s="29"/>
      <c r="C15" s="29">
        <v>1</v>
      </c>
      <c r="D15" s="29"/>
      <c r="E15" s="29">
        <v>1</v>
      </c>
    </row>
    <row r="16" spans="1:5" x14ac:dyDescent="0.2">
      <c r="A16" s="16" t="s">
        <v>255</v>
      </c>
      <c r="B16" s="29"/>
      <c r="C16" s="29">
        <v>1</v>
      </c>
      <c r="D16" s="29"/>
      <c r="E16" s="29">
        <v>1</v>
      </c>
    </row>
    <row r="17" spans="1:5" x14ac:dyDescent="0.2">
      <c r="A17" s="16" t="s">
        <v>280</v>
      </c>
      <c r="B17" s="29"/>
      <c r="C17" s="29">
        <v>1</v>
      </c>
      <c r="D17" s="29"/>
      <c r="E17" s="29">
        <v>1</v>
      </c>
    </row>
    <row r="18" spans="1:5" x14ac:dyDescent="0.2">
      <c r="A18" s="16" t="s">
        <v>123</v>
      </c>
      <c r="B18" s="29">
        <v>1</v>
      </c>
      <c r="C18" s="29"/>
      <c r="D18" s="29"/>
      <c r="E18" s="29">
        <v>1</v>
      </c>
    </row>
    <row r="19" spans="1:5" x14ac:dyDescent="0.2">
      <c r="A19" s="16" t="s">
        <v>358</v>
      </c>
      <c r="B19" s="29"/>
      <c r="C19" s="29"/>
      <c r="D19" s="29">
        <v>1</v>
      </c>
      <c r="E19" s="29">
        <v>1</v>
      </c>
    </row>
    <row r="20" spans="1:5" x14ac:dyDescent="0.2">
      <c r="A20" s="16" t="s">
        <v>258</v>
      </c>
      <c r="B20" s="29">
        <v>2</v>
      </c>
      <c r="C20" s="29"/>
      <c r="D20" s="29"/>
      <c r="E20" s="29">
        <v>2</v>
      </c>
    </row>
    <row r="21" spans="1:5" x14ac:dyDescent="0.2">
      <c r="A21" s="16" t="s">
        <v>367</v>
      </c>
      <c r="B21" s="29">
        <v>1</v>
      </c>
      <c r="C21" s="29"/>
      <c r="D21" s="29"/>
      <c r="E21" s="29">
        <v>1</v>
      </c>
    </row>
    <row r="22" spans="1:5" x14ac:dyDescent="0.2">
      <c r="A22" s="16" t="s">
        <v>141</v>
      </c>
      <c r="B22" s="29"/>
      <c r="C22" s="29"/>
      <c r="D22" s="29">
        <v>1</v>
      </c>
      <c r="E22" s="29">
        <v>1</v>
      </c>
    </row>
    <row r="23" spans="1:5" x14ac:dyDescent="0.2">
      <c r="A23" s="16" t="s">
        <v>128</v>
      </c>
      <c r="B23" s="29">
        <v>1</v>
      </c>
      <c r="C23" s="29"/>
      <c r="D23" s="29"/>
      <c r="E23" s="29">
        <v>1</v>
      </c>
    </row>
    <row r="24" spans="1:5" x14ac:dyDescent="0.2">
      <c r="A24" s="16" t="s">
        <v>66</v>
      </c>
      <c r="B24" s="29">
        <v>1</v>
      </c>
      <c r="C24" s="29">
        <v>1</v>
      </c>
      <c r="D24" s="29"/>
      <c r="E24" s="29">
        <v>2</v>
      </c>
    </row>
    <row r="25" spans="1:5" x14ac:dyDescent="0.2">
      <c r="A25" s="17" t="s">
        <v>153</v>
      </c>
      <c r="B25" s="30">
        <v>4</v>
      </c>
      <c r="C25" s="30">
        <v>1</v>
      </c>
      <c r="D25" s="30">
        <v>1</v>
      </c>
      <c r="E25" s="30">
        <v>6</v>
      </c>
    </row>
    <row r="26" spans="1:5" x14ac:dyDescent="0.2">
      <c r="A26" s="16" t="s">
        <v>205</v>
      </c>
      <c r="B26" s="29">
        <v>1</v>
      </c>
      <c r="C26" s="29"/>
      <c r="D26" s="29"/>
      <c r="E26" s="29">
        <v>1</v>
      </c>
    </row>
    <row r="27" spans="1:5" x14ac:dyDescent="0.2">
      <c r="A27" s="16" t="s">
        <v>349</v>
      </c>
      <c r="B27" s="29">
        <v>1</v>
      </c>
      <c r="C27" s="29"/>
      <c r="D27" s="29"/>
      <c r="E27" s="29">
        <v>1</v>
      </c>
    </row>
    <row r="28" spans="1:5" x14ac:dyDescent="0.2">
      <c r="A28" s="16" t="s">
        <v>188</v>
      </c>
      <c r="B28" s="29">
        <v>1</v>
      </c>
      <c r="C28" s="29"/>
      <c r="D28" s="29"/>
      <c r="E28" s="29">
        <v>1</v>
      </c>
    </row>
    <row r="29" spans="1:5" x14ac:dyDescent="0.2">
      <c r="A29" s="16" t="s">
        <v>218</v>
      </c>
      <c r="B29" s="29">
        <v>2</v>
      </c>
      <c r="C29" s="29"/>
      <c r="D29" s="29"/>
      <c r="E29" s="29">
        <v>2</v>
      </c>
    </row>
    <row r="30" spans="1:5" x14ac:dyDescent="0.2">
      <c r="A30" s="16" t="s">
        <v>62</v>
      </c>
      <c r="B30" s="29">
        <v>1</v>
      </c>
      <c r="C30" s="29"/>
      <c r="D30" s="29">
        <v>1</v>
      </c>
      <c r="E30" s="29">
        <v>2</v>
      </c>
    </row>
    <row r="31" spans="1:5" x14ac:dyDescent="0.2">
      <c r="A31" s="16" t="s">
        <v>246</v>
      </c>
      <c r="B31" s="29"/>
      <c r="C31" s="29">
        <v>1</v>
      </c>
      <c r="D31" s="29">
        <v>1</v>
      </c>
      <c r="E31" s="29">
        <v>2</v>
      </c>
    </row>
    <row r="32" spans="1:5" x14ac:dyDescent="0.2">
      <c r="A32" s="16" t="s">
        <v>132</v>
      </c>
      <c r="B32" s="29">
        <v>3</v>
      </c>
      <c r="C32" s="29"/>
      <c r="D32" s="29">
        <v>1</v>
      </c>
      <c r="E32" s="29">
        <v>4</v>
      </c>
    </row>
    <row r="33" spans="1:10" x14ac:dyDescent="0.2">
      <c r="A33" s="16" t="s">
        <v>318</v>
      </c>
      <c r="B33" s="29">
        <v>1</v>
      </c>
      <c r="C33" s="29"/>
      <c r="D33" s="29"/>
      <c r="E33" s="29">
        <v>1</v>
      </c>
    </row>
    <row r="34" spans="1:10" x14ac:dyDescent="0.2">
      <c r="A34" s="16" t="s">
        <v>100</v>
      </c>
      <c r="B34" s="29"/>
      <c r="C34" s="29"/>
      <c r="D34" s="29">
        <v>1</v>
      </c>
      <c r="E34" s="29">
        <v>1</v>
      </c>
    </row>
    <row r="35" spans="1:10" x14ac:dyDescent="0.2">
      <c r="A35" s="16" t="s">
        <v>302</v>
      </c>
      <c r="B35" s="29">
        <v>1</v>
      </c>
      <c r="C35" s="29"/>
      <c r="D35" s="29"/>
      <c r="E35" s="29">
        <v>1</v>
      </c>
      <c r="H35" s="27" t="s">
        <v>2272</v>
      </c>
      <c r="I35" s="28" t="s">
        <v>2273</v>
      </c>
    </row>
    <row r="36" spans="1:10" x14ac:dyDescent="0.2">
      <c r="A36" s="16" t="s">
        <v>118</v>
      </c>
      <c r="B36" s="29">
        <v>2</v>
      </c>
      <c r="C36" s="29">
        <v>2</v>
      </c>
      <c r="D36" s="29"/>
      <c r="E36" s="29">
        <v>4</v>
      </c>
      <c r="H36" s="19" t="s">
        <v>9</v>
      </c>
      <c r="I36" s="20" t="s">
        <v>2274</v>
      </c>
    </row>
    <row r="37" spans="1:10" x14ac:dyDescent="0.2">
      <c r="A37" s="16" t="s">
        <v>232</v>
      </c>
      <c r="B37" s="29">
        <v>1</v>
      </c>
      <c r="C37" s="29"/>
      <c r="D37" s="29"/>
      <c r="E37" s="29">
        <v>1</v>
      </c>
      <c r="H37" s="22" t="s">
        <v>150</v>
      </c>
      <c r="I37" s="23" t="s">
        <v>2275</v>
      </c>
    </row>
    <row r="38" spans="1:10" x14ac:dyDescent="0.2">
      <c r="A38" s="16" t="s">
        <v>183</v>
      </c>
      <c r="B38" s="29"/>
      <c r="C38" s="29"/>
      <c r="D38" s="29">
        <v>1</v>
      </c>
      <c r="E38" s="29">
        <v>1</v>
      </c>
      <c r="H38" s="19" t="s">
        <v>90</v>
      </c>
      <c r="I38" s="20" t="s">
        <v>2276</v>
      </c>
    </row>
    <row r="39" spans="1:10" x14ac:dyDescent="0.2">
      <c r="A39" s="16" t="s">
        <v>314</v>
      </c>
      <c r="B39" s="29">
        <v>1</v>
      </c>
      <c r="C39" s="29"/>
      <c r="D39" s="29"/>
      <c r="E39" s="29">
        <v>1</v>
      </c>
    </row>
    <row r="40" spans="1:10" x14ac:dyDescent="0.2">
      <c r="A40" s="16" t="s">
        <v>309</v>
      </c>
      <c r="B40" s="29"/>
      <c r="C40" s="29"/>
      <c r="D40" s="29">
        <v>1</v>
      </c>
      <c r="E40" s="29">
        <v>1</v>
      </c>
      <c r="H40" s="24" t="s">
        <v>1616</v>
      </c>
      <c r="I40" s="25" t="s">
        <v>5</v>
      </c>
      <c r="J40" s="26" t="s">
        <v>1617</v>
      </c>
    </row>
    <row r="41" spans="1:10" x14ac:dyDescent="0.2">
      <c r="A41" s="16" t="s">
        <v>322</v>
      </c>
      <c r="B41" s="29"/>
      <c r="C41" s="29">
        <v>1</v>
      </c>
      <c r="D41" s="29"/>
      <c r="E41" s="29">
        <v>1</v>
      </c>
      <c r="H41" s="18" t="s">
        <v>12</v>
      </c>
      <c r="I41" s="19" t="s">
        <v>1618</v>
      </c>
      <c r="J41" s="20" t="s">
        <v>1619</v>
      </c>
    </row>
    <row r="42" spans="1:10" x14ac:dyDescent="0.2">
      <c r="A42" s="16" t="s">
        <v>72</v>
      </c>
      <c r="B42" s="29">
        <v>1</v>
      </c>
      <c r="C42" s="29"/>
      <c r="D42" s="29"/>
      <c r="E42" s="29">
        <v>1</v>
      </c>
      <c r="H42" s="21" t="s">
        <v>27</v>
      </c>
      <c r="I42" s="22" t="s">
        <v>1620</v>
      </c>
      <c r="J42" s="23" t="s">
        <v>1621</v>
      </c>
    </row>
    <row r="43" spans="1:10" x14ac:dyDescent="0.2">
      <c r="A43" s="16" t="s">
        <v>276</v>
      </c>
      <c r="B43" s="29">
        <v>1</v>
      </c>
      <c r="C43" s="29"/>
      <c r="D43" s="29"/>
      <c r="E43" s="29">
        <v>1</v>
      </c>
      <c r="H43" s="18" t="s">
        <v>1622</v>
      </c>
      <c r="I43" s="19" t="s">
        <v>1623</v>
      </c>
      <c r="J43" s="20" t="s">
        <v>1624</v>
      </c>
    </row>
    <row r="44" spans="1:10" x14ac:dyDescent="0.2">
      <c r="A44" s="16" t="s">
        <v>295</v>
      </c>
      <c r="B44" s="29"/>
      <c r="C44" s="29">
        <v>1</v>
      </c>
      <c r="D44" s="29"/>
      <c r="E44" s="29">
        <v>1</v>
      </c>
      <c r="H44" s="21" t="s">
        <v>47</v>
      </c>
      <c r="I44" s="22" t="s">
        <v>1625</v>
      </c>
      <c r="J44" s="23" t="s">
        <v>1626</v>
      </c>
    </row>
    <row r="45" spans="1:10" x14ac:dyDescent="0.2">
      <c r="A45" s="16" t="s">
        <v>178</v>
      </c>
      <c r="B45" s="29"/>
      <c r="C45" s="29"/>
      <c r="D45" s="29">
        <v>1</v>
      </c>
      <c r="E45" s="29">
        <v>1</v>
      </c>
      <c r="H45" s="18" t="s">
        <v>18</v>
      </c>
      <c r="I45" s="19" t="s">
        <v>1627</v>
      </c>
      <c r="J45" s="20" t="s">
        <v>1628</v>
      </c>
    </row>
    <row r="46" spans="1:10" x14ac:dyDescent="0.2">
      <c r="A46" s="16" t="s">
        <v>103</v>
      </c>
      <c r="B46" s="29"/>
      <c r="C46" s="29"/>
      <c r="D46" s="29">
        <v>1</v>
      </c>
      <c r="E46" s="29">
        <v>1</v>
      </c>
    </row>
    <row r="47" spans="1:10" x14ac:dyDescent="0.2">
      <c r="A47" s="16" t="s">
        <v>222</v>
      </c>
      <c r="B47" s="29"/>
      <c r="C47" s="29"/>
      <c r="D47" s="29">
        <v>1</v>
      </c>
      <c r="E47" s="29">
        <v>1</v>
      </c>
    </row>
    <row r="48" spans="1:10" x14ac:dyDescent="0.2">
      <c r="A48" s="16" t="s">
        <v>374</v>
      </c>
      <c r="B48" s="29"/>
      <c r="C48" s="29"/>
      <c r="D48" s="29">
        <v>1</v>
      </c>
      <c r="E48" s="29">
        <v>1</v>
      </c>
    </row>
    <row r="49" spans="1:5" x14ac:dyDescent="0.2">
      <c r="A49" s="16" t="s">
        <v>108</v>
      </c>
      <c r="B49" s="29">
        <v>2</v>
      </c>
      <c r="C49" s="29">
        <v>1</v>
      </c>
      <c r="D49" s="29"/>
      <c r="E49" s="29">
        <v>3</v>
      </c>
    </row>
    <row r="50" spans="1:5" x14ac:dyDescent="0.2">
      <c r="A50" s="16" t="s">
        <v>194</v>
      </c>
      <c r="B50" s="29">
        <v>1</v>
      </c>
      <c r="C50" s="29"/>
      <c r="D50" s="29"/>
      <c r="E50" s="29">
        <v>1</v>
      </c>
    </row>
    <row r="51" spans="1:5" x14ac:dyDescent="0.2">
      <c r="A51" s="17" t="s">
        <v>121</v>
      </c>
      <c r="B51" s="29">
        <v>2</v>
      </c>
      <c r="C51" s="29">
        <v>4</v>
      </c>
      <c r="D51" s="29">
        <v>1</v>
      </c>
      <c r="E51" s="29">
        <v>7</v>
      </c>
    </row>
    <row r="52" spans="1:5" x14ac:dyDescent="0.2">
      <c r="A52" s="16" t="s">
        <v>112</v>
      </c>
      <c r="B52" s="29">
        <v>1</v>
      </c>
      <c r="C52" s="29"/>
      <c r="D52" s="29"/>
      <c r="E52" s="29">
        <v>1</v>
      </c>
    </row>
    <row r="53" spans="1:5" x14ac:dyDescent="0.2">
      <c r="A53" s="16" t="s">
        <v>339</v>
      </c>
      <c r="B53" s="29">
        <v>1</v>
      </c>
      <c r="C53" s="29"/>
      <c r="D53" s="29"/>
      <c r="E53" s="29">
        <v>1</v>
      </c>
    </row>
    <row r="54" spans="1:5" x14ac:dyDescent="0.2">
      <c r="A54" s="16" t="s">
        <v>145</v>
      </c>
      <c r="B54" s="29">
        <v>1</v>
      </c>
      <c r="C54" s="29"/>
      <c r="D54" s="29">
        <v>1</v>
      </c>
      <c r="E54" s="29">
        <v>2</v>
      </c>
    </row>
    <row r="55" spans="1:5" x14ac:dyDescent="0.2">
      <c r="A55" s="16" t="s">
        <v>156</v>
      </c>
      <c r="B55" s="29">
        <v>1</v>
      </c>
      <c r="C55" s="29">
        <v>2</v>
      </c>
      <c r="D55" s="29"/>
      <c r="E55" s="29">
        <v>3</v>
      </c>
    </row>
    <row r="56" spans="1:5" x14ac:dyDescent="0.2">
      <c r="A56" s="16" t="s">
        <v>242</v>
      </c>
      <c r="B56" s="29"/>
      <c r="C56" s="29">
        <v>1</v>
      </c>
      <c r="D56" s="29">
        <v>1</v>
      </c>
      <c r="E56" s="29">
        <v>2</v>
      </c>
    </row>
    <row r="57" spans="1:5" x14ac:dyDescent="0.2">
      <c r="A57" s="16" t="s">
        <v>161</v>
      </c>
      <c r="B57" s="29"/>
      <c r="C57" s="29">
        <v>1</v>
      </c>
      <c r="D57" s="29"/>
      <c r="E57" s="29">
        <v>1</v>
      </c>
    </row>
    <row r="58" spans="1:5" x14ac:dyDescent="0.2">
      <c r="A58" s="16" t="s">
        <v>229</v>
      </c>
      <c r="B58" s="29"/>
      <c r="C58" s="29">
        <v>1</v>
      </c>
      <c r="D58" s="29"/>
      <c r="E58" s="29">
        <v>1</v>
      </c>
    </row>
    <row r="59" spans="1:5" x14ac:dyDescent="0.2">
      <c r="A59" s="16" t="s">
        <v>176</v>
      </c>
      <c r="B59" s="29">
        <v>2</v>
      </c>
      <c r="C59" s="29"/>
      <c r="D59" s="29"/>
      <c r="E59" s="29">
        <v>2</v>
      </c>
    </row>
    <row r="60" spans="1:5" x14ac:dyDescent="0.2">
      <c r="A60" s="16" t="s">
        <v>52</v>
      </c>
      <c r="B60" s="29">
        <v>1</v>
      </c>
      <c r="C60" s="29"/>
      <c r="D60" s="29"/>
      <c r="E60" s="29">
        <v>1</v>
      </c>
    </row>
    <row r="61" spans="1:5" x14ac:dyDescent="0.2">
      <c r="A61" s="16" t="s">
        <v>126</v>
      </c>
      <c r="B61" s="29">
        <v>1</v>
      </c>
      <c r="C61" s="29"/>
      <c r="D61" s="29"/>
      <c r="E61" s="29">
        <v>1</v>
      </c>
    </row>
    <row r="62" spans="1:5" x14ac:dyDescent="0.2">
      <c r="A62" s="16" t="s">
        <v>136</v>
      </c>
      <c r="B62" s="29"/>
      <c r="C62" s="29"/>
      <c r="D62" s="29">
        <v>1</v>
      </c>
      <c r="E62" s="29">
        <v>1</v>
      </c>
    </row>
    <row r="63" spans="1:5" x14ac:dyDescent="0.2">
      <c r="A63" s="17" t="s">
        <v>38</v>
      </c>
      <c r="B63" s="29">
        <v>5</v>
      </c>
      <c r="C63" s="29">
        <v>3</v>
      </c>
      <c r="D63" s="29">
        <v>5</v>
      </c>
      <c r="E63" s="29">
        <v>13</v>
      </c>
    </row>
    <row r="64" spans="1:5" x14ac:dyDescent="0.2">
      <c r="A64" s="16" t="s">
        <v>251</v>
      </c>
      <c r="B64" s="29">
        <v>1</v>
      </c>
      <c r="C64" s="29"/>
      <c r="D64" s="29">
        <v>1</v>
      </c>
      <c r="E64" s="29">
        <v>2</v>
      </c>
    </row>
    <row r="65" spans="1:5" x14ac:dyDescent="0.2">
      <c r="A65" s="16" t="s">
        <v>78</v>
      </c>
      <c r="B65" s="29">
        <v>1</v>
      </c>
      <c r="C65" s="29"/>
      <c r="D65" s="29"/>
      <c r="E65" s="29">
        <v>1</v>
      </c>
    </row>
    <row r="66" spans="1:5" x14ac:dyDescent="0.2">
      <c r="A66" s="16" t="s">
        <v>307</v>
      </c>
      <c r="B66" s="29"/>
      <c r="C66" s="29"/>
      <c r="D66" s="29">
        <v>1</v>
      </c>
      <c r="E66" s="29">
        <v>1</v>
      </c>
    </row>
    <row r="67" spans="1:5" x14ac:dyDescent="0.2">
      <c r="A67" s="16" t="s">
        <v>30</v>
      </c>
      <c r="B67" s="29">
        <v>1</v>
      </c>
      <c r="C67" s="29"/>
      <c r="D67" s="29"/>
      <c r="E67" s="29">
        <v>1</v>
      </c>
    </row>
    <row r="68" spans="1:5" x14ac:dyDescent="0.2">
      <c r="A68" s="16" t="s">
        <v>10</v>
      </c>
      <c r="B68" s="29">
        <v>1</v>
      </c>
      <c r="C68" s="29"/>
      <c r="D68" s="29"/>
      <c r="E68" s="29">
        <v>1</v>
      </c>
    </row>
    <row r="69" spans="1:5" x14ac:dyDescent="0.2">
      <c r="A69" s="16" t="s">
        <v>343</v>
      </c>
      <c r="B69" s="29"/>
      <c r="C69" s="29">
        <v>1</v>
      </c>
      <c r="D69" s="29"/>
      <c r="E69" s="29">
        <v>1</v>
      </c>
    </row>
    <row r="70" spans="1:5" x14ac:dyDescent="0.2">
      <c r="A70" s="16" t="s">
        <v>365</v>
      </c>
      <c r="B70" s="29"/>
      <c r="C70" s="29"/>
      <c r="D70" s="29">
        <v>1</v>
      </c>
      <c r="E70" s="29">
        <v>1</v>
      </c>
    </row>
    <row r="71" spans="1:5" x14ac:dyDescent="0.2">
      <c r="A71" s="16" t="s">
        <v>362</v>
      </c>
      <c r="B71" s="29">
        <v>1</v>
      </c>
      <c r="C71" s="29"/>
      <c r="D71" s="29"/>
      <c r="E71" s="29">
        <v>1</v>
      </c>
    </row>
    <row r="72" spans="1:5" x14ac:dyDescent="0.2">
      <c r="A72" s="17" t="s">
        <v>25</v>
      </c>
      <c r="B72" s="29">
        <v>10</v>
      </c>
      <c r="C72" s="29">
        <v>4</v>
      </c>
      <c r="D72" s="29">
        <v>3</v>
      </c>
      <c r="E72" s="29">
        <v>17</v>
      </c>
    </row>
    <row r="73" spans="1:5" x14ac:dyDescent="0.2">
      <c r="A73" s="16" t="s">
        <v>354</v>
      </c>
      <c r="B73" s="29"/>
      <c r="C73" s="29">
        <v>1</v>
      </c>
      <c r="D73" s="29"/>
      <c r="E73" s="29">
        <v>1</v>
      </c>
    </row>
    <row r="74" spans="1:5" x14ac:dyDescent="0.2">
      <c r="A74" s="16" t="s">
        <v>377</v>
      </c>
      <c r="B74" s="29"/>
      <c r="C74" s="29">
        <v>1</v>
      </c>
      <c r="D74" s="29"/>
      <c r="E74" s="29">
        <v>1</v>
      </c>
    </row>
    <row r="75" spans="1:5" x14ac:dyDescent="0.2">
      <c r="A75" s="16" t="s">
        <v>82</v>
      </c>
      <c r="B75" s="29">
        <v>2</v>
      </c>
      <c r="C75" s="29"/>
      <c r="D75" s="29"/>
      <c r="E75" s="29">
        <v>2</v>
      </c>
    </row>
    <row r="76" spans="1:5" x14ac:dyDescent="0.2">
      <c r="A76" s="16" t="s">
        <v>34</v>
      </c>
      <c r="B76" s="29">
        <v>1</v>
      </c>
      <c r="C76" s="29"/>
      <c r="D76" s="29">
        <v>1</v>
      </c>
      <c r="E76" s="29">
        <v>2</v>
      </c>
    </row>
    <row r="77" spans="1:5" x14ac:dyDescent="0.2">
      <c r="A77" s="16" t="s">
        <v>352</v>
      </c>
      <c r="B77" s="29"/>
      <c r="C77" s="29">
        <v>1</v>
      </c>
      <c r="D77" s="29"/>
      <c r="E77" s="29">
        <v>1</v>
      </c>
    </row>
    <row r="78" spans="1:5" x14ac:dyDescent="0.2">
      <c r="A78" s="16" t="s">
        <v>173</v>
      </c>
      <c r="B78" s="29">
        <v>1</v>
      </c>
      <c r="C78" s="29"/>
      <c r="D78" s="29"/>
      <c r="E78" s="29">
        <v>1</v>
      </c>
    </row>
    <row r="79" spans="1:5" x14ac:dyDescent="0.2">
      <c r="A79" s="16" t="s">
        <v>356</v>
      </c>
      <c r="B79" s="29"/>
      <c r="C79" s="29"/>
      <c r="D79" s="29">
        <v>1</v>
      </c>
      <c r="E79" s="29">
        <v>1</v>
      </c>
    </row>
    <row r="80" spans="1:5" x14ac:dyDescent="0.2">
      <c r="A80" s="16" t="s">
        <v>190</v>
      </c>
      <c r="B80" s="29">
        <v>1</v>
      </c>
      <c r="C80" s="29"/>
      <c r="D80" s="29"/>
      <c r="E80" s="29">
        <v>1</v>
      </c>
    </row>
    <row r="81" spans="1:5" x14ac:dyDescent="0.2">
      <c r="A81" s="16" t="s">
        <v>110</v>
      </c>
      <c r="B81" s="29">
        <v>1</v>
      </c>
      <c r="C81" s="29"/>
      <c r="D81" s="29"/>
      <c r="E81" s="29">
        <v>1</v>
      </c>
    </row>
    <row r="82" spans="1:5" x14ac:dyDescent="0.2">
      <c r="A82" s="16" t="s">
        <v>165</v>
      </c>
      <c r="B82" s="29">
        <v>1</v>
      </c>
      <c r="C82" s="29"/>
      <c r="D82" s="29"/>
      <c r="E82" s="29">
        <v>1</v>
      </c>
    </row>
    <row r="83" spans="1:5" x14ac:dyDescent="0.2">
      <c r="A83" s="16" t="s">
        <v>208</v>
      </c>
      <c r="B83" s="29"/>
      <c r="C83" s="29">
        <v>1</v>
      </c>
      <c r="D83" s="29"/>
      <c r="E83" s="29">
        <v>1</v>
      </c>
    </row>
    <row r="84" spans="1:5" x14ac:dyDescent="0.2">
      <c r="A84" s="17" t="s">
        <v>97</v>
      </c>
      <c r="B84" s="29">
        <v>5</v>
      </c>
      <c r="C84" s="29">
        <v>4</v>
      </c>
      <c r="D84" s="29">
        <v>5</v>
      </c>
      <c r="E84" s="29">
        <v>14</v>
      </c>
    </row>
    <row r="85" spans="1:5" x14ac:dyDescent="0.2">
      <c r="A85" s="16" t="s">
        <v>106</v>
      </c>
      <c r="B85" s="29">
        <v>2</v>
      </c>
      <c r="C85" s="29"/>
      <c r="D85" s="29"/>
      <c r="E85" s="29">
        <v>2</v>
      </c>
    </row>
    <row r="86" spans="1:5" x14ac:dyDescent="0.2">
      <c r="A86" s="16" t="s">
        <v>139</v>
      </c>
      <c r="B86" s="29"/>
      <c r="C86" s="29"/>
      <c r="D86" s="29">
        <v>1</v>
      </c>
      <c r="E86" s="29">
        <v>1</v>
      </c>
    </row>
    <row r="87" spans="1:5" x14ac:dyDescent="0.2">
      <c r="A87" s="16" t="s">
        <v>267</v>
      </c>
      <c r="B87" s="29"/>
      <c r="C87" s="29">
        <v>1</v>
      </c>
      <c r="D87" s="29"/>
      <c r="E87" s="29">
        <v>1</v>
      </c>
    </row>
    <row r="88" spans="1:5" x14ac:dyDescent="0.2">
      <c r="A88" s="16" t="s">
        <v>114</v>
      </c>
      <c r="B88" s="29">
        <v>1</v>
      </c>
      <c r="C88" s="29"/>
      <c r="D88" s="29"/>
      <c r="E88" s="29">
        <v>1</v>
      </c>
    </row>
    <row r="89" spans="1:5" x14ac:dyDescent="0.2">
      <c r="A89" s="16" t="s">
        <v>58</v>
      </c>
      <c r="B89" s="29">
        <v>1</v>
      </c>
      <c r="C89" s="29"/>
      <c r="D89" s="29"/>
      <c r="E89" s="29">
        <v>1</v>
      </c>
    </row>
    <row r="90" spans="1:5" x14ac:dyDescent="0.2">
      <c r="A90" s="16" t="s">
        <v>345</v>
      </c>
      <c r="B90" s="29"/>
      <c r="C90" s="29">
        <v>1</v>
      </c>
      <c r="D90" s="29"/>
      <c r="E90" s="29">
        <v>1</v>
      </c>
    </row>
    <row r="91" spans="1:5" x14ac:dyDescent="0.2">
      <c r="A91" s="16" t="s">
        <v>50</v>
      </c>
      <c r="B91" s="29">
        <v>1</v>
      </c>
      <c r="C91" s="29"/>
      <c r="D91" s="29"/>
      <c r="E91" s="29">
        <v>1</v>
      </c>
    </row>
    <row r="92" spans="1:5" x14ac:dyDescent="0.2">
      <c r="A92" s="16" t="s">
        <v>332</v>
      </c>
      <c r="B92" s="29"/>
      <c r="C92" s="29">
        <v>1</v>
      </c>
      <c r="D92" s="29"/>
      <c r="E92" s="29">
        <v>1</v>
      </c>
    </row>
    <row r="93" spans="1:5" x14ac:dyDescent="0.2">
      <c r="A93" s="16" t="s">
        <v>293</v>
      </c>
      <c r="B93" s="29">
        <v>1</v>
      </c>
      <c r="C93" s="29"/>
      <c r="D93" s="29"/>
      <c r="E93" s="29">
        <v>1</v>
      </c>
    </row>
    <row r="94" spans="1:5" x14ac:dyDescent="0.2">
      <c r="A94" s="16" t="s">
        <v>21</v>
      </c>
      <c r="B94" s="29">
        <v>1</v>
      </c>
      <c r="C94" s="29"/>
      <c r="D94" s="29"/>
      <c r="E94" s="29">
        <v>1</v>
      </c>
    </row>
    <row r="95" spans="1:5" x14ac:dyDescent="0.2">
      <c r="A95" s="16" t="s">
        <v>212</v>
      </c>
      <c r="B95" s="29"/>
      <c r="C95" s="29">
        <v>3</v>
      </c>
      <c r="D95" s="29"/>
      <c r="E95" s="29">
        <v>3</v>
      </c>
    </row>
    <row r="96" spans="1:5" x14ac:dyDescent="0.2">
      <c r="A96" s="16" t="s">
        <v>41</v>
      </c>
      <c r="B96" s="29">
        <v>3</v>
      </c>
      <c r="C96" s="29"/>
      <c r="D96" s="29">
        <v>1</v>
      </c>
      <c r="E96" s="29">
        <v>4</v>
      </c>
    </row>
    <row r="97" spans="1:5" x14ac:dyDescent="0.2">
      <c r="A97" s="16" t="s">
        <v>76</v>
      </c>
      <c r="B97" s="29">
        <v>3</v>
      </c>
      <c r="C97" s="29">
        <v>1</v>
      </c>
      <c r="D97" s="29"/>
      <c r="E97" s="29">
        <v>4</v>
      </c>
    </row>
    <row r="98" spans="1:5" x14ac:dyDescent="0.2">
      <c r="A98" s="17" t="s">
        <v>16</v>
      </c>
      <c r="B98" s="29">
        <v>4</v>
      </c>
      <c r="C98" s="29">
        <v>4</v>
      </c>
      <c r="D98" s="29">
        <v>2</v>
      </c>
      <c r="E98" s="29">
        <v>10</v>
      </c>
    </row>
    <row r="99" spans="1:5" x14ac:dyDescent="0.2">
      <c r="A99" s="17" t="s">
        <v>85</v>
      </c>
      <c r="B99" s="29">
        <v>5</v>
      </c>
      <c r="C99" s="29">
        <v>1</v>
      </c>
      <c r="D99" s="29">
        <v>2</v>
      </c>
      <c r="E99" s="29">
        <v>8</v>
      </c>
    </row>
    <row r="100" spans="1:5" x14ac:dyDescent="0.2">
      <c r="A100" s="16" t="s">
        <v>270</v>
      </c>
      <c r="B100" s="29">
        <v>1</v>
      </c>
      <c r="C100" s="29">
        <v>3</v>
      </c>
      <c r="D100" s="29"/>
      <c r="E100" s="29">
        <v>4</v>
      </c>
    </row>
    <row r="101" spans="1:5" x14ac:dyDescent="0.2">
      <c r="A101" s="16" t="s">
        <v>578</v>
      </c>
      <c r="B101" s="29">
        <v>1</v>
      </c>
      <c r="C101" s="29"/>
      <c r="D101" s="29"/>
      <c r="E101" s="29">
        <v>1</v>
      </c>
    </row>
    <row r="102" spans="1:5" x14ac:dyDescent="0.2">
      <c r="A102" s="16" t="s">
        <v>253</v>
      </c>
      <c r="B102" s="29"/>
      <c r="C102" s="29">
        <v>1</v>
      </c>
      <c r="D102" s="29"/>
      <c r="E102" s="29">
        <v>1</v>
      </c>
    </row>
    <row r="103" spans="1:5" x14ac:dyDescent="0.2">
      <c r="A103" s="16" t="s">
        <v>347</v>
      </c>
      <c r="B103" s="29">
        <v>1</v>
      </c>
      <c r="C103" s="29"/>
      <c r="D103" s="29"/>
      <c r="E103" s="29">
        <v>1</v>
      </c>
    </row>
    <row r="104" spans="1:5" x14ac:dyDescent="0.2">
      <c r="A104" s="16" t="s">
        <v>237</v>
      </c>
      <c r="B104" s="29"/>
      <c r="C104" s="29">
        <v>1</v>
      </c>
      <c r="D104" s="29"/>
      <c r="E104" s="29">
        <v>1</v>
      </c>
    </row>
    <row r="105" spans="1:5" x14ac:dyDescent="0.2">
      <c r="A105" s="16" t="s">
        <v>151</v>
      </c>
      <c r="B105" s="29">
        <v>1</v>
      </c>
      <c r="C105" s="29">
        <v>1</v>
      </c>
      <c r="D105" s="29">
        <v>1</v>
      </c>
      <c r="E105" s="29">
        <v>3</v>
      </c>
    </row>
    <row r="106" spans="1:5" x14ac:dyDescent="0.2">
      <c r="A106" s="16" t="s">
        <v>130</v>
      </c>
      <c r="B106" s="29">
        <v>1</v>
      </c>
      <c r="C106" s="29"/>
      <c r="D106" s="29"/>
      <c r="E106" s="29">
        <v>1</v>
      </c>
    </row>
    <row r="107" spans="1:5" x14ac:dyDescent="0.2">
      <c r="A107" s="16" t="s">
        <v>327</v>
      </c>
      <c r="B107" s="29"/>
      <c r="C107" s="29">
        <v>1</v>
      </c>
      <c r="D107" s="29"/>
      <c r="E107" s="29">
        <v>1</v>
      </c>
    </row>
    <row r="108" spans="1:5" x14ac:dyDescent="0.2">
      <c r="A108" s="16" t="s">
        <v>227</v>
      </c>
      <c r="B108" s="29">
        <v>1</v>
      </c>
      <c r="C108" s="29"/>
      <c r="D108" s="29"/>
      <c r="E108" s="29">
        <v>1</v>
      </c>
    </row>
    <row r="109" spans="1:5" x14ac:dyDescent="0.2">
      <c r="A109" s="16" t="s">
        <v>94</v>
      </c>
      <c r="B109" s="29"/>
      <c r="C109" s="29"/>
      <c r="D109" s="29">
        <v>1</v>
      </c>
      <c r="E109" s="29">
        <v>1</v>
      </c>
    </row>
    <row r="110" spans="1:5" x14ac:dyDescent="0.2">
      <c r="A110" s="16" t="s">
        <v>198</v>
      </c>
      <c r="B110" s="29">
        <v>1</v>
      </c>
      <c r="C110" s="29"/>
      <c r="D110" s="29"/>
      <c r="E110" s="29">
        <v>1</v>
      </c>
    </row>
    <row r="111" spans="1:5" x14ac:dyDescent="0.2">
      <c r="A111" s="16" t="s">
        <v>380</v>
      </c>
      <c r="B111" s="29">
        <v>1</v>
      </c>
      <c r="C111" s="29"/>
      <c r="D111" s="29"/>
      <c r="E111" s="29">
        <v>1</v>
      </c>
    </row>
    <row r="112" spans="1:5" x14ac:dyDescent="0.2">
      <c r="A112" s="16" t="s">
        <v>290</v>
      </c>
      <c r="B112" s="29">
        <v>1</v>
      </c>
      <c r="C112" s="29"/>
      <c r="D112" s="29"/>
      <c r="E112" s="29">
        <v>1</v>
      </c>
    </row>
    <row r="113" spans="1:5" x14ac:dyDescent="0.2">
      <c r="A113" s="16" t="s">
        <v>134</v>
      </c>
      <c r="B113" s="29">
        <v>1</v>
      </c>
      <c r="C113" s="29"/>
      <c r="D113" s="29"/>
      <c r="E113" s="29">
        <v>1</v>
      </c>
    </row>
    <row r="114" spans="1:5" x14ac:dyDescent="0.2">
      <c r="A114" s="16" t="s">
        <v>2291</v>
      </c>
      <c r="B114" s="29">
        <v>110</v>
      </c>
      <c r="C114" s="29">
        <v>59</v>
      </c>
      <c r="D114" s="29">
        <v>44</v>
      </c>
      <c r="E114" s="29">
        <v>213</v>
      </c>
    </row>
  </sheetData>
  <conditionalFormatting pivot="1" sqref="B5:E114">
    <cfRule type="cellIs" dxfId="73" priority="1" operator="greaterThan">
      <formula>5</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AB1D-6B4A-6742-9884-85199CFB5C6F}">
  <dimension ref="A3:B8"/>
  <sheetViews>
    <sheetView zoomScale="157" workbookViewId="0">
      <selection activeCell="B21" sqref="B21"/>
    </sheetView>
  </sheetViews>
  <sheetFormatPr baseColWidth="10" defaultRowHeight="15" x14ac:dyDescent="0.2"/>
  <cols>
    <col min="1" max="1" width="13" bestFit="1" customWidth="1"/>
    <col min="2" max="2" width="15" bestFit="1" customWidth="1"/>
  </cols>
  <sheetData>
    <row r="3" spans="1:2" x14ac:dyDescent="0.2">
      <c r="A3" s="3" t="s">
        <v>584</v>
      </c>
      <c r="B3" t="s">
        <v>2330</v>
      </c>
    </row>
    <row r="4" spans="1:2" x14ac:dyDescent="0.2">
      <c r="A4" s="4" t="s">
        <v>2313</v>
      </c>
      <c r="B4" s="5">
        <v>2.1578947368421053</v>
      </c>
    </row>
    <row r="5" spans="1:2" x14ac:dyDescent="0.2">
      <c r="A5" s="4" t="s">
        <v>2314</v>
      </c>
      <c r="B5" s="5">
        <v>2.5076923076923077</v>
      </c>
    </row>
    <row r="6" spans="1:2" x14ac:dyDescent="0.2">
      <c r="A6" s="4" t="s">
        <v>2315</v>
      </c>
      <c r="B6" s="5">
        <v>3.4137931034482758</v>
      </c>
    </row>
    <row r="7" spans="1:2" x14ac:dyDescent="0.2">
      <c r="A7" s="4" t="s">
        <v>2312</v>
      </c>
      <c r="B7" s="5">
        <v>4.7578475336322867</v>
      </c>
    </row>
    <row r="8" spans="1:2" x14ac:dyDescent="0.2">
      <c r="A8" s="4" t="s">
        <v>2331</v>
      </c>
      <c r="B8" s="5">
        <v>3.9644670050761421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4"/>
  <sheetViews>
    <sheetView workbookViewId="0">
      <selection activeCell="D14" sqref="D14"/>
    </sheetView>
  </sheetViews>
  <sheetFormatPr baseColWidth="10" defaultColWidth="8.83203125" defaultRowHeight="15" x14ac:dyDescent="0.2"/>
  <cols>
    <col min="1" max="1" width="15.33203125" customWidth="1"/>
    <col min="2" max="2" width="17.83203125" bestFit="1" customWidth="1"/>
    <col min="3" max="3" width="10.33203125" customWidth="1"/>
    <col min="4" max="4" width="16" bestFit="1" customWidth="1"/>
    <col min="5" max="5" width="13" bestFit="1" customWidth="1"/>
    <col min="6" max="6" width="12.5" customWidth="1"/>
    <col min="8" max="8" width="11.1640625" bestFit="1" customWidth="1"/>
  </cols>
  <sheetData>
    <row r="1" spans="1:8" x14ac:dyDescent="0.2">
      <c r="A1" t="s">
        <v>383</v>
      </c>
      <c r="B1" t="s">
        <v>0</v>
      </c>
      <c r="C1" t="s">
        <v>1</v>
      </c>
      <c r="D1" t="s">
        <v>2</v>
      </c>
      <c r="E1" t="s">
        <v>3</v>
      </c>
      <c r="F1" t="s">
        <v>4</v>
      </c>
      <c r="G1" t="s">
        <v>5</v>
      </c>
      <c r="H1" t="s">
        <v>6</v>
      </c>
    </row>
    <row r="2" spans="1:8" x14ac:dyDescent="0.2">
      <c r="A2" t="s">
        <v>7</v>
      </c>
      <c r="B2" t="s">
        <v>8</v>
      </c>
      <c r="C2" t="s">
        <v>9</v>
      </c>
      <c r="D2" t="s">
        <v>10</v>
      </c>
      <c r="E2" t="s">
        <v>11</v>
      </c>
      <c r="F2">
        <v>55407</v>
      </c>
      <c r="G2" t="s">
        <v>12</v>
      </c>
      <c r="H2" t="s">
        <v>13</v>
      </c>
    </row>
    <row r="3" spans="1:8" x14ac:dyDescent="0.2">
      <c r="A3" t="s">
        <v>14</v>
      </c>
      <c r="B3" t="s">
        <v>15</v>
      </c>
      <c r="C3" t="s">
        <v>9</v>
      </c>
      <c r="D3" t="s">
        <v>16</v>
      </c>
      <c r="E3" t="s">
        <v>17</v>
      </c>
      <c r="F3">
        <v>94109</v>
      </c>
      <c r="G3" t="s">
        <v>18</v>
      </c>
      <c r="H3" t="s">
        <v>13</v>
      </c>
    </row>
    <row r="4" spans="1:8" x14ac:dyDescent="0.2">
      <c r="A4" t="s">
        <v>19</v>
      </c>
      <c r="B4" t="s">
        <v>20</v>
      </c>
      <c r="C4" t="s">
        <v>9</v>
      </c>
      <c r="D4" t="s">
        <v>21</v>
      </c>
      <c r="E4" t="s">
        <v>22</v>
      </c>
      <c r="F4">
        <v>78664</v>
      </c>
      <c r="G4" t="s">
        <v>12</v>
      </c>
      <c r="H4" t="s">
        <v>13</v>
      </c>
    </row>
    <row r="5" spans="1:8" x14ac:dyDescent="0.2">
      <c r="A5" t="s">
        <v>23</v>
      </c>
      <c r="B5" t="s">
        <v>24</v>
      </c>
      <c r="C5" t="s">
        <v>9</v>
      </c>
      <c r="D5" t="s">
        <v>25</v>
      </c>
      <c r="E5" t="s">
        <v>26</v>
      </c>
      <c r="F5">
        <v>10011</v>
      </c>
      <c r="G5" t="s">
        <v>27</v>
      </c>
      <c r="H5" t="s">
        <v>13</v>
      </c>
    </row>
    <row r="6" spans="1:8" x14ac:dyDescent="0.2">
      <c r="A6" t="s">
        <v>28</v>
      </c>
      <c r="B6" t="s">
        <v>29</v>
      </c>
      <c r="C6" t="s">
        <v>9</v>
      </c>
      <c r="D6" t="s">
        <v>30</v>
      </c>
      <c r="E6" t="s">
        <v>31</v>
      </c>
      <c r="F6">
        <v>85204</v>
      </c>
      <c r="G6" t="s">
        <v>18</v>
      </c>
      <c r="H6" t="s">
        <v>13</v>
      </c>
    </row>
    <row r="7" spans="1:8" x14ac:dyDescent="0.2">
      <c r="A7" t="s">
        <v>32</v>
      </c>
      <c r="B7" t="s">
        <v>33</v>
      </c>
      <c r="C7" t="s">
        <v>9</v>
      </c>
      <c r="D7" t="s">
        <v>34</v>
      </c>
      <c r="E7" t="s">
        <v>35</v>
      </c>
      <c r="F7">
        <v>68104</v>
      </c>
      <c r="G7" t="s">
        <v>12</v>
      </c>
      <c r="H7" t="s">
        <v>13</v>
      </c>
    </row>
    <row r="8" spans="1:8" x14ac:dyDescent="0.2">
      <c r="A8" t="s">
        <v>36</v>
      </c>
      <c r="B8" t="s">
        <v>37</v>
      </c>
      <c r="C8" t="s">
        <v>9</v>
      </c>
      <c r="D8" t="s">
        <v>38</v>
      </c>
      <c r="E8" t="s">
        <v>17</v>
      </c>
      <c r="F8">
        <v>90008</v>
      </c>
      <c r="G8" t="s">
        <v>18</v>
      </c>
      <c r="H8" t="s">
        <v>13</v>
      </c>
    </row>
    <row r="9" spans="1:8" x14ac:dyDescent="0.2">
      <c r="A9" t="s">
        <v>39</v>
      </c>
      <c r="B9" t="s">
        <v>40</v>
      </c>
      <c r="C9" t="s">
        <v>9</v>
      </c>
      <c r="D9" t="s">
        <v>41</v>
      </c>
      <c r="E9" t="s">
        <v>42</v>
      </c>
      <c r="F9">
        <v>97301</v>
      </c>
      <c r="G9" t="s">
        <v>18</v>
      </c>
      <c r="H9" t="s">
        <v>13</v>
      </c>
    </row>
    <row r="10" spans="1:8" x14ac:dyDescent="0.2">
      <c r="A10" t="s">
        <v>43</v>
      </c>
      <c r="B10" t="s">
        <v>44</v>
      </c>
      <c r="C10" t="s">
        <v>9</v>
      </c>
      <c r="D10" t="s">
        <v>45</v>
      </c>
      <c r="E10" t="s">
        <v>46</v>
      </c>
      <c r="F10">
        <v>30318</v>
      </c>
      <c r="G10" t="s">
        <v>47</v>
      </c>
      <c r="H10" t="s">
        <v>13</v>
      </c>
    </row>
    <row r="11" spans="1:8" x14ac:dyDescent="0.2">
      <c r="A11" t="s">
        <v>48</v>
      </c>
      <c r="B11" t="s">
        <v>49</v>
      </c>
      <c r="C11" t="s">
        <v>9</v>
      </c>
      <c r="D11" t="s">
        <v>50</v>
      </c>
      <c r="E11" t="s">
        <v>17</v>
      </c>
      <c r="F11">
        <v>91730</v>
      </c>
      <c r="G11" t="s">
        <v>18</v>
      </c>
      <c r="H11" t="s">
        <v>13</v>
      </c>
    </row>
    <row r="12" spans="1:8" x14ac:dyDescent="0.2">
      <c r="A12" t="s">
        <v>51</v>
      </c>
      <c r="B12" t="s">
        <v>29</v>
      </c>
      <c r="C12" t="s">
        <v>9</v>
      </c>
      <c r="D12" t="s">
        <v>52</v>
      </c>
      <c r="E12" t="s">
        <v>53</v>
      </c>
      <c r="F12">
        <v>37087</v>
      </c>
      <c r="G12" t="s">
        <v>47</v>
      </c>
      <c r="H12" t="s">
        <v>13</v>
      </c>
    </row>
    <row r="13" spans="1:8" x14ac:dyDescent="0.2">
      <c r="A13" t="s">
        <v>54</v>
      </c>
      <c r="B13" t="s">
        <v>55</v>
      </c>
      <c r="C13" t="s">
        <v>9</v>
      </c>
      <c r="D13" t="s">
        <v>25</v>
      </c>
      <c r="E13" t="s">
        <v>26</v>
      </c>
      <c r="F13">
        <v>10035</v>
      </c>
      <c r="G13" t="s">
        <v>27</v>
      </c>
      <c r="H13" t="s">
        <v>13</v>
      </c>
    </row>
    <row r="14" spans="1:8" x14ac:dyDescent="0.2">
      <c r="A14" t="s">
        <v>56</v>
      </c>
      <c r="B14" t="s">
        <v>57</v>
      </c>
      <c r="C14" t="s">
        <v>9</v>
      </c>
      <c r="D14" t="s">
        <v>58</v>
      </c>
      <c r="E14" t="s">
        <v>59</v>
      </c>
      <c r="F14">
        <v>2908</v>
      </c>
      <c r="G14" t="s">
        <v>27</v>
      </c>
      <c r="H14" t="s">
        <v>13</v>
      </c>
    </row>
    <row r="15" spans="1:8" x14ac:dyDescent="0.2">
      <c r="A15" t="s">
        <v>60</v>
      </c>
      <c r="B15" t="s">
        <v>61</v>
      </c>
      <c r="C15" t="s">
        <v>9</v>
      </c>
      <c r="D15" t="s">
        <v>62</v>
      </c>
      <c r="E15" t="s">
        <v>63</v>
      </c>
      <c r="F15">
        <v>28027</v>
      </c>
      <c r="G15" t="s">
        <v>47</v>
      </c>
      <c r="H15" t="s">
        <v>13</v>
      </c>
    </row>
    <row r="16" spans="1:8" x14ac:dyDescent="0.2">
      <c r="A16" t="s">
        <v>64</v>
      </c>
      <c r="B16" t="s">
        <v>65</v>
      </c>
      <c r="C16" t="s">
        <v>9</v>
      </c>
      <c r="D16" t="s">
        <v>66</v>
      </c>
      <c r="E16" t="s">
        <v>67</v>
      </c>
      <c r="F16">
        <v>19013</v>
      </c>
      <c r="G16" t="s">
        <v>27</v>
      </c>
      <c r="H16" t="s">
        <v>13</v>
      </c>
    </row>
    <row r="17" spans="1:8" x14ac:dyDescent="0.2">
      <c r="A17" t="s">
        <v>68</v>
      </c>
      <c r="B17" t="s">
        <v>69</v>
      </c>
      <c r="C17" t="s">
        <v>9</v>
      </c>
      <c r="D17" t="s">
        <v>16</v>
      </c>
      <c r="E17" t="s">
        <v>17</v>
      </c>
      <c r="F17">
        <v>94109</v>
      </c>
      <c r="G17" t="s">
        <v>18</v>
      </c>
      <c r="H17" t="s">
        <v>13</v>
      </c>
    </row>
    <row r="18" spans="1:8" x14ac:dyDescent="0.2">
      <c r="A18" t="s">
        <v>70</v>
      </c>
      <c r="B18" t="s">
        <v>71</v>
      </c>
      <c r="C18" t="s">
        <v>9</v>
      </c>
      <c r="D18" t="s">
        <v>72</v>
      </c>
      <c r="E18" t="s">
        <v>73</v>
      </c>
      <c r="F18">
        <v>40324</v>
      </c>
      <c r="G18" t="s">
        <v>47</v>
      </c>
      <c r="H18" t="s">
        <v>13</v>
      </c>
    </row>
    <row r="19" spans="1:8" x14ac:dyDescent="0.2">
      <c r="A19" t="s">
        <v>74</v>
      </c>
      <c r="B19" t="s">
        <v>75</v>
      </c>
      <c r="C19" t="s">
        <v>9</v>
      </c>
      <c r="D19" t="s">
        <v>76</v>
      </c>
      <c r="E19" t="s">
        <v>17</v>
      </c>
      <c r="F19">
        <v>92105</v>
      </c>
      <c r="G19" t="s">
        <v>18</v>
      </c>
      <c r="H19" t="s">
        <v>13</v>
      </c>
    </row>
    <row r="20" spans="1:8" x14ac:dyDescent="0.2">
      <c r="A20" t="s">
        <v>77</v>
      </c>
      <c r="B20" t="s">
        <v>65</v>
      </c>
      <c r="C20" t="s">
        <v>9</v>
      </c>
      <c r="D20" t="s">
        <v>78</v>
      </c>
      <c r="E20" t="s">
        <v>79</v>
      </c>
      <c r="F20">
        <v>1852</v>
      </c>
      <c r="G20" t="s">
        <v>27</v>
      </c>
      <c r="H20" t="s">
        <v>13</v>
      </c>
    </row>
    <row r="21" spans="1:8" x14ac:dyDescent="0.2">
      <c r="A21" t="s">
        <v>80</v>
      </c>
      <c r="B21" t="s">
        <v>81</v>
      </c>
      <c r="C21" t="s">
        <v>9</v>
      </c>
      <c r="D21" t="s">
        <v>82</v>
      </c>
      <c r="E21" t="s">
        <v>83</v>
      </c>
      <c r="F21">
        <v>73120</v>
      </c>
      <c r="G21" t="s">
        <v>12</v>
      </c>
      <c r="H21" t="s">
        <v>13</v>
      </c>
    </row>
    <row r="22" spans="1:8" x14ac:dyDescent="0.2">
      <c r="A22" t="s">
        <v>384</v>
      </c>
      <c r="B22" t="s">
        <v>84</v>
      </c>
      <c r="C22" t="s">
        <v>9</v>
      </c>
      <c r="D22" t="s">
        <v>85</v>
      </c>
      <c r="E22" t="s">
        <v>86</v>
      </c>
      <c r="F22">
        <v>98103</v>
      </c>
      <c r="G22" t="s">
        <v>18</v>
      </c>
      <c r="H22" t="s">
        <v>13</v>
      </c>
    </row>
    <row r="23" spans="1:8" x14ac:dyDescent="0.2">
      <c r="A23" t="s">
        <v>385</v>
      </c>
      <c r="B23" t="s">
        <v>84</v>
      </c>
      <c r="C23" t="s">
        <v>9</v>
      </c>
      <c r="D23" t="s">
        <v>87</v>
      </c>
      <c r="E23" t="s">
        <v>22</v>
      </c>
      <c r="F23">
        <v>76017</v>
      </c>
      <c r="G23" t="s">
        <v>12</v>
      </c>
      <c r="H23" t="s">
        <v>13</v>
      </c>
    </row>
    <row r="24" spans="1:8" x14ac:dyDescent="0.2">
      <c r="A24" t="s">
        <v>386</v>
      </c>
      <c r="B24" t="s">
        <v>88</v>
      </c>
      <c r="C24" t="s">
        <v>9</v>
      </c>
      <c r="D24" t="s">
        <v>82</v>
      </c>
      <c r="E24" t="s">
        <v>83</v>
      </c>
      <c r="F24">
        <v>73120</v>
      </c>
      <c r="G24" t="s">
        <v>12</v>
      </c>
      <c r="H24" t="s">
        <v>13</v>
      </c>
    </row>
    <row r="25" spans="1:8" x14ac:dyDescent="0.2">
      <c r="A25" t="s">
        <v>387</v>
      </c>
      <c r="B25" t="s">
        <v>89</v>
      </c>
      <c r="C25" t="s">
        <v>90</v>
      </c>
      <c r="D25" t="s">
        <v>25</v>
      </c>
      <c r="E25" t="s">
        <v>26</v>
      </c>
      <c r="F25">
        <v>10009</v>
      </c>
      <c r="G25" t="s">
        <v>27</v>
      </c>
      <c r="H25" t="s">
        <v>13</v>
      </c>
    </row>
    <row r="26" spans="1:8" x14ac:dyDescent="0.2">
      <c r="A26" t="s">
        <v>388</v>
      </c>
      <c r="B26" t="s">
        <v>91</v>
      </c>
      <c r="C26" t="s">
        <v>90</v>
      </c>
      <c r="D26" t="s">
        <v>62</v>
      </c>
      <c r="E26" t="s">
        <v>92</v>
      </c>
      <c r="F26">
        <v>3301</v>
      </c>
      <c r="G26" t="s">
        <v>27</v>
      </c>
      <c r="H26" t="s">
        <v>13</v>
      </c>
    </row>
    <row r="27" spans="1:8" x14ac:dyDescent="0.2">
      <c r="A27" t="s">
        <v>389</v>
      </c>
      <c r="B27" t="s">
        <v>93</v>
      </c>
      <c r="C27" t="s">
        <v>90</v>
      </c>
      <c r="D27" t="s">
        <v>94</v>
      </c>
      <c r="E27" t="s">
        <v>95</v>
      </c>
      <c r="F27">
        <v>22980</v>
      </c>
      <c r="G27" t="s">
        <v>47</v>
      </c>
      <c r="H27" t="s">
        <v>13</v>
      </c>
    </row>
    <row r="28" spans="1:8" x14ac:dyDescent="0.2">
      <c r="A28" t="s">
        <v>390</v>
      </c>
      <c r="B28" t="s">
        <v>96</v>
      </c>
      <c r="C28" t="s">
        <v>90</v>
      </c>
      <c r="D28" t="s">
        <v>97</v>
      </c>
      <c r="E28" t="s">
        <v>67</v>
      </c>
      <c r="F28">
        <v>19143</v>
      </c>
      <c r="G28" t="s">
        <v>27</v>
      </c>
      <c r="H28" t="s">
        <v>13</v>
      </c>
    </row>
    <row r="29" spans="1:8" x14ac:dyDescent="0.2">
      <c r="A29" t="s">
        <v>391</v>
      </c>
      <c r="B29" t="s">
        <v>98</v>
      </c>
      <c r="C29" t="s">
        <v>90</v>
      </c>
      <c r="D29" t="s">
        <v>38</v>
      </c>
      <c r="E29" t="s">
        <v>17</v>
      </c>
      <c r="F29">
        <v>90004</v>
      </c>
      <c r="G29" t="s">
        <v>18</v>
      </c>
      <c r="H29" t="s">
        <v>13</v>
      </c>
    </row>
    <row r="30" spans="1:8" x14ac:dyDescent="0.2">
      <c r="A30" t="s">
        <v>392</v>
      </c>
      <c r="B30" t="s">
        <v>99</v>
      </c>
      <c r="C30" t="s">
        <v>90</v>
      </c>
      <c r="D30" t="s">
        <v>100</v>
      </c>
      <c r="E30" t="s">
        <v>86</v>
      </c>
      <c r="F30">
        <v>98198</v>
      </c>
      <c r="G30" t="s">
        <v>18</v>
      </c>
      <c r="H30" t="s">
        <v>13</v>
      </c>
    </row>
    <row r="31" spans="1:8" x14ac:dyDescent="0.2">
      <c r="A31" t="s">
        <v>393</v>
      </c>
      <c r="B31" t="s">
        <v>101</v>
      </c>
      <c r="C31" t="s">
        <v>90</v>
      </c>
      <c r="D31" t="s">
        <v>85</v>
      </c>
      <c r="E31" t="s">
        <v>86</v>
      </c>
      <c r="F31">
        <v>98105</v>
      </c>
      <c r="G31" t="s">
        <v>18</v>
      </c>
      <c r="H31" t="s">
        <v>13</v>
      </c>
    </row>
    <row r="32" spans="1:8" x14ac:dyDescent="0.2">
      <c r="A32" t="s">
        <v>394</v>
      </c>
      <c r="B32" t="s">
        <v>102</v>
      </c>
      <c r="C32" t="s">
        <v>90</v>
      </c>
      <c r="D32" t="s">
        <v>103</v>
      </c>
      <c r="E32" t="s">
        <v>104</v>
      </c>
      <c r="F32">
        <v>46142</v>
      </c>
      <c r="G32" t="s">
        <v>12</v>
      </c>
      <c r="H32" t="s">
        <v>13</v>
      </c>
    </row>
    <row r="33" spans="1:8" x14ac:dyDescent="0.2">
      <c r="A33" t="s">
        <v>395</v>
      </c>
      <c r="B33" t="s">
        <v>105</v>
      </c>
      <c r="C33" t="s">
        <v>9</v>
      </c>
      <c r="D33" t="s">
        <v>106</v>
      </c>
      <c r="E33" t="s">
        <v>31</v>
      </c>
      <c r="F33">
        <v>85023</v>
      </c>
      <c r="G33" t="s">
        <v>18</v>
      </c>
      <c r="H33" t="s">
        <v>13</v>
      </c>
    </row>
    <row r="34" spans="1:8" x14ac:dyDescent="0.2">
      <c r="A34" t="s">
        <v>396</v>
      </c>
      <c r="B34" t="s">
        <v>107</v>
      </c>
      <c r="C34" t="s">
        <v>9</v>
      </c>
      <c r="D34" t="s">
        <v>108</v>
      </c>
      <c r="E34" t="s">
        <v>73</v>
      </c>
      <c r="F34">
        <v>42420</v>
      </c>
      <c r="G34" t="s">
        <v>47</v>
      </c>
      <c r="H34" t="s">
        <v>13</v>
      </c>
    </row>
    <row r="35" spans="1:8" x14ac:dyDescent="0.2">
      <c r="A35" t="s">
        <v>397</v>
      </c>
      <c r="B35" t="s">
        <v>109</v>
      </c>
      <c r="C35" t="s">
        <v>9</v>
      </c>
      <c r="D35" t="s">
        <v>110</v>
      </c>
      <c r="E35" t="s">
        <v>22</v>
      </c>
      <c r="F35">
        <v>77581</v>
      </c>
      <c r="G35" t="s">
        <v>12</v>
      </c>
      <c r="H35" t="s">
        <v>13</v>
      </c>
    </row>
    <row r="36" spans="1:8" x14ac:dyDescent="0.2">
      <c r="A36" t="s">
        <v>398</v>
      </c>
      <c r="B36" t="s">
        <v>111</v>
      </c>
      <c r="C36" t="s">
        <v>9</v>
      </c>
      <c r="D36" t="s">
        <v>112</v>
      </c>
      <c r="E36" t="s">
        <v>104</v>
      </c>
      <c r="F36">
        <v>46203</v>
      </c>
      <c r="G36" t="s">
        <v>12</v>
      </c>
      <c r="H36" t="s">
        <v>13</v>
      </c>
    </row>
    <row r="37" spans="1:8" x14ac:dyDescent="0.2">
      <c r="A37" t="s">
        <v>399</v>
      </c>
      <c r="B37" t="s">
        <v>113</v>
      </c>
      <c r="C37" t="s">
        <v>9</v>
      </c>
      <c r="D37" t="s">
        <v>114</v>
      </c>
      <c r="E37" t="s">
        <v>42</v>
      </c>
      <c r="F37">
        <v>97206</v>
      </c>
      <c r="G37" t="s">
        <v>18</v>
      </c>
      <c r="H37" t="s">
        <v>13</v>
      </c>
    </row>
    <row r="38" spans="1:8" x14ac:dyDescent="0.2">
      <c r="A38" t="s">
        <v>400</v>
      </c>
      <c r="B38" t="s">
        <v>115</v>
      </c>
      <c r="C38" t="s">
        <v>9</v>
      </c>
      <c r="D38" t="s">
        <v>25</v>
      </c>
      <c r="E38" t="s">
        <v>26</v>
      </c>
      <c r="F38">
        <v>10011</v>
      </c>
      <c r="G38" t="s">
        <v>27</v>
      </c>
      <c r="H38" t="s">
        <v>13</v>
      </c>
    </row>
    <row r="39" spans="1:8" x14ac:dyDescent="0.2">
      <c r="A39" t="s">
        <v>401</v>
      </c>
      <c r="B39" t="s">
        <v>116</v>
      </c>
      <c r="C39" t="s">
        <v>9</v>
      </c>
      <c r="D39" t="s">
        <v>106</v>
      </c>
      <c r="E39" t="s">
        <v>31</v>
      </c>
      <c r="F39">
        <v>85023</v>
      </c>
      <c r="G39" t="s">
        <v>18</v>
      </c>
      <c r="H39" t="s">
        <v>13</v>
      </c>
    </row>
    <row r="40" spans="1:8" x14ac:dyDescent="0.2">
      <c r="A40" t="s">
        <v>402</v>
      </c>
      <c r="B40" t="s">
        <v>117</v>
      </c>
      <c r="C40" t="s">
        <v>9</v>
      </c>
      <c r="D40" t="s">
        <v>118</v>
      </c>
      <c r="E40" t="s">
        <v>119</v>
      </c>
      <c r="F40">
        <v>48205</v>
      </c>
      <c r="G40" t="s">
        <v>12</v>
      </c>
      <c r="H40" t="s">
        <v>13</v>
      </c>
    </row>
    <row r="41" spans="1:8" x14ac:dyDescent="0.2">
      <c r="A41" t="s">
        <v>403</v>
      </c>
      <c r="B41" t="s">
        <v>120</v>
      </c>
      <c r="C41" t="s">
        <v>9</v>
      </c>
      <c r="D41" t="s">
        <v>121</v>
      </c>
      <c r="E41" t="s">
        <v>22</v>
      </c>
      <c r="F41">
        <v>77041</v>
      </c>
      <c r="G41" t="s">
        <v>12</v>
      </c>
      <c r="H41" t="s">
        <v>13</v>
      </c>
    </row>
    <row r="42" spans="1:8" x14ac:dyDescent="0.2">
      <c r="A42" t="s">
        <v>404</v>
      </c>
      <c r="B42" t="s">
        <v>122</v>
      </c>
      <c r="C42" t="s">
        <v>9</v>
      </c>
      <c r="D42" t="s">
        <v>123</v>
      </c>
      <c r="E42" t="s">
        <v>124</v>
      </c>
      <c r="F42">
        <v>61701</v>
      </c>
      <c r="G42" t="s">
        <v>12</v>
      </c>
      <c r="H42" t="s">
        <v>13</v>
      </c>
    </row>
    <row r="43" spans="1:8" x14ac:dyDescent="0.2">
      <c r="A43" t="s">
        <v>405</v>
      </c>
      <c r="B43" t="s">
        <v>125</v>
      </c>
      <c r="C43" t="s">
        <v>9</v>
      </c>
      <c r="D43" t="s">
        <v>126</v>
      </c>
      <c r="E43" t="s">
        <v>26</v>
      </c>
      <c r="F43">
        <v>11561</v>
      </c>
      <c r="G43" t="s">
        <v>27</v>
      </c>
      <c r="H43" t="s">
        <v>13</v>
      </c>
    </row>
    <row r="44" spans="1:8" x14ac:dyDescent="0.2">
      <c r="A44" t="s">
        <v>406</v>
      </c>
      <c r="B44" t="s">
        <v>127</v>
      </c>
      <c r="C44" t="s">
        <v>9</v>
      </c>
      <c r="D44" t="s">
        <v>128</v>
      </c>
      <c r="E44" t="s">
        <v>22</v>
      </c>
      <c r="F44">
        <v>75007</v>
      </c>
      <c r="G44" t="s">
        <v>12</v>
      </c>
      <c r="H44" t="s">
        <v>13</v>
      </c>
    </row>
    <row r="45" spans="1:8" x14ac:dyDescent="0.2">
      <c r="A45" t="s">
        <v>407</v>
      </c>
      <c r="B45" t="s">
        <v>129</v>
      </c>
      <c r="C45" t="s">
        <v>9</v>
      </c>
      <c r="D45" t="s">
        <v>130</v>
      </c>
      <c r="E45" t="s">
        <v>83</v>
      </c>
      <c r="F45">
        <v>74133</v>
      </c>
      <c r="G45" t="s">
        <v>12</v>
      </c>
      <c r="H45" t="s">
        <v>13</v>
      </c>
    </row>
    <row r="46" spans="1:8" x14ac:dyDescent="0.2">
      <c r="A46" t="s">
        <v>408</v>
      </c>
      <c r="B46" t="s">
        <v>131</v>
      </c>
      <c r="C46" t="s">
        <v>9</v>
      </c>
      <c r="D46" t="s">
        <v>132</v>
      </c>
      <c r="E46" t="s">
        <v>22</v>
      </c>
      <c r="F46">
        <v>75220</v>
      </c>
      <c r="G46" t="s">
        <v>12</v>
      </c>
      <c r="H46" t="s">
        <v>13</v>
      </c>
    </row>
    <row r="47" spans="1:8" x14ac:dyDescent="0.2">
      <c r="A47" t="s">
        <v>574</v>
      </c>
      <c r="B47" t="s">
        <v>573</v>
      </c>
      <c r="C47" t="s">
        <v>9</v>
      </c>
      <c r="D47" t="s">
        <v>38</v>
      </c>
      <c r="E47" t="s">
        <v>17</v>
      </c>
      <c r="F47">
        <v>90036</v>
      </c>
      <c r="G47" t="s">
        <v>18</v>
      </c>
      <c r="H47" t="s">
        <v>13</v>
      </c>
    </row>
    <row r="48" spans="1:8" x14ac:dyDescent="0.2">
      <c r="A48" t="s">
        <v>409</v>
      </c>
      <c r="B48" t="s">
        <v>133</v>
      </c>
      <c r="C48" t="s">
        <v>9</v>
      </c>
      <c r="D48" t="s">
        <v>134</v>
      </c>
      <c r="E48" t="s">
        <v>26</v>
      </c>
      <c r="F48">
        <v>10701</v>
      </c>
      <c r="G48" t="s">
        <v>27</v>
      </c>
      <c r="H48" t="s">
        <v>13</v>
      </c>
    </row>
    <row r="49" spans="1:8" x14ac:dyDescent="0.2">
      <c r="A49" t="s">
        <v>410</v>
      </c>
      <c r="B49" t="s">
        <v>135</v>
      </c>
      <c r="C49" t="s">
        <v>90</v>
      </c>
      <c r="D49" t="s">
        <v>136</v>
      </c>
      <c r="E49" t="s">
        <v>137</v>
      </c>
      <c r="F49">
        <v>44052</v>
      </c>
      <c r="G49" t="s">
        <v>27</v>
      </c>
      <c r="H49" t="s">
        <v>13</v>
      </c>
    </row>
    <row r="50" spans="1:8" x14ac:dyDescent="0.2">
      <c r="A50" t="s">
        <v>411</v>
      </c>
      <c r="B50" t="s">
        <v>138</v>
      </c>
      <c r="C50" t="s">
        <v>90</v>
      </c>
      <c r="D50" t="s">
        <v>139</v>
      </c>
      <c r="E50" t="s">
        <v>22</v>
      </c>
      <c r="F50">
        <v>75023</v>
      </c>
      <c r="G50" t="s">
        <v>12</v>
      </c>
      <c r="H50" t="s">
        <v>13</v>
      </c>
    </row>
    <row r="51" spans="1:8" x14ac:dyDescent="0.2">
      <c r="A51" t="s">
        <v>412</v>
      </c>
      <c r="B51" t="s">
        <v>140</v>
      </c>
      <c r="C51" t="s">
        <v>90</v>
      </c>
      <c r="D51" t="s">
        <v>141</v>
      </c>
      <c r="E51" t="s">
        <v>142</v>
      </c>
      <c r="F51">
        <v>88220</v>
      </c>
      <c r="G51" t="s">
        <v>18</v>
      </c>
      <c r="H51" t="s">
        <v>13</v>
      </c>
    </row>
    <row r="52" spans="1:8" x14ac:dyDescent="0.2">
      <c r="A52" t="s">
        <v>413</v>
      </c>
      <c r="B52" t="s">
        <v>143</v>
      </c>
      <c r="C52" t="s">
        <v>90</v>
      </c>
      <c r="D52" t="s">
        <v>97</v>
      </c>
      <c r="E52" t="s">
        <v>67</v>
      </c>
      <c r="F52">
        <v>19134</v>
      </c>
      <c r="G52" t="s">
        <v>27</v>
      </c>
      <c r="H52" t="s">
        <v>13</v>
      </c>
    </row>
    <row r="53" spans="1:8" x14ac:dyDescent="0.2">
      <c r="A53" t="s">
        <v>414</v>
      </c>
      <c r="B53" t="s">
        <v>144</v>
      </c>
      <c r="C53" t="s">
        <v>90</v>
      </c>
      <c r="D53" t="s">
        <v>145</v>
      </c>
      <c r="E53" t="s">
        <v>146</v>
      </c>
      <c r="F53">
        <v>39212</v>
      </c>
      <c r="G53" t="s">
        <v>47</v>
      </c>
      <c r="H53" t="s">
        <v>13</v>
      </c>
    </row>
    <row r="54" spans="1:8" x14ac:dyDescent="0.2">
      <c r="A54" t="s">
        <v>415</v>
      </c>
      <c r="B54" t="s">
        <v>147</v>
      </c>
      <c r="C54" t="s">
        <v>90</v>
      </c>
      <c r="D54" t="s">
        <v>38</v>
      </c>
      <c r="E54" t="s">
        <v>17</v>
      </c>
      <c r="F54">
        <v>90036</v>
      </c>
      <c r="G54" t="s">
        <v>18</v>
      </c>
      <c r="H54" t="s">
        <v>13</v>
      </c>
    </row>
    <row r="55" spans="1:8" x14ac:dyDescent="0.2">
      <c r="A55" t="s">
        <v>416</v>
      </c>
      <c r="B55" t="s">
        <v>148</v>
      </c>
      <c r="C55" t="s">
        <v>90</v>
      </c>
      <c r="D55" t="s">
        <v>85</v>
      </c>
      <c r="E55" t="s">
        <v>86</v>
      </c>
      <c r="F55">
        <v>98103</v>
      </c>
      <c r="G55" t="s">
        <v>18</v>
      </c>
      <c r="H55" t="s">
        <v>13</v>
      </c>
    </row>
    <row r="56" spans="1:8" x14ac:dyDescent="0.2">
      <c r="A56" t="s">
        <v>417</v>
      </c>
      <c r="B56" t="s">
        <v>149</v>
      </c>
      <c r="C56" t="s">
        <v>150</v>
      </c>
      <c r="D56" t="s">
        <v>151</v>
      </c>
      <c r="E56" t="s">
        <v>31</v>
      </c>
      <c r="F56">
        <v>85705</v>
      </c>
      <c r="G56" t="s">
        <v>18</v>
      </c>
      <c r="H56" t="s">
        <v>13</v>
      </c>
    </row>
    <row r="57" spans="1:8" x14ac:dyDescent="0.2">
      <c r="A57" t="s">
        <v>418</v>
      </c>
      <c r="B57" t="s">
        <v>152</v>
      </c>
      <c r="C57" t="s">
        <v>150</v>
      </c>
      <c r="D57" t="s">
        <v>153</v>
      </c>
      <c r="E57" t="s">
        <v>124</v>
      </c>
      <c r="F57">
        <v>60623</v>
      </c>
      <c r="G57" t="s">
        <v>12</v>
      </c>
      <c r="H57" t="s">
        <v>13</v>
      </c>
    </row>
    <row r="58" spans="1:8" x14ac:dyDescent="0.2">
      <c r="A58" t="s">
        <v>419</v>
      </c>
      <c r="B58" t="s">
        <v>154</v>
      </c>
      <c r="C58" t="s">
        <v>150</v>
      </c>
      <c r="D58" t="s">
        <v>38</v>
      </c>
      <c r="E58" t="s">
        <v>17</v>
      </c>
      <c r="F58">
        <v>90004</v>
      </c>
      <c r="G58" t="s">
        <v>18</v>
      </c>
      <c r="H58" t="s">
        <v>13</v>
      </c>
    </row>
    <row r="59" spans="1:8" x14ac:dyDescent="0.2">
      <c r="A59" t="s">
        <v>420</v>
      </c>
      <c r="B59" t="s">
        <v>155</v>
      </c>
      <c r="C59" t="s">
        <v>150</v>
      </c>
      <c r="D59" t="s">
        <v>156</v>
      </c>
      <c r="E59" t="s">
        <v>63</v>
      </c>
      <c r="F59">
        <v>28540</v>
      </c>
      <c r="G59" t="s">
        <v>47</v>
      </c>
      <c r="H59" t="s">
        <v>13</v>
      </c>
    </row>
    <row r="60" spans="1:8" x14ac:dyDescent="0.2">
      <c r="A60" t="s">
        <v>421</v>
      </c>
      <c r="B60" t="s">
        <v>157</v>
      </c>
      <c r="C60" t="s">
        <v>150</v>
      </c>
      <c r="D60" t="s">
        <v>16</v>
      </c>
      <c r="E60" t="s">
        <v>17</v>
      </c>
      <c r="F60">
        <v>94122</v>
      </c>
      <c r="G60" t="s">
        <v>18</v>
      </c>
      <c r="H60" t="s">
        <v>13</v>
      </c>
    </row>
    <row r="61" spans="1:8" x14ac:dyDescent="0.2">
      <c r="A61" t="s">
        <v>421</v>
      </c>
      <c r="B61" t="s">
        <v>157</v>
      </c>
      <c r="C61" t="s">
        <v>150</v>
      </c>
      <c r="D61" t="s">
        <v>16</v>
      </c>
      <c r="E61" t="s">
        <v>17</v>
      </c>
      <c r="F61">
        <v>94122</v>
      </c>
      <c r="G61" t="s">
        <v>18</v>
      </c>
      <c r="H61" t="s">
        <v>13</v>
      </c>
    </row>
    <row r="62" spans="1:8" x14ac:dyDescent="0.2">
      <c r="A62" t="s">
        <v>422</v>
      </c>
      <c r="B62" t="s">
        <v>158</v>
      </c>
      <c r="C62" t="s">
        <v>9</v>
      </c>
      <c r="D62" t="s">
        <v>25</v>
      </c>
      <c r="E62" t="s">
        <v>26</v>
      </c>
      <c r="F62">
        <v>10011</v>
      </c>
      <c r="G62" t="s">
        <v>27</v>
      </c>
      <c r="H62" t="s">
        <v>13</v>
      </c>
    </row>
    <row r="63" spans="1:8" x14ac:dyDescent="0.2">
      <c r="A63" t="s">
        <v>423</v>
      </c>
      <c r="B63" t="s">
        <v>159</v>
      </c>
      <c r="C63" t="s">
        <v>150</v>
      </c>
      <c r="D63" t="s">
        <v>121</v>
      </c>
      <c r="E63" t="s">
        <v>22</v>
      </c>
      <c r="F63">
        <v>77041</v>
      </c>
      <c r="G63" t="s">
        <v>12</v>
      </c>
      <c r="H63" t="s">
        <v>13</v>
      </c>
    </row>
    <row r="64" spans="1:8" x14ac:dyDescent="0.2">
      <c r="A64" t="s">
        <v>424</v>
      </c>
      <c r="B64" t="s">
        <v>160</v>
      </c>
      <c r="C64" t="s">
        <v>150</v>
      </c>
      <c r="D64" t="s">
        <v>161</v>
      </c>
      <c r="E64" t="s">
        <v>162</v>
      </c>
      <c r="F64">
        <v>70506</v>
      </c>
      <c r="G64" t="s">
        <v>47</v>
      </c>
      <c r="H64" t="s">
        <v>13</v>
      </c>
    </row>
    <row r="65" spans="1:8" x14ac:dyDescent="0.2">
      <c r="A65" t="s">
        <v>425</v>
      </c>
      <c r="B65" t="s">
        <v>163</v>
      </c>
      <c r="C65" t="s">
        <v>9</v>
      </c>
      <c r="D65" t="s">
        <v>85</v>
      </c>
      <c r="E65" t="s">
        <v>86</v>
      </c>
      <c r="F65">
        <v>98105</v>
      </c>
      <c r="G65" t="s">
        <v>18</v>
      </c>
      <c r="H65" t="s">
        <v>13</v>
      </c>
    </row>
    <row r="66" spans="1:8" x14ac:dyDescent="0.2">
      <c r="A66" t="s">
        <v>426</v>
      </c>
      <c r="B66" t="s">
        <v>164</v>
      </c>
      <c r="C66" t="s">
        <v>9</v>
      </c>
      <c r="D66" t="s">
        <v>165</v>
      </c>
      <c r="E66" t="s">
        <v>166</v>
      </c>
      <c r="F66">
        <v>33024</v>
      </c>
      <c r="G66" t="s">
        <v>47</v>
      </c>
      <c r="H66" t="s">
        <v>13</v>
      </c>
    </row>
    <row r="67" spans="1:8" x14ac:dyDescent="0.2">
      <c r="A67" t="s">
        <v>427</v>
      </c>
      <c r="B67" t="s">
        <v>167</v>
      </c>
      <c r="C67" t="s">
        <v>150</v>
      </c>
      <c r="D67" t="s">
        <v>25</v>
      </c>
      <c r="E67" t="s">
        <v>26</v>
      </c>
      <c r="F67">
        <v>10009</v>
      </c>
      <c r="G67" t="s">
        <v>27</v>
      </c>
      <c r="H67" t="s">
        <v>13</v>
      </c>
    </row>
    <row r="68" spans="1:8" x14ac:dyDescent="0.2">
      <c r="A68" t="s">
        <v>428</v>
      </c>
      <c r="B68" t="s">
        <v>168</v>
      </c>
      <c r="C68" t="s">
        <v>150</v>
      </c>
      <c r="D68" t="s">
        <v>85</v>
      </c>
      <c r="E68" t="s">
        <v>86</v>
      </c>
      <c r="F68">
        <v>98115</v>
      </c>
      <c r="G68" t="s">
        <v>18</v>
      </c>
      <c r="H68" t="s">
        <v>13</v>
      </c>
    </row>
    <row r="69" spans="1:8" x14ac:dyDescent="0.2">
      <c r="A69" t="s">
        <v>429</v>
      </c>
      <c r="B69" t="s">
        <v>169</v>
      </c>
      <c r="C69" t="s">
        <v>150</v>
      </c>
      <c r="D69" t="s">
        <v>97</v>
      </c>
      <c r="E69" t="s">
        <v>67</v>
      </c>
      <c r="F69">
        <v>19143</v>
      </c>
      <c r="G69" t="s">
        <v>27</v>
      </c>
      <c r="H69" t="s">
        <v>13</v>
      </c>
    </row>
    <row r="70" spans="1:8" x14ac:dyDescent="0.2">
      <c r="A70" t="s">
        <v>430</v>
      </c>
      <c r="B70" t="s">
        <v>170</v>
      </c>
      <c r="C70" t="s">
        <v>150</v>
      </c>
      <c r="D70" t="s">
        <v>171</v>
      </c>
      <c r="E70" t="s">
        <v>22</v>
      </c>
      <c r="F70">
        <v>77705</v>
      </c>
      <c r="G70" t="s">
        <v>12</v>
      </c>
      <c r="H70" t="s">
        <v>13</v>
      </c>
    </row>
    <row r="71" spans="1:8" x14ac:dyDescent="0.2">
      <c r="A71" t="s">
        <v>431</v>
      </c>
      <c r="B71" t="s">
        <v>172</v>
      </c>
      <c r="C71" t="s">
        <v>9</v>
      </c>
      <c r="D71" t="s">
        <v>173</v>
      </c>
      <c r="E71" t="s">
        <v>137</v>
      </c>
      <c r="F71">
        <v>44134</v>
      </c>
      <c r="G71" t="s">
        <v>27</v>
      </c>
      <c r="H71" t="s">
        <v>13</v>
      </c>
    </row>
    <row r="72" spans="1:8" x14ac:dyDescent="0.2">
      <c r="A72" t="s">
        <v>432</v>
      </c>
      <c r="B72" t="s">
        <v>174</v>
      </c>
      <c r="C72" t="s">
        <v>9</v>
      </c>
      <c r="D72" t="s">
        <v>16</v>
      </c>
      <c r="E72" t="s">
        <v>17</v>
      </c>
      <c r="F72">
        <v>94109</v>
      </c>
      <c r="G72" t="s">
        <v>18</v>
      </c>
      <c r="H72" t="s">
        <v>13</v>
      </c>
    </row>
    <row r="73" spans="1:8" x14ac:dyDescent="0.2">
      <c r="A73" t="s">
        <v>433</v>
      </c>
      <c r="B73" t="s">
        <v>175</v>
      </c>
      <c r="C73" t="s">
        <v>9</v>
      </c>
      <c r="D73" t="s">
        <v>176</v>
      </c>
      <c r="E73" t="s">
        <v>104</v>
      </c>
      <c r="F73">
        <v>46226</v>
      </c>
      <c r="G73" t="s">
        <v>12</v>
      </c>
      <c r="H73" t="s">
        <v>13</v>
      </c>
    </row>
    <row r="74" spans="1:8" x14ac:dyDescent="0.2">
      <c r="A74" t="s">
        <v>434</v>
      </c>
      <c r="B74" t="s">
        <v>177</v>
      </c>
      <c r="C74" t="s">
        <v>90</v>
      </c>
      <c r="D74" t="s">
        <v>178</v>
      </c>
      <c r="E74" t="s">
        <v>179</v>
      </c>
      <c r="F74">
        <v>59405</v>
      </c>
      <c r="G74" t="s">
        <v>18</v>
      </c>
      <c r="H74" t="s">
        <v>13</v>
      </c>
    </row>
    <row r="75" spans="1:8" x14ac:dyDescent="0.2">
      <c r="A75" t="s">
        <v>435</v>
      </c>
      <c r="B75" t="s">
        <v>180</v>
      </c>
      <c r="C75" t="s">
        <v>9</v>
      </c>
      <c r="D75" t="s">
        <v>25</v>
      </c>
      <c r="E75" t="s">
        <v>26</v>
      </c>
      <c r="F75">
        <v>10035</v>
      </c>
      <c r="G75" t="s">
        <v>27</v>
      </c>
      <c r="H75" t="s">
        <v>13</v>
      </c>
    </row>
    <row r="76" spans="1:8" x14ac:dyDescent="0.2">
      <c r="A76" t="s">
        <v>436</v>
      </c>
      <c r="B76" t="s">
        <v>181</v>
      </c>
      <c r="C76" t="s">
        <v>90</v>
      </c>
      <c r="D76" t="s">
        <v>97</v>
      </c>
      <c r="E76" t="s">
        <v>67</v>
      </c>
      <c r="F76">
        <v>19120</v>
      </c>
      <c r="G76" t="s">
        <v>27</v>
      </c>
      <c r="H76" t="s">
        <v>13</v>
      </c>
    </row>
    <row r="77" spans="1:8" x14ac:dyDescent="0.2">
      <c r="A77" t="s">
        <v>437</v>
      </c>
      <c r="B77" t="s">
        <v>182</v>
      </c>
      <c r="C77" t="s">
        <v>90</v>
      </c>
      <c r="D77" t="s">
        <v>183</v>
      </c>
      <c r="E77" t="s">
        <v>184</v>
      </c>
      <c r="F77">
        <v>6824</v>
      </c>
      <c r="G77" t="s">
        <v>27</v>
      </c>
      <c r="H77" t="s">
        <v>13</v>
      </c>
    </row>
    <row r="78" spans="1:8" x14ac:dyDescent="0.2">
      <c r="A78" t="s">
        <v>438</v>
      </c>
      <c r="B78" t="s">
        <v>185</v>
      </c>
      <c r="C78" t="s">
        <v>90</v>
      </c>
      <c r="D78" t="s">
        <v>16</v>
      </c>
      <c r="E78" t="s">
        <v>17</v>
      </c>
      <c r="F78">
        <v>94122</v>
      </c>
      <c r="G78" t="s">
        <v>18</v>
      </c>
      <c r="H78" t="s">
        <v>13</v>
      </c>
    </row>
    <row r="79" spans="1:8" x14ac:dyDescent="0.2">
      <c r="A79" t="s">
        <v>439</v>
      </c>
      <c r="B79" t="s">
        <v>186</v>
      </c>
      <c r="C79" t="s">
        <v>90</v>
      </c>
      <c r="D79" t="s">
        <v>97</v>
      </c>
      <c r="E79" t="s">
        <v>67</v>
      </c>
      <c r="F79">
        <v>19134</v>
      </c>
      <c r="G79" t="s">
        <v>27</v>
      </c>
      <c r="H79" t="s">
        <v>13</v>
      </c>
    </row>
    <row r="80" spans="1:8" x14ac:dyDescent="0.2">
      <c r="A80" t="s">
        <v>440</v>
      </c>
      <c r="B80" t="s">
        <v>187</v>
      </c>
      <c r="C80" t="s">
        <v>9</v>
      </c>
      <c r="D80" t="s">
        <v>188</v>
      </c>
      <c r="E80" t="s">
        <v>22</v>
      </c>
      <c r="F80">
        <v>77840</v>
      </c>
      <c r="G80" t="s">
        <v>12</v>
      </c>
      <c r="H80" t="s">
        <v>13</v>
      </c>
    </row>
    <row r="81" spans="1:8" x14ac:dyDescent="0.2">
      <c r="A81" t="s">
        <v>441</v>
      </c>
      <c r="B81" t="s">
        <v>189</v>
      </c>
      <c r="C81" t="s">
        <v>9</v>
      </c>
      <c r="D81" t="s">
        <v>190</v>
      </c>
      <c r="E81" t="s">
        <v>191</v>
      </c>
      <c r="F81">
        <v>7055</v>
      </c>
      <c r="G81" t="s">
        <v>27</v>
      </c>
      <c r="H81" t="s">
        <v>13</v>
      </c>
    </row>
    <row r="82" spans="1:8" x14ac:dyDescent="0.2">
      <c r="A82" t="s">
        <v>442</v>
      </c>
      <c r="B82" t="s">
        <v>192</v>
      </c>
      <c r="C82" t="s">
        <v>9</v>
      </c>
      <c r="D82" t="s">
        <v>153</v>
      </c>
      <c r="E82" t="s">
        <v>124</v>
      </c>
      <c r="F82">
        <v>60610</v>
      </c>
      <c r="G82" t="s">
        <v>12</v>
      </c>
      <c r="H82" t="s">
        <v>13</v>
      </c>
    </row>
    <row r="83" spans="1:8" x14ac:dyDescent="0.2">
      <c r="A83" t="s">
        <v>443</v>
      </c>
      <c r="B83" t="s">
        <v>193</v>
      </c>
      <c r="C83" t="s">
        <v>9</v>
      </c>
      <c r="D83" t="s">
        <v>194</v>
      </c>
      <c r="E83" t="s">
        <v>166</v>
      </c>
      <c r="F83">
        <v>33030</v>
      </c>
      <c r="G83" t="s">
        <v>47</v>
      </c>
      <c r="H83" t="s">
        <v>13</v>
      </c>
    </row>
    <row r="84" spans="1:8" x14ac:dyDescent="0.2">
      <c r="A84" t="s">
        <v>444</v>
      </c>
      <c r="B84" t="s">
        <v>195</v>
      </c>
      <c r="C84" t="s">
        <v>9</v>
      </c>
      <c r="D84" t="s">
        <v>16</v>
      </c>
      <c r="E84" t="s">
        <v>17</v>
      </c>
      <c r="F84">
        <v>94109</v>
      </c>
      <c r="G84" t="s">
        <v>18</v>
      </c>
      <c r="H84" t="s">
        <v>13</v>
      </c>
    </row>
    <row r="85" spans="1:8" x14ac:dyDescent="0.2">
      <c r="A85" t="s">
        <v>576</v>
      </c>
      <c r="B85" t="s">
        <v>575</v>
      </c>
      <c r="C85" t="s">
        <v>9</v>
      </c>
      <c r="D85" t="s">
        <v>251</v>
      </c>
      <c r="E85" t="s">
        <v>73</v>
      </c>
      <c r="F85">
        <v>40214</v>
      </c>
      <c r="G85" t="s">
        <v>47</v>
      </c>
      <c r="H85" t="s">
        <v>13</v>
      </c>
    </row>
    <row r="86" spans="1:8" x14ac:dyDescent="0.2">
      <c r="A86" t="s">
        <v>445</v>
      </c>
      <c r="B86" t="s">
        <v>196</v>
      </c>
      <c r="C86" t="s">
        <v>9</v>
      </c>
      <c r="D86" t="s">
        <v>153</v>
      </c>
      <c r="E86" t="s">
        <v>124</v>
      </c>
      <c r="F86">
        <v>60610</v>
      </c>
      <c r="G86" t="s">
        <v>12</v>
      </c>
      <c r="H86" t="s">
        <v>13</v>
      </c>
    </row>
    <row r="87" spans="1:8" x14ac:dyDescent="0.2">
      <c r="A87" t="s">
        <v>572</v>
      </c>
      <c r="B87" t="s">
        <v>571</v>
      </c>
      <c r="C87" t="s">
        <v>150</v>
      </c>
      <c r="D87" t="s">
        <v>212</v>
      </c>
      <c r="E87" t="s">
        <v>166</v>
      </c>
      <c r="F87">
        <v>33710</v>
      </c>
      <c r="G87" t="s">
        <v>47</v>
      </c>
      <c r="H87" t="s">
        <v>13</v>
      </c>
    </row>
    <row r="88" spans="1:8" x14ac:dyDescent="0.2">
      <c r="A88" t="s">
        <v>446</v>
      </c>
      <c r="B88" t="s">
        <v>197</v>
      </c>
      <c r="C88" t="s">
        <v>9</v>
      </c>
      <c r="D88" t="s">
        <v>198</v>
      </c>
      <c r="E88" t="s">
        <v>199</v>
      </c>
      <c r="F88">
        <v>84084</v>
      </c>
      <c r="G88" t="s">
        <v>18</v>
      </c>
      <c r="H88" t="s">
        <v>13</v>
      </c>
    </row>
    <row r="89" spans="1:8" x14ac:dyDescent="0.2">
      <c r="A89" t="s">
        <v>447</v>
      </c>
      <c r="B89" t="s">
        <v>200</v>
      </c>
      <c r="C89" t="s">
        <v>90</v>
      </c>
      <c r="D89" t="s">
        <v>34</v>
      </c>
      <c r="E89" t="s">
        <v>35</v>
      </c>
      <c r="F89">
        <v>68104</v>
      </c>
      <c r="G89" t="s">
        <v>12</v>
      </c>
      <c r="H89" t="s">
        <v>13</v>
      </c>
    </row>
    <row r="90" spans="1:8" x14ac:dyDescent="0.2">
      <c r="A90" t="s">
        <v>448</v>
      </c>
      <c r="B90" t="s">
        <v>201</v>
      </c>
      <c r="C90" t="s">
        <v>9</v>
      </c>
      <c r="D90" t="s">
        <v>25</v>
      </c>
      <c r="E90" t="s">
        <v>26</v>
      </c>
      <c r="F90">
        <v>10011</v>
      </c>
      <c r="G90" t="s">
        <v>27</v>
      </c>
      <c r="H90" t="s">
        <v>13</v>
      </c>
    </row>
    <row r="91" spans="1:8" x14ac:dyDescent="0.2">
      <c r="A91" t="s">
        <v>449</v>
      </c>
      <c r="B91" t="s">
        <v>202</v>
      </c>
      <c r="C91" t="s">
        <v>9</v>
      </c>
      <c r="D91" t="s">
        <v>176</v>
      </c>
      <c r="E91" t="s">
        <v>79</v>
      </c>
      <c r="F91">
        <v>1841</v>
      </c>
      <c r="G91" t="s">
        <v>27</v>
      </c>
      <c r="H91" t="s">
        <v>13</v>
      </c>
    </row>
    <row r="92" spans="1:8" x14ac:dyDescent="0.2">
      <c r="A92" t="s">
        <v>450</v>
      </c>
      <c r="B92" t="s">
        <v>203</v>
      </c>
      <c r="C92" t="s">
        <v>150</v>
      </c>
      <c r="D92" t="s">
        <v>16</v>
      </c>
      <c r="E92" t="s">
        <v>17</v>
      </c>
      <c r="F92">
        <v>94122</v>
      </c>
      <c r="G92" t="s">
        <v>18</v>
      </c>
      <c r="H92" t="s">
        <v>13</v>
      </c>
    </row>
    <row r="93" spans="1:8" x14ac:dyDescent="0.2">
      <c r="A93" t="s">
        <v>579</v>
      </c>
      <c r="B93" t="s">
        <v>577</v>
      </c>
      <c r="C93" t="s">
        <v>9</v>
      </c>
      <c r="D93" t="s">
        <v>578</v>
      </c>
      <c r="E93" t="s">
        <v>17</v>
      </c>
      <c r="F93">
        <v>95207</v>
      </c>
      <c r="G93" t="s">
        <v>18</v>
      </c>
      <c r="H93" t="s">
        <v>13</v>
      </c>
    </row>
    <row r="94" spans="1:8" x14ac:dyDescent="0.2">
      <c r="A94" t="s">
        <v>451</v>
      </c>
      <c r="B94" t="s">
        <v>204</v>
      </c>
      <c r="C94" t="s">
        <v>9</v>
      </c>
      <c r="D94" t="s">
        <v>205</v>
      </c>
      <c r="E94" t="s">
        <v>137</v>
      </c>
      <c r="F94">
        <v>45231</v>
      </c>
      <c r="G94" t="s">
        <v>27</v>
      </c>
      <c r="H94" t="s">
        <v>13</v>
      </c>
    </row>
    <row r="95" spans="1:8" x14ac:dyDescent="0.2">
      <c r="A95" t="s">
        <v>452</v>
      </c>
      <c r="B95" t="s">
        <v>206</v>
      </c>
      <c r="C95" t="s">
        <v>150</v>
      </c>
      <c r="D95" t="s">
        <v>97</v>
      </c>
      <c r="E95" t="s">
        <v>67</v>
      </c>
      <c r="F95">
        <v>19140</v>
      </c>
      <c r="G95" t="s">
        <v>27</v>
      </c>
      <c r="H95" t="s">
        <v>13</v>
      </c>
    </row>
    <row r="96" spans="1:8" x14ac:dyDescent="0.2">
      <c r="A96" t="s">
        <v>453</v>
      </c>
      <c r="B96" t="s">
        <v>207</v>
      </c>
      <c r="C96" t="s">
        <v>150</v>
      </c>
      <c r="D96" t="s">
        <v>208</v>
      </c>
      <c r="E96" t="s">
        <v>31</v>
      </c>
      <c r="F96">
        <v>85345</v>
      </c>
      <c r="G96" t="s">
        <v>18</v>
      </c>
      <c r="H96" t="s">
        <v>13</v>
      </c>
    </row>
    <row r="97" spans="1:8" x14ac:dyDescent="0.2">
      <c r="A97" t="s">
        <v>454</v>
      </c>
      <c r="B97" t="s">
        <v>209</v>
      </c>
      <c r="C97" t="s">
        <v>150</v>
      </c>
      <c r="D97" t="s">
        <v>121</v>
      </c>
      <c r="E97" t="s">
        <v>22</v>
      </c>
      <c r="F97">
        <v>77041</v>
      </c>
      <c r="G97" t="s">
        <v>12</v>
      </c>
      <c r="H97" t="s">
        <v>13</v>
      </c>
    </row>
    <row r="98" spans="1:8" x14ac:dyDescent="0.2">
      <c r="A98" t="s">
        <v>455</v>
      </c>
      <c r="B98" t="s">
        <v>210</v>
      </c>
      <c r="C98" t="s">
        <v>150</v>
      </c>
      <c r="D98" t="s">
        <v>118</v>
      </c>
      <c r="E98" t="s">
        <v>119</v>
      </c>
      <c r="F98">
        <v>48234</v>
      </c>
      <c r="G98" t="s">
        <v>12</v>
      </c>
      <c r="H98" t="s">
        <v>13</v>
      </c>
    </row>
    <row r="99" spans="1:8" x14ac:dyDescent="0.2">
      <c r="A99" t="s">
        <v>572</v>
      </c>
      <c r="B99" t="s">
        <v>571</v>
      </c>
      <c r="C99" t="s">
        <v>150</v>
      </c>
      <c r="D99" t="s">
        <v>121</v>
      </c>
      <c r="E99" t="s">
        <v>22</v>
      </c>
      <c r="F99">
        <v>77095</v>
      </c>
      <c r="G99" t="s">
        <v>12</v>
      </c>
      <c r="H99" t="s">
        <v>13</v>
      </c>
    </row>
    <row r="100" spans="1:8" x14ac:dyDescent="0.2">
      <c r="A100" t="s">
        <v>456</v>
      </c>
      <c r="B100" t="s">
        <v>211</v>
      </c>
      <c r="C100" t="s">
        <v>150</v>
      </c>
      <c r="D100" t="s">
        <v>212</v>
      </c>
      <c r="E100" t="s">
        <v>166</v>
      </c>
      <c r="F100">
        <v>33710</v>
      </c>
      <c r="G100" t="s">
        <v>47</v>
      </c>
      <c r="H100" t="s">
        <v>13</v>
      </c>
    </row>
    <row r="101" spans="1:8" x14ac:dyDescent="0.2">
      <c r="A101" t="s">
        <v>457</v>
      </c>
      <c r="B101" t="s">
        <v>213</v>
      </c>
      <c r="C101" t="s">
        <v>9</v>
      </c>
      <c r="D101" t="s">
        <v>121</v>
      </c>
      <c r="E101" t="s">
        <v>22</v>
      </c>
      <c r="F101">
        <v>77036</v>
      </c>
      <c r="G101" t="s">
        <v>12</v>
      </c>
      <c r="H101" t="s">
        <v>13</v>
      </c>
    </row>
    <row r="102" spans="1:8" x14ac:dyDescent="0.2">
      <c r="A102" t="s">
        <v>458</v>
      </c>
      <c r="B102" t="s">
        <v>214</v>
      </c>
      <c r="C102" t="s">
        <v>9</v>
      </c>
      <c r="D102" t="s">
        <v>156</v>
      </c>
      <c r="E102" t="s">
        <v>63</v>
      </c>
      <c r="F102">
        <v>28540</v>
      </c>
      <c r="G102" t="s">
        <v>47</v>
      </c>
      <c r="H102" t="s">
        <v>13</v>
      </c>
    </row>
    <row r="103" spans="1:8" x14ac:dyDescent="0.2">
      <c r="A103" t="s">
        <v>459</v>
      </c>
      <c r="B103" t="s">
        <v>215</v>
      </c>
      <c r="C103" t="s">
        <v>9</v>
      </c>
      <c r="D103" t="s">
        <v>216</v>
      </c>
      <c r="E103" t="s">
        <v>22</v>
      </c>
      <c r="F103">
        <v>75002</v>
      </c>
      <c r="G103" t="s">
        <v>12</v>
      </c>
      <c r="H103" t="s">
        <v>13</v>
      </c>
    </row>
    <row r="104" spans="1:8" x14ac:dyDescent="0.2">
      <c r="A104" t="s">
        <v>460</v>
      </c>
      <c r="B104" t="s">
        <v>217</v>
      </c>
      <c r="C104" t="s">
        <v>9</v>
      </c>
      <c r="D104" t="s">
        <v>218</v>
      </c>
      <c r="E104" t="s">
        <v>46</v>
      </c>
      <c r="F104">
        <v>31907</v>
      </c>
      <c r="G104" t="s">
        <v>47</v>
      </c>
      <c r="H104" t="s">
        <v>13</v>
      </c>
    </row>
    <row r="105" spans="1:8" x14ac:dyDescent="0.2">
      <c r="A105" t="s">
        <v>461</v>
      </c>
      <c r="B105" t="s">
        <v>219</v>
      </c>
      <c r="C105" t="s">
        <v>9</v>
      </c>
      <c r="D105" t="s">
        <v>41</v>
      </c>
      <c r="E105" t="s">
        <v>95</v>
      </c>
      <c r="F105">
        <v>24153</v>
      </c>
      <c r="G105" t="s">
        <v>47</v>
      </c>
      <c r="H105" t="s">
        <v>13</v>
      </c>
    </row>
    <row r="106" spans="1:8" x14ac:dyDescent="0.2">
      <c r="A106" t="s">
        <v>462</v>
      </c>
      <c r="B106" t="s">
        <v>220</v>
      </c>
      <c r="C106" t="s">
        <v>90</v>
      </c>
      <c r="D106" t="s">
        <v>97</v>
      </c>
      <c r="E106" t="s">
        <v>67</v>
      </c>
      <c r="F106">
        <v>19120</v>
      </c>
      <c r="G106" t="s">
        <v>27</v>
      </c>
      <c r="H106" t="s">
        <v>13</v>
      </c>
    </row>
    <row r="107" spans="1:8" x14ac:dyDescent="0.2">
      <c r="A107" t="s">
        <v>463</v>
      </c>
      <c r="B107" t="s">
        <v>221</v>
      </c>
      <c r="C107" t="s">
        <v>90</v>
      </c>
      <c r="D107" t="s">
        <v>222</v>
      </c>
      <c r="E107" t="s">
        <v>95</v>
      </c>
      <c r="F107">
        <v>23666</v>
      </c>
      <c r="G107" t="s">
        <v>47</v>
      </c>
      <c r="H107" t="s">
        <v>13</v>
      </c>
    </row>
    <row r="108" spans="1:8" x14ac:dyDescent="0.2">
      <c r="A108" t="s">
        <v>464</v>
      </c>
      <c r="B108" t="s">
        <v>223</v>
      </c>
      <c r="C108" t="s">
        <v>90</v>
      </c>
      <c r="D108" t="s">
        <v>153</v>
      </c>
      <c r="E108" t="s">
        <v>124</v>
      </c>
      <c r="F108">
        <v>60623</v>
      </c>
      <c r="G108" t="s">
        <v>12</v>
      </c>
      <c r="H108" t="s">
        <v>13</v>
      </c>
    </row>
    <row r="109" spans="1:8" x14ac:dyDescent="0.2">
      <c r="A109" t="s">
        <v>465</v>
      </c>
      <c r="B109" t="s">
        <v>224</v>
      </c>
      <c r="C109" t="s">
        <v>9</v>
      </c>
      <c r="D109" t="s">
        <v>151</v>
      </c>
      <c r="E109" t="s">
        <v>31</v>
      </c>
      <c r="F109">
        <v>85705</v>
      </c>
      <c r="G109" t="s">
        <v>18</v>
      </c>
      <c r="H109" t="s">
        <v>13</v>
      </c>
    </row>
    <row r="110" spans="1:8" x14ac:dyDescent="0.2">
      <c r="A110" t="s">
        <v>466</v>
      </c>
      <c r="B110" t="s">
        <v>225</v>
      </c>
      <c r="C110" t="s">
        <v>9</v>
      </c>
      <c r="D110" t="s">
        <v>38</v>
      </c>
      <c r="E110" t="s">
        <v>17</v>
      </c>
      <c r="F110">
        <v>90008</v>
      </c>
      <c r="G110" t="s">
        <v>18</v>
      </c>
      <c r="H110" t="s">
        <v>13</v>
      </c>
    </row>
    <row r="111" spans="1:8" x14ac:dyDescent="0.2">
      <c r="A111" t="s">
        <v>467</v>
      </c>
      <c r="B111" t="s">
        <v>226</v>
      </c>
      <c r="C111" t="s">
        <v>9</v>
      </c>
      <c r="D111" t="s">
        <v>227</v>
      </c>
      <c r="E111" t="s">
        <v>184</v>
      </c>
      <c r="F111">
        <v>6708</v>
      </c>
      <c r="G111" t="s">
        <v>27</v>
      </c>
      <c r="H111" t="s">
        <v>13</v>
      </c>
    </row>
    <row r="112" spans="1:8" x14ac:dyDescent="0.2">
      <c r="A112" t="s">
        <v>468</v>
      </c>
      <c r="B112" t="s">
        <v>228</v>
      </c>
      <c r="C112" t="s">
        <v>150</v>
      </c>
      <c r="D112" t="s">
        <v>229</v>
      </c>
      <c r="E112" t="s">
        <v>230</v>
      </c>
      <c r="F112">
        <v>89115</v>
      </c>
      <c r="G112" t="s">
        <v>18</v>
      </c>
      <c r="H112" t="s">
        <v>13</v>
      </c>
    </row>
    <row r="113" spans="1:8" x14ac:dyDescent="0.2">
      <c r="A113" t="s">
        <v>469</v>
      </c>
      <c r="B113" t="s">
        <v>231</v>
      </c>
      <c r="C113" t="s">
        <v>9</v>
      </c>
      <c r="D113" t="s">
        <v>232</v>
      </c>
      <c r="E113" t="s">
        <v>233</v>
      </c>
      <c r="F113">
        <v>54703</v>
      </c>
      <c r="G113" t="s">
        <v>12</v>
      </c>
      <c r="H113" t="s">
        <v>13</v>
      </c>
    </row>
    <row r="114" spans="1:8" x14ac:dyDescent="0.2">
      <c r="A114" t="s">
        <v>470</v>
      </c>
      <c r="B114" t="s">
        <v>234</v>
      </c>
      <c r="C114" t="s">
        <v>9</v>
      </c>
      <c r="D114" t="s">
        <v>97</v>
      </c>
      <c r="E114" t="s">
        <v>67</v>
      </c>
      <c r="F114">
        <v>19134</v>
      </c>
      <c r="G114" t="s">
        <v>27</v>
      </c>
      <c r="H114" t="s">
        <v>13</v>
      </c>
    </row>
    <row r="115" spans="1:8" x14ac:dyDescent="0.2">
      <c r="A115" t="s">
        <v>471</v>
      </c>
      <c r="B115" t="s">
        <v>235</v>
      </c>
      <c r="C115" t="s">
        <v>9</v>
      </c>
      <c r="D115" t="s">
        <v>76</v>
      </c>
      <c r="E115" t="s">
        <v>17</v>
      </c>
      <c r="F115">
        <v>92105</v>
      </c>
      <c r="G115" t="s">
        <v>18</v>
      </c>
      <c r="H115" t="s">
        <v>13</v>
      </c>
    </row>
    <row r="116" spans="1:8" x14ac:dyDescent="0.2">
      <c r="A116" t="s">
        <v>472</v>
      </c>
      <c r="B116" t="s">
        <v>236</v>
      </c>
      <c r="C116" t="s">
        <v>150</v>
      </c>
      <c r="D116" t="s">
        <v>237</v>
      </c>
      <c r="E116" t="s">
        <v>26</v>
      </c>
      <c r="F116">
        <v>12180</v>
      </c>
      <c r="G116" t="s">
        <v>27</v>
      </c>
      <c r="H116" t="s">
        <v>13</v>
      </c>
    </row>
    <row r="117" spans="1:8" x14ac:dyDescent="0.2">
      <c r="A117" t="s">
        <v>473</v>
      </c>
      <c r="B117" t="s">
        <v>238</v>
      </c>
      <c r="C117" t="s">
        <v>150</v>
      </c>
      <c r="D117" t="s">
        <v>25</v>
      </c>
      <c r="E117" t="s">
        <v>26</v>
      </c>
      <c r="F117">
        <v>10035</v>
      </c>
      <c r="G117" t="s">
        <v>27</v>
      </c>
      <c r="H117" t="s">
        <v>13</v>
      </c>
    </row>
    <row r="118" spans="1:8" x14ac:dyDescent="0.2">
      <c r="A118" t="s">
        <v>474</v>
      </c>
      <c r="B118" t="s">
        <v>239</v>
      </c>
      <c r="C118" t="s">
        <v>150</v>
      </c>
      <c r="D118" t="s">
        <v>25</v>
      </c>
      <c r="E118" t="s">
        <v>26</v>
      </c>
      <c r="F118">
        <v>10011</v>
      </c>
      <c r="G118" t="s">
        <v>27</v>
      </c>
      <c r="H118" t="s">
        <v>13</v>
      </c>
    </row>
    <row r="119" spans="1:8" x14ac:dyDescent="0.2">
      <c r="A119" t="s">
        <v>475</v>
      </c>
      <c r="B119" t="s">
        <v>240</v>
      </c>
      <c r="C119" t="s">
        <v>150</v>
      </c>
      <c r="D119" t="s">
        <v>108</v>
      </c>
      <c r="E119" t="s">
        <v>230</v>
      </c>
      <c r="F119">
        <v>89015</v>
      </c>
      <c r="G119" t="s">
        <v>18</v>
      </c>
      <c r="H119" t="s">
        <v>13</v>
      </c>
    </row>
    <row r="120" spans="1:8" x14ac:dyDescent="0.2">
      <c r="A120" t="s">
        <v>476</v>
      </c>
      <c r="B120" t="s">
        <v>241</v>
      </c>
      <c r="C120" t="s">
        <v>150</v>
      </c>
      <c r="D120" t="s">
        <v>242</v>
      </c>
      <c r="E120" t="s">
        <v>53</v>
      </c>
      <c r="F120">
        <v>37918</v>
      </c>
      <c r="G120" t="s">
        <v>47</v>
      </c>
      <c r="H120" t="s">
        <v>13</v>
      </c>
    </row>
    <row r="121" spans="1:8" x14ac:dyDescent="0.2">
      <c r="A121" t="s">
        <v>477</v>
      </c>
      <c r="B121" t="s">
        <v>243</v>
      </c>
      <c r="C121" t="s">
        <v>150</v>
      </c>
      <c r="D121" t="s">
        <v>66</v>
      </c>
      <c r="E121" t="s">
        <v>67</v>
      </c>
      <c r="F121">
        <v>19013</v>
      </c>
      <c r="G121" t="s">
        <v>27</v>
      </c>
      <c r="H121" t="s">
        <v>13</v>
      </c>
    </row>
    <row r="122" spans="1:8" x14ac:dyDescent="0.2">
      <c r="A122" t="s">
        <v>478</v>
      </c>
      <c r="B122" t="s">
        <v>244</v>
      </c>
      <c r="C122" t="s">
        <v>150</v>
      </c>
      <c r="D122" t="s">
        <v>87</v>
      </c>
      <c r="E122" t="s">
        <v>22</v>
      </c>
      <c r="F122">
        <v>76017</v>
      </c>
      <c r="G122" t="s">
        <v>12</v>
      </c>
      <c r="H122" t="s">
        <v>13</v>
      </c>
    </row>
    <row r="123" spans="1:8" x14ac:dyDescent="0.2">
      <c r="A123" t="s">
        <v>479</v>
      </c>
      <c r="B123" t="s">
        <v>245</v>
      </c>
      <c r="C123" t="s">
        <v>150</v>
      </c>
      <c r="D123" t="s">
        <v>246</v>
      </c>
      <c r="E123" t="s">
        <v>59</v>
      </c>
      <c r="F123">
        <v>2920</v>
      </c>
      <c r="G123" t="s">
        <v>27</v>
      </c>
      <c r="H123" t="s">
        <v>13</v>
      </c>
    </row>
    <row r="124" spans="1:8" x14ac:dyDescent="0.2">
      <c r="A124" t="s">
        <v>480</v>
      </c>
      <c r="B124" t="s">
        <v>247</v>
      </c>
      <c r="C124" t="s">
        <v>90</v>
      </c>
      <c r="D124" t="s">
        <v>151</v>
      </c>
      <c r="E124" t="s">
        <v>31</v>
      </c>
      <c r="F124">
        <v>85705</v>
      </c>
      <c r="G124" t="s">
        <v>18</v>
      </c>
      <c r="H124" t="s">
        <v>13</v>
      </c>
    </row>
    <row r="125" spans="1:8" x14ac:dyDescent="0.2">
      <c r="A125" t="s">
        <v>481</v>
      </c>
      <c r="B125" t="s">
        <v>248</v>
      </c>
      <c r="C125" t="s">
        <v>90</v>
      </c>
      <c r="D125" t="s">
        <v>41</v>
      </c>
      <c r="E125" t="s">
        <v>42</v>
      </c>
      <c r="F125">
        <v>97301</v>
      </c>
      <c r="G125" t="s">
        <v>18</v>
      </c>
      <c r="H125" t="s">
        <v>13</v>
      </c>
    </row>
    <row r="126" spans="1:8" x14ac:dyDescent="0.2">
      <c r="A126" t="s">
        <v>482</v>
      </c>
      <c r="B126" t="s">
        <v>249</v>
      </c>
      <c r="C126" t="s">
        <v>90</v>
      </c>
      <c r="D126" t="s">
        <v>132</v>
      </c>
      <c r="E126" t="s">
        <v>22</v>
      </c>
      <c r="F126">
        <v>75217</v>
      </c>
      <c r="G126" t="s">
        <v>12</v>
      </c>
      <c r="H126" t="s">
        <v>13</v>
      </c>
    </row>
    <row r="127" spans="1:8" x14ac:dyDescent="0.2">
      <c r="A127" t="s">
        <v>483</v>
      </c>
      <c r="B127" t="s">
        <v>250</v>
      </c>
      <c r="C127" t="s">
        <v>90</v>
      </c>
      <c r="D127" t="s">
        <v>251</v>
      </c>
      <c r="E127" t="s">
        <v>73</v>
      </c>
      <c r="F127">
        <v>40214</v>
      </c>
      <c r="G127" t="s">
        <v>47</v>
      </c>
      <c r="H127" t="s">
        <v>13</v>
      </c>
    </row>
    <row r="128" spans="1:8" x14ac:dyDescent="0.2">
      <c r="A128" t="s">
        <v>484</v>
      </c>
      <c r="B128" t="s">
        <v>252</v>
      </c>
      <c r="C128" t="s">
        <v>150</v>
      </c>
      <c r="D128" t="s">
        <v>253</v>
      </c>
      <c r="E128" t="s">
        <v>166</v>
      </c>
      <c r="F128">
        <v>33319</v>
      </c>
      <c r="G128" t="s">
        <v>47</v>
      </c>
      <c r="H128" t="s">
        <v>13</v>
      </c>
    </row>
    <row r="129" spans="1:8" x14ac:dyDescent="0.2">
      <c r="A129" t="s">
        <v>485</v>
      </c>
      <c r="B129" t="s">
        <v>254</v>
      </c>
      <c r="C129" t="s">
        <v>150</v>
      </c>
      <c r="D129" t="s">
        <v>255</v>
      </c>
      <c r="E129" t="s">
        <v>67</v>
      </c>
      <c r="F129">
        <v>18018</v>
      </c>
      <c r="G129" t="s">
        <v>27</v>
      </c>
      <c r="H129" t="s">
        <v>13</v>
      </c>
    </row>
    <row r="130" spans="1:8" x14ac:dyDescent="0.2">
      <c r="A130" t="s">
        <v>486</v>
      </c>
      <c r="B130" t="s">
        <v>256</v>
      </c>
      <c r="C130" t="s">
        <v>150</v>
      </c>
      <c r="D130" t="s">
        <v>25</v>
      </c>
      <c r="E130" t="s">
        <v>26</v>
      </c>
      <c r="F130">
        <v>10024</v>
      </c>
      <c r="G130" t="s">
        <v>27</v>
      </c>
      <c r="H130" t="s">
        <v>13</v>
      </c>
    </row>
    <row r="131" spans="1:8" x14ac:dyDescent="0.2">
      <c r="A131" t="s">
        <v>487</v>
      </c>
      <c r="B131" t="s">
        <v>257</v>
      </c>
      <c r="C131" t="s">
        <v>9</v>
      </c>
      <c r="D131" t="s">
        <v>258</v>
      </c>
      <c r="E131" t="s">
        <v>17</v>
      </c>
      <c r="F131">
        <v>94513</v>
      </c>
      <c r="G131" t="s">
        <v>18</v>
      </c>
      <c r="H131" t="s">
        <v>13</v>
      </c>
    </row>
    <row r="132" spans="1:8" x14ac:dyDescent="0.2">
      <c r="A132" t="s">
        <v>488</v>
      </c>
      <c r="B132" t="s">
        <v>259</v>
      </c>
      <c r="C132" t="s">
        <v>9</v>
      </c>
      <c r="D132" t="s">
        <v>260</v>
      </c>
      <c r="E132" t="s">
        <v>17</v>
      </c>
      <c r="F132">
        <v>92804</v>
      </c>
      <c r="G132" t="s">
        <v>18</v>
      </c>
      <c r="H132" t="s">
        <v>13</v>
      </c>
    </row>
    <row r="133" spans="1:8" x14ac:dyDescent="0.2">
      <c r="A133" t="s">
        <v>489</v>
      </c>
      <c r="B133" t="s">
        <v>261</v>
      </c>
      <c r="C133" t="s">
        <v>9</v>
      </c>
      <c r="D133" t="s">
        <v>85</v>
      </c>
      <c r="E133" t="s">
        <v>86</v>
      </c>
      <c r="F133">
        <v>98105</v>
      </c>
      <c r="G133" t="s">
        <v>18</v>
      </c>
      <c r="H133" t="s">
        <v>13</v>
      </c>
    </row>
    <row r="134" spans="1:8" x14ac:dyDescent="0.2">
      <c r="A134" t="s">
        <v>490</v>
      </c>
      <c r="B134" t="s">
        <v>262</v>
      </c>
      <c r="C134" t="s">
        <v>9</v>
      </c>
      <c r="D134" t="s">
        <v>25</v>
      </c>
      <c r="E134" t="s">
        <v>26</v>
      </c>
      <c r="F134">
        <v>10035</v>
      </c>
      <c r="G134" t="s">
        <v>27</v>
      </c>
      <c r="H134" t="s">
        <v>13</v>
      </c>
    </row>
    <row r="135" spans="1:8" x14ac:dyDescent="0.2">
      <c r="A135" t="s">
        <v>491</v>
      </c>
      <c r="B135" t="s">
        <v>263</v>
      </c>
      <c r="C135" t="s">
        <v>9</v>
      </c>
      <c r="D135" t="s">
        <v>132</v>
      </c>
      <c r="E135" t="s">
        <v>22</v>
      </c>
      <c r="F135">
        <v>75217</v>
      </c>
      <c r="G135" t="s">
        <v>12</v>
      </c>
      <c r="H135" t="s">
        <v>13</v>
      </c>
    </row>
    <row r="136" spans="1:8" x14ac:dyDescent="0.2">
      <c r="A136" t="s">
        <v>492</v>
      </c>
      <c r="B136" t="s">
        <v>264</v>
      </c>
      <c r="C136" t="s">
        <v>9</v>
      </c>
      <c r="D136" t="s">
        <v>153</v>
      </c>
      <c r="E136" t="s">
        <v>124</v>
      </c>
      <c r="F136">
        <v>60623</v>
      </c>
      <c r="G136" t="s">
        <v>12</v>
      </c>
      <c r="H136" t="s">
        <v>13</v>
      </c>
    </row>
    <row r="137" spans="1:8" x14ac:dyDescent="0.2">
      <c r="A137" t="s">
        <v>493</v>
      </c>
      <c r="B137" t="s">
        <v>265</v>
      </c>
      <c r="C137" t="s">
        <v>9</v>
      </c>
      <c r="D137" t="s">
        <v>85</v>
      </c>
      <c r="E137" t="s">
        <v>86</v>
      </c>
      <c r="F137">
        <v>98105</v>
      </c>
      <c r="G137" t="s">
        <v>18</v>
      </c>
      <c r="H137" t="s">
        <v>13</v>
      </c>
    </row>
    <row r="138" spans="1:8" x14ac:dyDescent="0.2">
      <c r="A138" t="s">
        <v>494</v>
      </c>
      <c r="B138" t="s">
        <v>266</v>
      </c>
      <c r="C138" t="s">
        <v>150</v>
      </c>
      <c r="D138" t="s">
        <v>267</v>
      </c>
      <c r="E138" t="s">
        <v>166</v>
      </c>
      <c r="F138">
        <v>33317</v>
      </c>
      <c r="G138" t="s">
        <v>47</v>
      </c>
      <c r="H138" t="s">
        <v>13</v>
      </c>
    </row>
    <row r="139" spans="1:8" x14ac:dyDescent="0.2">
      <c r="A139" t="s">
        <v>495</v>
      </c>
      <c r="B139" t="s">
        <v>268</v>
      </c>
      <c r="C139" t="s">
        <v>150</v>
      </c>
      <c r="D139" t="s">
        <v>76</v>
      </c>
      <c r="E139" t="s">
        <v>17</v>
      </c>
      <c r="F139">
        <v>92024</v>
      </c>
      <c r="G139" t="s">
        <v>18</v>
      </c>
      <c r="H139" t="s">
        <v>13</v>
      </c>
    </row>
    <row r="140" spans="1:8" x14ac:dyDescent="0.2">
      <c r="A140" t="s">
        <v>496</v>
      </c>
      <c r="B140" t="s">
        <v>269</v>
      </c>
      <c r="C140" t="s">
        <v>150</v>
      </c>
      <c r="D140" t="s">
        <v>270</v>
      </c>
      <c r="E140" t="s">
        <v>95</v>
      </c>
      <c r="F140">
        <v>22153</v>
      </c>
      <c r="G140" t="s">
        <v>47</v>
      </c>
      <c r="H140" t="s">
        <v>13</v>
      </c>
    </row>
    <row r="141" spans="1:8" x14ac:dyDescent="0.2">
      <c r="A141" t="s">
        <v>497</v>
      </c>
      <c r="B141" t="s">
        <v>271</v>
      </c>
      <c r="C141" t="s">
        <v>150</v>
      </c>
      <c r="D141" t="s">
        <v>121</v>
      </c>
      <c r="E141" t="s">
        <v>22</v>
      </c>
      <c r="F141">
        <v>77095</v>
      </c>
      <c r="G141" t="s">
        <v>12</v>
      </c>
      <c r="H141" t="s">
        <v>13</v>
      </c>
    </row>
    <row r="142" spans="1:8" x14ac:dyDescent="0.2">
      <c r="A142" t="s">
        <v>498</v>
      </c>
      <c r="B142" t="s">
        <v>272</v>
      </c>
      <c r="C142" t="s">
        <v>150</v>
      </c>
      <c r="D142" t="s">
        <v>118</v>
      </c>
      <c r="E142" t="s">
        <v>119</v>
      </c>
      <c r="F142">
        <v>48205</v>
      </c>
      <c r="G142" t="s">
        <v>12</v>
      </c>
      <c r="H142" t="s">
        <v>13</v>
      </c>
    </row>
    <row r="143" spans="1:8" x14ac:dyDescent="0.2">
      <c r="A143" t="s">
        <v>499</v>
      </c>
      <c r="B143" t="s">
        <v>273</v>
      </c>
      <c r="C143" t="s">
        <v>9</v>
      </c>
      <c r="D143" t="s">
        <v>97</v>
      </c>
      <c r="E143" t="s">
        <v>67</v>
      </c>
      <c r="F143">
        <v>19120</v>
      </c>
      <c r="G143" t="s">
        <v>27</v>
      </c>
      <c r="H143" t="s">
        <v>13</v>
      </c>
    </row>
    <row r="144" spans="1:8" x14ac:dyDescent="0.2">
      <c r="A144" t="s">
        <v>500</v>
      </c>
      <c r="B144" t="s">
        <v>274</v>
      </c>
      <c r="C144" t="s">
        <v>90</v>
      </c>
      <c r="D144" t="s">
        <v>38</v>
      </c>
      <c r="E144" t="s">
        <v>17</v>
      </c>
      <c r="F144">
        <v>90036</v>
      </c>
      <c r="G144" t="s">
        <v>18</v>
      </c>
      <c r="H144" t="s">
        <v>13</v>
      </c>
    </row>
    <row r="145" spans="1:8" x14ac:dyDescent="0.2">
      <c r="A145" t="s">
        <v>501</v>
      </c>
      <c r="B145" t="s">
        <v>275</v>
      </c>
      <c r="C145" t="s">
        <v>9</v>
      </c>
      <c r="D145" t="s">
        <v>276</v>
      </c>
      <c r="E145" t="s">
        <v>31</v>
      </c>
      <c r="F145">
        <v>85301</v>
      </c>
      <c r="G145" t="s">
        <v>18</v>
      </c>
      <c r="H145" t="s">
        <v>13</v>
      </c>
    </row>
    <row r="146" spans="1:8" x14ac:dyDescent="0.2">
      <c r="A146" t="s">
        <v>502</v>
      </c>
      <c r="B146" t="s">
        <v>277</v>
      </c>
      <c r="C146" t="s">
        <v>9</v>
      </c>
      <c r="D146" t="s">
        <v>258</v>
      </c>
      <c r="E146" t="s">
        <v>17</v>
      </c>
      <c r="F146">
        <v>94513</v>
      </c>
      <c r="G146" t="s">
        <v>18</v>
      </c>
      <c r="H146" t="s">
        <v>13</v>
      </c>
    </row>
    <row r="147" spans="1:8" x14ac:dyDescent="0.2">
      <c r="A147" t="s">
        <v>503</v>
      </c>
      <c r="B147" t="s">
        <v>278</v>
      </c>
      <c r="C147" t="s">
        <v>150</v>
      </c>
      <c r="D147" t="s">
        <v>270</v>
      </c>
      <c r="E147" t="s">
        <v>95</v>
      </c>
      <c r="F147">
        <v>22153</v>
      </c>
      <c r="G147" t="s">
        <v>47</v>
      </c>
      <c r="H147" t="s">
        <v>13</v>
      </c>
    </row>
    <row r="148" spans="1:8" x14ac:dyDescent="0.2">
      <c r="A148" t="s">
        <v>504</v>
      </c>
      <c r="B148" t="s">
        <v>279</v>
      </c>
      <c r="C148" t="s">
        <v>150</v>
      </c>
      <c r="D148" t="s">
        <v>280</v>
      </c>
      <c r="E148" t="s">
        <v>79</v>
      </c>
      <c r="F148">
        <v>1915</v>
      </c>
      <c r="G148" t="s">
        <v>27</v>
      </c>
      <c r="H148" t="s">
        <v>13</v>
      </c>
    </row>
    <row r="149" spans="1:8" x14ac:dyDescent="0.2">
      <c r="A149" t="s">
        <v>505</v>
      </c>
      <c r="B149" t="s">
        <v>281</v>
      </c>
      <c r="C149" t="s">
        <v>150</v>
      </c>
      <c r="D149" t="s">
        <v>282</v>
      </c>
      <c r="E149" t="s">
        <v>283</v>
      </c>
      <c r="F149">
        <v>21215</v>
      </c>
      <c r="G149" t="s">
        <v>27</v>
      </c>
      <c r="H149" t="s">
        <v>13</v>
      </c>
    </row>
    <row r="150" spans="1:8" x14ac:dyDescent="0.2">
      <c r="A150" t="s">
        <v>506</v>
      </c>
      <c r="B150" t="s">
        <v>284</v>
      </c>
      <c r="C150" t="s">
        <v>150</v>
      </c>
      <c r="D150" t="s">
        <v>212</v>
      </c>
      <c r="E150" t="s">
        <v>166</v>
      </c>
      <c r="F150">
        <v>33710</v>
      </c>
      <c r="G150" t="s">
        <v>47</v>
      </c>
      <c r="H150" t="s">
        <v>13</v>
      </c>
    </row>
    <row r="151" spans="1:8" x14ac:dyDescent="0.2">
      <c r="A151" t="s">
        <v>507</v>
      </c>
      <c r="B151" t="s">
        <v>285</v>
      </c>
      <c r="C151" t="s">
        <v>150</v>
      </c>
      <c r="D151" t="s">
        <v>16</v>
      </c>
      <c r="E151" t="s">
        <v>17</v>
      </c>
      <c r="F151">
        <v>94110</v>
      </c>
      <c r="G151" t="s">
        <v>18</v>
      </c>
      <c r="H151" t="s">
        <v>13</v>
      </c>
    </row>
    <row r="152" spans="1:8" x14ac:dyDescent="0.2">
      <c r="A152" t="s">
        <v>508</v>
      </c>
      <c r="B152" t="s">
        <v>286</v>
      </c>
      <c r="C152" t="s">
        <v>150</v>
      </c>
      <c r="D152" t="s">
        <v>287</v>
      </c>
      <c r="E152" t="s">
        <v>17</v>
      </c>
      <c r="F152">
        <v>92307</v>
      </c>
      <c r="G152" t="s">
        <v>18</v>
      </c>
      <c r="H152" t="s">
        <v>13</v>
      </c>
    </row>
    <row r="153" spans="1:8" x14ac:dyDescent="0.2">
      <c r="A153" t="s">
        <v>509</v>
      </c>
      <c r="B153" t="s">
        <v>288</v>
      </c>
      <c r="C153" t="s">
        <v>150</v>
      </c>
      <c r="D153" t="s">
        <v>270</v>
      </c>
      <c r="E153" t="s">
        <v>95</v>
      </c>
      <c r="F153">
        <v>22153</v>
      </c>
      <c r="G153" t="s">
        <v>47</v>
      </c>
      <c r="H153" t="s">
        <v>13</v>
      </c>
    </row>
    <row r="154" spans="1:8" x14ac:dyDescent="0.2">
      <c r="A154" t="s">
        <v>510</v>
      </c>
      <c r="B154" t="s">
        <v>289</v>
      </c>
      <c r="C154" t="s">
        <v>9</v>
      </c>
      <c r="D154" t="s">
        <v>290</v>
      </c>
      <c r="E154" t="s">
        <v>63</v>
      </c>
      <c r="F154">
        <v>28403</v>
      </c>
      <c r="G154" t="s">
        <v>47</v>
      </c>
      <c r="H154" t="s">
        <v>13</v>
      </c>
    </row>
    <row r="155" spans="1:8" x14ac:dyDescent="0.2">
      <c r="A155" t="s">
        <v>511</v>
      </c>
      <c r="B155" t="s">
        <v>291</v>
      </c>
      <c r="C155" t="s">
        <v>9</v>
      </c>
      <c r="D155" t="s">
        <v>118</v>
      </c>
      <c r="E155" t="s">
        <v>119</v>
      </c>
      <c r="F155">
        <v>48227</v>
      </c>
      <c r="G155" t="s">
        <v>12</v>
      </c>
      <c r="H155" t="s">
        <v>13</v>
      </c>
    </row>
    <row r="156" spans="1:8" x14ac:dyDescent="0.2">
      <c r="A156" t="s">
        <v>512</v>
      </c>
      <c r="B156" t="s">
        <v>292</v>
      </c>
      <c r="C156" t="s">
        <v>9</v>
      </c>
      <c r="D156" t="s">
        <v>293</v>
      </c>
      <c r="E156" t="s">
        <v>26</v>
      </c>
      <c r="F156">
        <v>14609</v>
      </c>
      <c r="G156" t="s">
        <v>27</v>
      </c>
      <c r="H156" t="s">
        <v>13</v>
      </c>
    </row>
    <row r="157" spans="1:8" x14ac:dyDescent="0.2">
      <c r="A157" t="s">
        <v>513</v>
      </c>
      <c r="B157" t="s">
        <v>294</v>
      </c>
      <c r="C157" t="s">
        <v>150</v>
      </c>
      <c r="D157" t="s">
        <v>295</v>
      </c>
      <c r="E157" t="s">
        <v>22</v>
      </c>
      <c r="F157">
        <v>75051</v>
      </c>
      <c r="G157" t="s">
        <v>12</v>
      </c>
      <c r="H157" t="s">
        <v>13</v>
      </c>
    </row>
    <row r="158" spans="1:8" x14ac:dyDescent="0.2">
      <c r="A158" t="s">
        <v>514</v>
      </c>
      <c r="B158" t="s">
        <v>296</v>
      </c>
      <c r="C158" t="s">
        <v>150</v>
      </c>
      <c r="D158" t="s">
        <v>38</v>
      </c>
      <c r="E158" t="s">
        <v>17</v>
      </c>
      <c r="F158">
        <v>90032</v>
      </c>
      <c r="G158" t="s">
        <v>18</v>
      </c>
      <c r="H158" t="s">
        <v>13</v>
      </c>
    </row>
    <row r="159" spans="1:8" x14ac:dyDescent="0.2">
      <c r="A159" t="s">
        <v>515</v>
      </c>
      <c r="B159" t="s">
        <v>297</v>
      </c>
      <c r="C159" t="s">
        <v>9</v>
      </c>
      <c r="D159" t="s">
        <v>298</v>
      </c>
      <c r="E159" t="s">
        <v>299</v>
      </c>
      <c r="F159">
        <v>36830</v>
      </c>
      <c r="G159" t="s">
        <v>47</v>
      </c>
      <c r="H159" t="s">
        <v>13</v>
      </c>
    </row>
    <row r="160" spans="1:8" x14ac:dyDescent="0.2">
      <c r="A160" t="s">
        <v>516</v>
      </c>
      <c r="B160" t="s">
        <v>300</v>
      </c>
      <c r="C160" t="s">
        <v>90</v>
      </c>
      <c r="D160" t="s">
        <v>246</v>
      </c>
      <c r="E160" t="s">
        <v>59</v>
      </c>
      <c r="F160">
        <v>2920</v>
      </c>
      <c r="G160" t="s">
        <v>27</v>
      </c>
      <c r="H160" t="s">
        <v>13</v>
      </c>
    </row>
    <row r="161" spans="1:8" x14ac:dyDescent="0.2">
      <c r="A161" t="s">
        <v>517</v>
      </c>
      <c r="B161" t="s">
        <v>301</v>
      </c>
      <c r="C161" t="s">
        <v>9</v>
      </c>
      <c r="D161" t="s">
        <v>302</v>
      </c>
      <c r="E161" t="s">
        <v>124</v>
      </c>
      <c r="F161">
        <v>60016</v>
      </c>
      <c r="G161" t="s">
        <v>12</v>
      </c>
      <c r="H161" t="s">
        <v>13</v>
      </c>
    </row>
    <row r="162" spans="1:8" x14ac:dyDescent="0.2">
      <c r="A162" t="s">
        <v>518</v>
      </c>
      <c r="B162" t="s">
        <v>303</v>
      </c>
      <c r="C162" t="s">
        <v>9</v>
      </c>
      <c r="D162" t="s">
        <v>41</v>
      </c>
      <c r="E162" t="s">
        <v>95</v>
      </c>
      <c r="F162">
        <v>24153</v>
      </c>
      <c r="G162" t="s">
        <v>47</v>
      </c>
      <c r="H162" t="s">
        <v>13</v>
      </c>
    </row>
    <row r="163" spans="1:8" x14ac:dyDescent="0.2">
      <c r="A163" t="s">
        <v>519</v>
      </c>
      <c r="B163" t="s">
        <v>304</v>
      </c>
      <c r="C163" t="s">
        <v>150</v>
      </c>
      <c r="D163" t="s">
        <v>38</v>
      </c>
      <c r="E163" t="s">
        <v>17</v>
      </c>
      <c r="F163">
        <v>90045</v>
      </c>
      <c r="G163" t="s">
        <v>18</v>
      </c>
      <c r="H163" t="s">
        <v>13</v>
      </c>
    </row>
    <row r="164" spans="1:8" x14ac:dyDescent="0.2">
      <c r="A164" t="s">
        <v>520</v>
      </c>
      <c r="B164" t="s">
        <v>305</v>
      </c>
      <c r="C164" t="s">
        <v>90</v>
      </c>
      <c r="D164" t="s">
        <v>25</v>
      </c>
      <c r="E164" t="s">
        <v>26</v>
      </c>
      <c r="F164">
        <v>10035</v>
      </c>
      <c r="G164" t="s">
        <v>27</v>
      </c>
      <c r="H164" t="s">
        <v>13</v>
      </c>
    </row>
    <row r="165" spans="1:8" x14ac:dyDescent="0.2">
      <c r="A165" t="s">
        <v>521</v>
      </c>
      <c r="B165" t="s">
        <v>306</v>
      </c>
      <c r="C165" t="s">
        <v>90</v>
      </c>
      <c r="D165" t="s">
        <v>307</v>
      </c>
      <c r="E165" t="s">
        <v>79</v>
      </c>
      <c r="F165">
        <v>2148</v>
      </c>
      <c r="G165" t="s">
        <v>27</v>
      </c>
      <c r="H165" t="s">
        <v>13</v>
      </c>
    </row>
    <row r="166" spans="1:8" x14ac:dyDescent="0.2">
      <c r="A166" t="s">
        <v>522</v>
      </c>
      <c r="B166" t="s">
        <v>308</v>
      </c>
      <c r="C166" t="s">
        <v>90</v>
      </c>
      <c r="D166" t="s">
        <v>309</v>
      </c>
      <c r="E166" t="s">
        <v>166</v>
      </c>
      <c r="F166">
        <v>33311</v>
      </c>
      <c r="G166" t="s">
        <v>47</v>
      </c>
      <c r="H166" t="s">
        <v>13</v>
      </c>
    </row>
    <row r="167" spans="1:8" x14ac:dyDescent="0.2">
      <c r="A167" t="s">
        <v>523</v>
      </c>
      <c r="B167" t="s">
        <v>310</v>
      </c>
      <c r="C167" t="s">
        <v>90</v>
      </c>
      <c r="D167" t="s">
        <v>38</v>
      </c>
      <c r="E167" t="s">
        <v>17</v>
      </c>
      <c r="F167">
        <v>90032</v>
      </c>
      <c r="G167" t="s">
        <v>18</v>
      </c>
      <c r="H167" t="s">
        <v>13</v>
      </c>
    </row>
    <row r="168" spans="1:8" x14ac:dyDescent="0.2">
      <c r="A168" t="s">
        <v>524</v>
      </c>
      <c r="B168" t="s">
        <v>311</v>
      </c>
      <c r="C168" t="s">
        <v>9</v>
      </c>
      <c r="D168" t="s">
        <v>38</v>
      </c>
      <c r="E168" t="s">
        <v>17</v>
      </c>
      <c r="F168">
        <v>90045</v>
      </c>
      <c r="G168" t="s">
        <v>18</v>
      </c>
      <c r="H168" t="s">
        <v>13</v>
      </c>
    </row>
    <row r="169" spans="1:8" x14ac:dyDescent="0.2">
      <c r="A169" t="s">
        <v>525</v>
      </c>
      <c r="B169" t="s">
        <v>312</v>
      </c>
      <c r="C169" t="s">
        <v>9</v>
      </c>
      <c r="D169" t="s">
        <v>85</v>
      </c>
      <c r="E169" t="s">
        <v>86</v>
      </c>
      <c r="F169">
        <v>98105</v>
      </c>
      <c r="G169" t="s">
        <v>18</v>
      </c>
      <c r="H169" t="s">
        <v>13</v>
      </c>
    </row>
    <row r="170" spans="1:8" x14ac:dyDescent="0.2">
      <c r="A170" t="s">
        <v>526</v>
      </c>
      <c r="B170" t="s">
        <v>313</v>
      </c>
      <c r="C170" t="s">
        <v>9</v>
      </c>
      <c r="D170" t="s">
        <v>314</v>
      </c>
      <c r="E170" t="s">
        <v>315</v>
      </c>
      <c r="F170">
        <v>80525</v>
      </c>
      <c r="G170" t="s">
        <v>18</v>
      </c>
      <c r="H170" t="s">
        <v>13</v>
      </c>
    </row>
    <row r="171" spans="1:8" x14ac:dyDescent="0.2">
      <c r="A171" t="s">
        <v>527</v>
      </c>
      <c r="B171" t="s">
        <v>316</v>
      </c>
      <c r="C171" t="s">
        <v>9</v>
      </c>
      <c r="D171" t="s">
        <v>108</v>
      </c>
      <c r="E171" t="s">
        <v>73</v>
      </c>
      <c r="F171">
        <v>42420</v>
      </c>
      <c r="G171" t="s">
        <v>47</v>
      </c>
      <c r="H171" t="s">
        <v>13</v>
      </c>
    </row>
    <row r="172" spans="1:8" x14ac:dyDescent="0.2">
      <c r="A172" t="s">
        <v>528</v>
      </c>
      <c r="B172" t="s">
        <v>317</v>
      </c>
      <c r="C172" t="s">
        <v>9</v>
      </c>
      <c r="D172" t="s">
        <v>318</v>
      </c>
      <c r="E172" t="s">
        <v>315</v>
      </c>
      <c r="F172">
        <v>80219</v>
      </c>
      <c r="G172" t="s">
        <v>18</v>
      </c>
      <c r="H172" t="s">
        <v>13</v>
      </c>
    </row>
    <row r="173" spans="1:8" x14ac:dyDescent="0.2">
      <c r="A173" t="s">
        <v>529</v>
      </c>
      <c r="B173" t="s">
        <v>319</v>
      </c>
      <c r="C173" t="s">
        <v>9</v>
      </c>
      <c r="D173" t="s">
        <v>38</v>
      </c>
      <c r="E173" t="s">
        <v>17</v>
      </c>
      <c r="F173">
        <v>90045</v>
      </c>
      <c r="G173" t="s">
        <v>18</v>
      </c>
      <c r="H173" t="s">
        <v>13</v>
      </c>
    </row>
    <row r="174" spans="1:8" x14ac:dyDescent="0.2">
      <c r="A174" t="s">
        <v>530</v>
      </c>
      <c r="B174" t="s">
        <v>320</v>
      </c>
      <c r="C174" t="s">
        <v>150</v>
      </c>
      <c r="D174" t="s">
        <v>97</v>
      </c>
      <c r="E174" t="s">
        <v>67</v>
      </c>
      <c r="F174">
        <v>19143</v>
      </c>
      <c r="G174" t="s">
        <v>27</v>
      </c>
      <c r="H174" t="s">
        <v>13</v>
      </c>
    </row>
    <row r="175" spans="1:8" x14ac:dyDescent="0.2">
      <c r="A175" t="s">
        <v>531</v>
      </c>
      <c r="B175" t="s">
        <v>321</v>
      </c>
      <c r="C175" t="s">
        <v>150</v>
      </c>
      <c r="D175" t="s">
        <v>322</v>
      </c>
      <c r="E175" t="s">
        <v>79</v>
      </c>
      <c r="F175">
        <v>2038</v>
      </c>
      <c r="G175" t="s">
        <v>27</v>
      </c>
      <c r="H175" t="s">
        <v>13</v>
      </c>
    </row>
    <row r="176" spans="1:8" x14ac:dyDescent="0.2">
      <c r="A176" t="s">
        <v>532</v>
      </c>
      <c r="B176" t="s">
        <v>323</v>
      </c>
      <c r="C176" t="s">
        <v>9</v>
      </c>
      <c r="D176" t="s">
        <v>97</v>
      </c>
      <c r="E176" t="s">
        <v>67</v>
      </c>
      <c r="F176">
        <v>19134</v>
      </c>
      <c r="G176" t="s">
        <v>27</v>
      </c>
      <c r="H176" t="s">
        <v>13</v>
      </c>
    </row>
    <row r="177" spans="1:8" x14ac:dyDescent="0.2">
      <c r="A177" t="s">
        <v>533</v>
      </c>
      <c r="B177" t="s">
        <v>324</v>
      </c>
      <c r="C177" t="s">
        <v>9</v>
      </c>
      <c r="D177" t="s">
        <v>145</v>
      </c>
      <c r="E177" t="s">
        <v>119</v>
      </c>
      <c r="F177">
        <v>49201</v>
      </c>
      <c r="G177" t="s">
        <v>12</v>
      </c>
      <c r="H177" t="s">
        <v>13</v>
      </c>
    </row>
    <row r="178" spans="1:8" x14ac:dyDescent="0.2">
      <c r="A178" t="s">
        <v>534</v>
      </c>
      <c r="B178" t="s">
        <v>325</v>
      </c>
      <c r="C178" t="s">
        <v>9</v>
      </c>
      <c r="D178" t="s">
        <v>218</v>
      </c>
      <c r="E178" t="s">
        <v>46</v>
      </c>
      <c r="F178">
        <v>31907</v>
      </c>
      <c r="G178" t="s">
        <v>47</v>
      </c>
      <c r="H178" t="s">
        <v>13</v>
      </c>
    </row>
    <row r="179" spans="1:8" x14ac:dyDescent="0.2">
      <c r="A179" t="s">
        <v>535</v>
      </c>
      <c r="B179" t="s">
        <v>326</v>
      </c>
      <c r="C179" t="s">
        <v>150</v>
      </c>
      <c r="D179" t="s">
        <v>327</v>
      </c>
      <c r="E179" t="s">
        <v>86</v>
      </c>
      <c r="F179">
        <v>98661</v>
      </c>
      <c r="G179" t="s">
        <v>18</v>
      </c>
      <c r="H179" t="s">
        <v>13</v>
      </c>
    </row>
    <row r="180" spans="1:8" x14ac:dyDescent="0.2">
      <c r="A180" t="s">
        <v>536</v>
      </c>
      <c r="B180" t="s">
        <v>328</v>
      </c>
      <c r="C180" t="s">
        <v>150</v>
      </c>
      <c r="D180" t="s">
        <v>329</v>
      </c>
      <c r="E180" t="s">
        <v>22</v>
      </c>
      <c r="F180">
        <v>78745</v>
      </c>
      <c r="G180" t="s">
        <v>12</v>
      </c>
      <c r="H180" t="s">
        <v>13</v>
      </c>
    </row>
    <row r="181" spans="1:8" x14ac:dyDescent="0.2">
      <c r="A181" t="s">
        <v>537</v>
      </c>
      <c r="B181" t="s">
        <v>330</v>
      </c>
      <c r="C181" t="s">
        <v>150</v>
      </c>
      <c r="D181" t="s">
        <v>156</v>
      </c>
      <c r="E181" t="s">
        <v>63</v>
      </c>
      <c r="F181">
        <v>28540</v>
      </c>
      <c r="G181" t="s">
        <v>47</v>
      </c>
      <c r="H181" t="s">
        <v>13</v>
      </c>
    </row>
    <row r="182" spans="1:8" x14ac:dyDescent="0.2">
      <c r="A182" t="s">
        <v>538</v>
      </c>
      <c r="B182" t="s">
        <v>331</v>
      </c>
      <c r="C182" t="s">
        <v>150</v>
      </c>
      <c r="D182" t="s">
        <v>332</v>
      </c>
      <c r="E182" t="s">
        <v>42</v>
      </c>
      <c r="F182">
        <v>97756</v>
      </c>
      <c r="G182" t="s">
        <v>18</v>
      </c>
      <c r="H182" t="s">
        <v>13</v>
      </c>
    </row>
    <row r="183" spans="1:8" x14ac:dyDescent="0.2">
      <c r="A183" t="s">
        <v>539</v>
      </c>
      <c r="B183" t="s">
        <v>333</v>
      </c>
      <c r="C183" t="s">
        <v>9</v>
      </c>
      <c r="D183" t="s">
        <v>270</v>
      </c>
      <c r="E183" t="s">
        <v>334</v>
      </c>
      <c r="F183">
        <v>65807</v>
      </c>
      <c r="G183" t="s">
        <v>12</v>
      </c>
      <c r="H183" t="s">
        <v>13</v>
      </c>
    </row>
    <row r="184" spans="1:8" x14ac:dyDescent="0.2">
      <c r="A184" t="s">
        <v>540</v>
      </c>
      <c r="B184" t="s">
        <v>335</v>
      </c>
      <c r="C184" t="s">
        <v>9</v>
      </c>
      <c r="D184" t="s">
        <v>97</v>
      </c>
      <c r="E184" t="s">
        <v>67</v>
      </c>
      <c r="F184">
        <v>19143</v>
      </c>
      <c r="G184" t="s">
        <v>27</v>
      </c>
      <c r="H184" t="s">
        <v>13</v>
      </c>
    </row>
    <row r="185" spans="1:8" x14ac:dyDescent="0.2">
      <c r="A185" t="s">
        <v>541</v>
      </c>
      <c r="B185" t="s">
        <v>336</v>
      </c>
      <c r="C185" t="s">
        <v>9</v>
      </c>
      <c r="D185" t="s">
        <v>25</v>
      </c>
      <c r="E185" t="s">
        <v>26</v>
      </c>
      <c r="F185">
        <v>10011</v>
      </c>
      <c r="G185" t="s">
        <v>27</v>
      </c>
      <c r="H185" t="s">
        <v>13</v>
      </c>
    </row>
    <row r="186" spans="1:8" x14ac:dyDescent="0.2">
      <c r="A186" t="s">
        <v>542</v>
      </c>
      <c r="B186" t="s">
        <v>337</v>
      </c>
      <c r="C186" t="s">
        <v>9</v>
      </c>
      <c r="D186" t="s">
        <v>153</v>
      </c>
      <c r="E186" t="s">
        <v>124</v>
      </c>
      <c r="F186">
        <v>60653</v>
      </c>
      <c r="G186" t="s">
        <v>12</v>
      </c>
      <c r="H186" t="s">
        <v>13</v>
      </c>
    </row>
    <row r="187" spans="1:8" x14ac:dyDescent="0.2">
      <c r="A187" t="s">
        <v>543</v>
      </c>
      <c r="B187" t="s">
        <v>338</v>
      </c>
      <c r="C187" t="s">
        <v>9</v>
      </c>
      <c r="D187" t="s">
        <v>339</v>
      </c>
      <c r="E187" t="s">
        <v>22</v>
      </c>
      <c r="F187">
        <v>75061</v>
      </c>
      <c r="G187" t="s">
        <v>12</v>
      </c>
      <c r="H187" t="s">
        <v>13</v>
      </c>
    </row>
    <row r="188" spans="1:8" x14ac:dyDescent="0.2">
      <c r="A188" t="s">
        <v>544</v>
      </c>
      <c r="B188" t="s">
        <v>340</v>
      </c>
      <c r="C188" t="s">
        <v>9</v>
      </c>
      <c r="D188" t="s">
        <v>25</v>
      </c>
      <c r="E188" t="s">
        <v>26</v>
      </c>
      <c r="F188">
        <v>10035</v>
      </c>
      <c r="G188" t="s">
        <v>27</v>
      </c>
      <c r="H188" t="s">
        <v>13</v>
      </c>
    </row>
    <row r="189" spans="1:8" x14ac:dyDescent="0.2">
      <c r="A189" t="s">
        <v>545</v>
      </c>
      <c r="B189" t="s">
        <v>341</v>
      </c>
      <c r="C189" t="s">
        <v>90</v>
      </c>
      <c r="D189" t="s">
        <v>25</v>
      </c>
      <c r="E189" t="s">
        <v>26</v>
      </c>
      <c r="F189">
        <v>10035</v>
      </c>
      <c r="G189" t="s">
        <v>27</v>
      </c>
      <c r="H189" t="s">
        <v>13</v>
      </c>
    </row>
    <row r="190" spans="1:8" x14ac:dyDescent="0.2">
      <c r="A190" t="s">
        <v>546</v>
      </c>
      <c r="B190" t="s">
        <v>342</v>
      </c>
      <c r="C190" t="s">
        <v>150</v>
      </c>
      <c r="D190" t="s">
        <v>343</v>
      </c>
      <c r="E190" t="s">
        <v>299</v>
      </c>
      <c r="F190">
        <v>36116</v>
      </c>
      <c r="G190" t="s">
        <v>47</v>
      </c>
      <c r="H190" t="s">
        <v>13</v>
      </c>
    </row>
    <row r="191" spans="1:8" x14ac:dyDescent="0.2">
      <c r="A191" t="s">
        <v>547</v>
      </c>
      <c r="B191" t="s">
        <v>344</v>
      </c>
      <c r="C191" t="s">
        <v>150</v>
      </c>
      <c r="D191" t="s">
        <v>345</v>
      </c>
      <c r="E191" t="s">
        <v>199</v>
      </c>
      <c r="F191">
        <v>84604</v>
      </c>
      <c r="G191" t="s">
        <v>18</v>
      </c>
      <c r="H191" t="s">
        <v>13</v>
      </c>
    </row>
    <row r="192" spans="1:8" x14ac:dyDescent="0.2">
      <c r="A192" t="s">
        <v>548</v>
      </c>
      <c r="B192" t="s">
        <v>346</v>
      </c>
      <c r="C192" t="s">
        <v>9</v>
      </c>
      <c r="D192" t="s">
        <v>347</v>
      </c>
      <c r="E192" t="s">
        <v>166</v>
      </c>
      <c r="F192">
        <v>33614</v>
      </c>
      <c r="G192" t="s">
        <v>47</v>
      </c>
      <c r="H192" t="s">
        <v>13</v>
      </c>
    </row>
    <row r="193" spans="1:8" x14ac:dyDescent="0.2">
      <c r="A193" t="s">
        <v>549</v>
      </c>
      <c r="B193" t="s">
        <v>348</v>
      </c>
      <c r="C193" t="s">
        <v>9</v>
      </c>
      <c r="D193" t="s">
        <v>349</v>
      </c>
      <c r="E193" t="s">
        <v>137</v>
      </c>
      <c r="F193">
        <v>44105</v>
      </c>
      <c r="G193" t="s">
        <v>27</v>
      </c>
      <c r="H193" t="s">
        <v>13</v>
      </c>
    </row>
    <row r="194" spans="1:8" x14ac:dyDescent="0.2">
      <c r="A194" t="s">
        <v>550</v>
      </c>
      <c r="B194" t="s">
        <v>350</v>
      </c>
      <c r="C194" t="s">
        <v>9</v>
      </c>
      <c r="D194" t="s">
        <v>97</v>
      </c>
      <c r="E194" t="s">
        <v>67</v>
      </c>
      <c r="F194">
        <v>19120</v>
      </c>
      <c r="G194" t="s">
        <v>27</v>
      </c>
      <c r="H194" t="s">
        <v>13</v>
      </c>
    </row>
    <row r="195" spans="1:8" x14ac:dyDescent="0.2">
      <c r="A195" t="s">
        <v>551</v>
      </c>
      <c r="B195" t="s">
        <v>351</v>
      </c>
      <c r="C195" t="s">
        <v>150</v>
      </c>
      <c r="D195" t="s">
        <v>352</v>
      </c>
      <c r="E195" t="s">
        <v>124</v>
      </c>
      <c r="F195">
        <v>60067</v>
      </c>
      <c r="G195" t="s">
        <v>12</v>
      </c>
      <c r="H195" t="s">
        <v>13</v>
      </c>
    </row>
    <row r="196" spans="1:8" x14ac:dyDescent="0.2">
      <c r="A196" t="s">
        <v>552</v>
      </c>
      <c r="B196" t="s">
        <v>353</v>
      </c>
      <c r="C196" t="s">
        <v>150</v>
      </c>
      <c r="D196" t="s">
        <v>354</v>
      </c>
      <c r="E196" t="s">
        <v>104</v>
      </c>
      <c r="F196">
        <v>46060</v>
      </c>
      <c r="G196" t="s">
        <v>12</v>
      </c>
      <c r="H196" t="s">
        <v>13</v>
      </c>
    </row>
    <row r="197" spans="1:8" x14ac:dyDescent="0.2">
      <c r="A197" t="s">
        <v>553</v>
      </c>
      <c r="B197" t="s">
        <v>355</v>
      </c>
      <c r="C197" t="s">
        <v>90</v>
      </c>
      <c r="D197" t="s">
        <v>356</v>
      </c>
      <c r="E197" t="s">
        <v>22</v>
      </c>
      <c r="F197">
        <v>77506</v>
      </c>
      <c r="G197" t="s">
        <v>12</v>
      </c>
      <c r="H197" t="s">
        <v>13</v>
      </c>
    </row>
    <row r="198" spans="1:8" x14ac:dyDescent="0.2">
      <c r="A198" t="s">
        <v>554</v>
      </c>
      <c r="B198" t="s">
        <v>357</v>
      </c>
      <c r="C198" t="s">
        <v>90</v>
      </c>
      <c r="D198" t="s">
        <v>358</v>
      </c>
      <c r="E198" t="s">
        <v>166</v>
      </c>
      <c r="F198">
        <v>33437</v>
      </c>
      <c r="G198" t="s">
        <v>47</v>
      </c>
      <c r="H198" t="s">
        <v>13</v>
      </c>
    </row>
    <row r="199" spans="1:8" x14ac:dyDescent="0.2">
      <c r="A199" t="s">
        <v>555</v>
      </c>
      <c r="B199" t="s">
        <v>359</v>
      </c>
      <c r="C199" t="s">
        <v>90</v>
      </c>
      <c r="D199" t="s">
        <v>242</v>
      </c>
      <c r="E199" t="s">
        <v>53</v>
      </c>
      <c r="F199">
        <v>37918</v>
      </c>
      <c r="G199" t="s">
        <v>47</v>
      </c>
      <c r="H199" t="s">
        <v>13</v>
      </c>
    </row>
    <row r="200" spans="1:8" x14ac:dyDescent="0.2">
      <c r="A200" t="s">
        <v>556</v>
      </c>
      <c r="B200" t="s">
        <v>360</v>
      </c>
      <c r="C200" t="s">
        <v>90</v>
      </c>
      <c r="D200" t="s">
        <v>38</v>
      </c>
      <c r="E200" t="s">
        <v>17</v>
      </c>
      <c r="F200">
        <v>90004</v>
      </c>
      <c r="G200" t="s">
        <v>18</v>
      </c>
      <c r="H200" t="s">
        <v>13</v>
      </c>
    </row>
    <row r="201" spans="1:8" x14ac:dyDescent="0.2">
      <c r="A201" t="s">
        <v>557</v>
      </c>
      <c r="B201" t="s">
        <v>361</v>
      </c>
      <c r="C201" t="s">
        <v>9</v>
      </c>
      <c r="D201" t="s">
        <v>362</v>
      </c>
      <c r="E201" t="s">
        <v>53</v>
      </c>
      <c r="F201">
        <v>37211</v>
      </c>
      <c r="G201" t="s">
        <v>47</v>
      </c>
      <c r="H201" t="s">
        <v>13</v>
      </c>
    </row>
    <row r="202" spans="1:8" x14ac:dyDescent="0.2">
      <c r="A202" t="s">
        <v>558</v>
      </c>
      <c r="B202" t="s">
        <v>363</v>
      </c>
      <c r="C202" t="s">
        <v>9</v>
      </c>
      <c r="D202" t="s">
        <v>25</v>
      </c>
      <c r="E202" t="s">
        <v>26</v>
      </c>
      <c r="F202">
        <v>10009</v>
      </c>
      <c r="G202" t="s">
        <v>27</v>
      </c>
      <c r="H202" t="s">
        <v>13</v>
      </c>
    </row>
    <row r="203" spans="1:8" x14ac:dyDescent="0.2">
      <c r="A203" t="s">
        <v>559</v>
      </c>
      <c r="B203" t="s">
        <v>364</v>
      </c>
      <c r="C203" t="s">
        <v>90</v>
      </c>
      <c r="D203" t="s">
        <v>365</v>
      </c>
      <c r="E203" t="s">
        <v>191</v>
      </c>
      <c r="F203">
        <v>7960</v>
      </c>
      <c r="G203" t="s">
        <v>27</v>
      </c>
      <c r="H203" t="s">
        <v>13</v>
      </c>
    </row>
    <row r="204" spans="1:8" x14ac:dyDescent="0.2">
      <c r="A204" t="s">
        <v>560</v>
      </c>
      <c r="B204" t="s">
        <v>366</v>
      </c>
      <c r="C204" t="s">
        <v>9</v>
      </c>
      <c r="D204" t="s">
        <v>367</v>
      </c>
      <c r="E204" t="s">
        <v>184</v>
      </c>
      <c r="F204">
        <v>6010</v>
      </c>
      <c r="G204" t="s">
        <v>27</v>
      </c>
      <c r="H204" t="s">
        <v>13</v>
      </c>
    </row>
    <row r="205" spans="1:8" x14ac:dyDescent="0.2">
      <c r="A205" t="s">
        <v>561</v>
      </c>
      <c r="B205" t="s">
        <v>368</v>
      </c>
      <c r="C205" t="s">
        <v>9</v>
      </c>
      <c r="D205" t="s">
        <v>369</v>
      </c>
      <c r="E205" t="s">
        <v>17</v>
      </c>
      <c r="F205">
        <v>93309</v>
      </c>
      <c r="G205" t="s">
        <v>18</v>
      </c>
      <c r="H205" t="s">
        <v>13</v>
      </c>
    </row>
    <row r="206" spans="1:8" x14ac:dyDescent="0.2">
      <c r="A206" t="s">
        <v>562</v>
      </c>
      <c r="B206" t="s">
        <v>370</v>
      </c>
      <c r="C206" t="s">
        <v>90</v>
      </c>
      <c r="D206" t="s">
        <v>371</v>
      </c>
      <c r="E206" t="s">
        <v>124</v>
      </c>
      <c r="F206">
        <v>60505</v>
      </c>
      <c r="G206" t="s">
        <v>12</v>
      </c>
      <c r="H206" t="s">
        <v>13</v>
      </c>
    </row>
    <row r="207" spans="1:8" x14ac:dyDescent="0.2">
      <c r="A207" t="s">
        <v>563</v>
      </c>
      <c r="B207" t="s">
        <v>372</v>
      </c>
      <c r="C207" t="s">
        <v>90</v>
      </c>
      <c r="D207" t="s">
        <v>16</v>
      </c>
      <c r="E207" t="s">
        <v>17</v>
      </c>
      <c r="F207">
        <v>94110</v>
      </c>
      <c r="G207" t="s">
        <v>18</v>
      </c>
      <c r="H207" t="s">
        <v>13</v>
      </c>
    </row>
    <row r="208" spans="1:8" x14ac:dyDescent="0.2">
      <c r="A208" t="s">
        <v>564</v>
      </c>
      <c r="B208" t="s">
        <v>373</v>
      </c>
      <c r="C208" t="s">
        <v>90</v>
      </c>
      <c r="D208" t="s">
        <v>374</v>
      </c>
      <c r="E208" t="s">
        <v>179</v>
      </c>
      <c r="F208">
        <v>59601</v>
      </c>
      <c r="G208" t="s">
        <v>18</v>
      </c>
      <c r="H208" t="s">
        <v>13</v>
      </c>
    </row>
    <row r="209" spans="1:8" x14ac:dyDescent="0.2">
      <c r="A209" t="s">
        <v>565</v>
      </c>
      <c r="B209" t="s">
        <v>375</v>
      </c>
      <c r="C209" t="s">
        <v>90</v>
      </c>
      <c r="D209" t="s">
        <v>121</v>
      </c>
      <c r="E209" t="s">
        <v>22</v>
      </c>
      <c r="F209">
        <v>77070</v>
      </c>
      <c r="G209" t="s">
        <v>12</v>
      </c>
      <c r="H209" t="s">
        <v>13</v>
      </c>
    </row>
    <row r="210" spans="1:8" x14ac:dyDescent="0.2">
      <c r="A210" t="s">
        <v>566</v>
      </c>
      <c r="B210" t="s">
        <v>376</v>
      </c>
      <c r="C210" t="s">
        <v>150</v>
      </c>
      <c r="D210" t="s">
        <v>377</v>
      </c>
      <c r="E210" t="s">
        <v>17</v>
      </c>
      <c r="F210">
        <v>92054</v>
      </c>
      <c r="G210" t="s">
        <v>18</v>
      </c>
      <c r="H210" t="s">
        <v>13</v>
      </c>
    </row>
    <row r="211" spans="1:8" x14ac:dyDescent="0.2">
      <c r="A211" t="s">
        <v>567</v>
      </c>
      <c r="B211" t="s">
        <v>378</v>
      </c>
      <c r="C211" t="s">
        <v>150</v>
      </c>
      <c r="D211" t="s">
        <v>97</v>
      </c>
      <c r="E211" t="s">
        <v>67</v>
      </c>
      <c r="F211">
        <v>19140</v>
      </c>
      <c r="G211" t="s">
        <v>27</v>
      </c>
      <c r="H211" t="s">
        <v>13</v>
      </c>
    </row>
    <row r="212" spans="1:8" x14ac:dyDescent="0.2">
      <c r="A212" t="s">
        <v>568</v>
      </c>
      <c r="B212" t="s">
        <v>379</v>
      </c>
      <c r="C212" t="s">
        <v>9</v>
      </c>
      <c r="D212" t="s">
        <v>380</v>
      </c>
      <c r="E212" t="s">
        <v>124</v>
      </c>
      <c r="F212">
        <v>60090</v>
      </c>
      <c r="G212" t="s">
        <v>12</v>
      </c>
      <c r="H212" t="s">
        <v>13</v>
      </c>
    </row>
    <row r="213" spans="1:8" x14ac:dyDescent="0.2">
      <c r="A213" t="s">
        <v>569</v>
      </c>
      <c r="B213" t="s">
        <v>381</v>
      </c>
      <c r="C213" t="s">
        <v>9</v>
      </c>
      <c r="D213" t="s">
        <v>132</v>
      </c>
      <c r="E213" t="s">
        <v>22</v>
      </c>
      <c r="F213">
        <v>75217</v>
      </c>
      <c r="G213" t="s">
        <v>12</v>
      </c>
      <c r="H213" t="s">
        <v>13</v>
      </c>
    </row>
    <row r="214" spans="1:8" x14ac:dyDescent="0.2">
      <c r="A214" t="s">
        <v>570</v>
      </c>
      <c r="B214" t="s">
        <v>382</v>
      </c>
      <c r="C214" t="s">
        <v>9</v>
      </c>
      <c r="D214" t="s">
        <v>76</v>
      </c>
      <c r="E214" t="s">
        <v>17</v>
      </c>
      <c r="F214">
        <v>92037</v>
      </c>
      <c r="G214" t="s">
        <v>18</v>
      </c>
      <c r="H214"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CA07-3820-F846-A7C6-243B0E63A997}">
  <dimension ref="A1:K779"/>
  <sheetViews>
    <sheetView workbookViewId="0">
      <selection activeCell="G47" sqref="G47"/>
    </sheetView>
  </sheetViews>
  <sheetFormatPr baseColWidth="10" defaultRowHeight="15" x14ac:dyDescent="0.2"/>
  <cols>
    <col min="3" max="3" width="12" customWidth="1"/>
    <col min="5" max="5" width="11.83203125" customWidth="1"/>
    <col min="6" max="6" width="13" customWidth="1"/>
    <col min="7" max="7" width="11.6640625" customWidth="1"/>
    <col min="10" max="10" width="16.83203125" customWidth="1"/>
  </cols>
  <sheetData>
    <row r="1" spans="1:11" x14ac:dyDescent="0.2">
      <c r="A1" t="s">
        <v>580</v>
      </c>
      <c r="B1" t="s">
        <v>581</v>
      </c>
      <c r="C1" t="s">
        <v>582</v>
      </c>
      <c r="D1" t="s">
        <v>583</v>
      </c>
      <c r="E1" t="s">
        <v>584</v>
      </c>
      <c r="F1" t="s">
        <v>585</v>
      </c>
      <c r="G1" t="s">
        <v>586</v>
      </c>
      <c r="H1" t="s">
        <v>587</v>
      </c>
      <c r="I1" t="s">
        <v>588</v>
      </c>
      <c r="J1" t="s">
        <v>589</v>
      </c>
      <c r="K1" t="s">
        <v>590</v>
      </c>
    </row>
    <row r="2" spans="1:11" x14ac:dyDescent="0.2">
      <c r="A2">
        <v>101</v>
      </c>
      <c r="B2" t="s">
        <v>591</v>
      </c>
      <c r="C2" s="1">
        <v>42840</v>
      </c>
      <c r="D2" s="1">
        <v>42845</v>
      </c>
      <c r="E2">
        <v>4</v>
      </c>
      <c r="F2" t="s">
        <v>60</v>
      </c>
      <c r="G2" t="s">
        <v>592</v>
      </c>
      <c r="H2">
        <v>3</v>
      </c>
      <c r="I2">
        <v>1</v>
      </c>
      <c r="J2">
        <v>0.2</v>
      </c>
      <c r="K2" t="b">
        <v>0</v>
      </c>
    </row>
    <row r="3" spans="1:11" hidden="1" x14ac:dyDescent="0.2">
      <c r="A3">
        <v>102</v>
      </c>
      <c r="B3" t="s">
        <v>593</v>
      </c>
      <c r="C3" s="1">
        <v>41772</v>
      </c>
      <c r="D3" s="1">
        <v>41774</v>
      </c>
      <c r="E3">
        <v>3</v>
      </c>
      <c r="F3" t="s">
        <v>446</v>
      </c>
      <c r="G3" t="s">
        <v>594</v>
      </c>
      <c r="H3">
        <v>2</v>
      </c>
      <c r="I3">
        <v>0</v>
      </c>
      <c r="J3">
        <v>0</v>
      </c>
      <c r="K3" t="b">
        <v>0</v>
      </c>
    </row>
    <row r="4" spans="1:11" hidden="1" x14ac:dyDescent="0.2">
      <c r="A4">
        <v>103</v>
      </c>
      <c r="B4" t="s">
        <v>595</v>
      </c>
      <c r="C4" s="1">
        <v>41999</v>
      </c>
      <c r="D4" s="1">
        <v>42001</v>
      </c>
      <c r="E4">
        <v>3</v>
      </c>
      <c r="F4" t="s">
        <v>434</v>
      </c>
      <c r="G4" t="s">
        <v>596</v>
      </c>
      <c r="H4">
        <v>3</v>
      </c>
      <c r="I4">
        <v>1</v>
      </c>
      <c r="J4">
        <v>0.3</v>
      </c>
      <c r="K4" t="b">
        <v>0</v>
      </c>
    </row>
    <row r="5" spans="1:11" x14ac:dyDescent="0.2">
      <c r="A5">
        <v>104</v>
      </c>
      <c r="B5" t="s">
        <v>597</v>
      </c>
      <c r="C5" s="1">
        <v>42567</v>
      </c>
      <c r="D5" s="1">
        <v>42573</v>
      </c>
      <c r="E5">
        <v>4</v>
      </c>
      <c r="F5" t="s">
        <v>513</v>
      </c>
      <c r="G5" t="s">
        <v>598</v>
      </c>
      <c r="H5">
        <v>3</v>
      </c>
      <c r="I5">
        <v>1</v>
      </c>
      <c r="J5">
        <v>0.2</v>
      </c>
      <c r="K5" t="b">
        <v>0</v>
      </c>
    </row>
    <row r="6" spans="1:11" x14ac:dyDescent="0.2">
      <c r="A6">
        <v>105</v>
      </c>
      <c r="B6" t="s">
        <v>597</v>
      </c>
      <c r="C6" s="1">
        <v>42567</v>
      </c>
      <c r="D6" s="1">
        <v>42573</v>
      </c>
      <c r="E6">
        <v>4</v>
      </c>
      <c r="F6" t="s">
        <v>513</v>
      </c>
      <c r="G6" t="s">
        <v>599</v>
      </c>
      <c r="H6">
        <v>3</v>
      </c>
      <c r="I6">
        <v>1</v>
      </c>
      <c r="J6">
        <v>0.2</v>
      </c>
      <c r="K6" t="b">
        <v>0</v>
      </c>
    </row>
    <row r="7" spans="1:11" x14ac:dyDescent="0.2">
      <c r="A7">
        <v>106</v>
      </c>
      <c r="B7" t="s">
        <v>600</v>
      </c>
      <c r="C7" s="1">
        <v>42318</v>
      </c>
      <c r="D7" s="1">
        <v>42323</v>
      </c>
      <c r="E7">
        <v>4</v>
      </c>
      <c r="F7" t="s">
        <v>487</v>
      </c>
      <c r="G7" t="s">
        <v>601</v>
      </c>
      <c r="H7">
        <v>2</v>
      </c>
      <c r="I7">
        <v>0</v>
      </c>
      <c r="J7">
        <v>0</v>
      </c>
      <c r="K7" t="b">
        <v>0</v>
      </c>
    </row>
    <row r="8" spans="1:11" x14ac:dyDescent="0.2">
      <c r="A8">
        <v>107</v>
      </c>
      <c r="B8" t="s">
        <v>602</v>
      </c>
      <c r="C8" s="1">
        <v>43021</v>
      </c>
      <c r="D8" s="1">
        <v>43025</v>
      </c>
      <c r="E8">
        <v>4</v>
      </c>
      <c r="F8" t="s">
        <v>452</v>
      </c>
      <c r="G8" t="s">
        <v>603</v>
      </c>
      <c r="H8">
        <v>2</v>
      </c>
      <c r="I8">
        <v>1</v>
      </c>
      <c r="J8">
        <v>0.2</v>
      </c>
      <c r="K8" t="b">
        <v>0</v>
      </c>
    </row>
    <row r="9" spans="1:11" x14ac:dyDescent="0.2">
      <c r="A9">
        <v>108</v>
      </c>
      <c r="B9" t="s">
        <v>602</v>
      </c>
      <c r="C9" s="1">
        <v>43021</v>
      </c>
      <c r="D9" s="1">
        <v>43025</v>
      </c>
      <c r="E9">
        <v>4</v>
      </c>
      <c r="F9" t="s">
        <v>452</v>
      </c>
      <c r="G9" t="s">
        <v>604</v>
      </c>
      <c r="H9">
        <v>4</v>
      </c>
      <c r="I9">
        <v>1</v>
      </c>
      <c r="J9">
        <v>0.2</v>
      </c>
      <c r="K9" t="b">
        <v>0</v>
      </c>
    </row>
    <row r="10" spans="1:11" x14ac:dyDescent="0.2">
      <c r="A10">
        <v>109</v>
      </c>
      <c r="B10" t="s">
        <v>602</v>
      </c>
      <c r="C10" s="1">
        <v>43021</v>
      </c>
      <c r="D10" s="1">
        <v>43025</v>
      </c>
      <c r="E10">
        <v>4</v>
      </c>
      <c r="F10" t="s">
        <v>452</v>
      </c>
      <c r="G10" t="s">
        <v>605</v>
      </c>
      <c r="H10">
        <v>6</v>
      </c>
      <c r="I10">
        <v>1</v>
      </c>
      <c r="J10">
        <v>0.2</v>
      </c>
      <c r="K10" t="b">
        <v>0</v>
      </c>
    </row>
    <row r="11" spans="1:11" x14ac:dyDescent="0.2">
      <c r="A11">
        <v>110</v>
      </c>
      <c r="B11" t="s">
        <v>602</v>
      </c>
      <c r="C11" s="1">
        <v>43021</v>
      </c>
      <c r="D11" s="1">
        <v>43025</v>
      </c>
      <c r="E11">
        <v>4</v>
      </c>
      <c r="F11" t="s">
        <v>452</v>
      </c>
      <c r="G11" t="s">
        <v>606</v>
      </c>
      <c r="H11">
        <v>3</v>
      </c>
      <c r="I11">
        <v>1</v>
      </c>
      <c r="J11">
        <v>0.2</v>
      </c>
      <c r="K11" t="b">
        <v>0</v>
      </c>
    </row>
    <row r="12" spans="1:11" hidden="1" x14ac:dyDescent="0.2">
      <c r="A12">
        <v>111</v>
      </c>
      <c r="B12" t="s">
        <v>607</v>
      </c>
      <c r="C12" s="1">
        <v>42722</v>
      </c>
      <c r="D12" s="1">
        <v>42724</v>
      </c>
      <c r="E12">
        <v>3</v>
      </c>
      <c r="F12" t="s">
        <v>484</v>
      </c>
      <c r="G12" t="s">
        <v>608</v>
      </c>
      <c r="H12">
        <v>7</v>
      </c>
      <c r="I12">
        <v>1</v>
      </c>
      <c r="J12">
        <v>0.7</v>
      </c>
      <c r="K12" t="b">
        <v>0</v>
      </c>
    </row>
    <row r="13" spans="1:11" hidden="1" x14ac:dyDescent="0.2">
      <c r="A13">
        <v>112</v>
      </c>
      <c r="B13" t="s">
        <v>607</v>
      </c>
      <c r="C13" s="1">
        <v>42722</v>
      </c>
      <c r="D13" s="1">
        <v>42724</v>
      </c>
      <c r="E13">
        <v>3</v>
      </c>
      <c r="F13" t="s">
        <v>484</v>
      </c>
      <c r="G13" t="s">
        <v>609</v>
      </c>
      <c r="H13">
        <v>2</v>
      </c>
      <c r="I13">
        <v>1</v>
      </c>
      <c r="J13">
        <v>0.2</v>
      </c>
      <c r="K13" t="b">
        <v>0</v>
      </c>
    </row>
    <row r="14" spans="1:11" hidden="1" x14ac:dyDescent="0.2">
      <c r="A14">
        <v>113</v>
      </c>
      <c r="B14" t="s">
        <v>607</v>
      </c>
      <c r="C14" s="1">
        <v>42722</v>
      </c>
      <c r="D14" s="1">
        <v>42724</v>
      </c>
      <c r="E14">
        <v>3</v>
      </c>
      <c r="F14" t="s">
        <v>484</v>
      </c>
      <c r="G14" t="s">
        <v>610</v>
      </c>
      <c r="H14">
        <v>5</v>
      </c>
      <c r="I14">
        <v>1</v>
      </c>
      <c r="J14">
        <v>0.2</v>
      </c>
      <c r="K14" t="b">
        <v>0</v>
      </c>
    </row>
    <row r="15" spans="1:11" hidden="1" x14ac:dyDescent="0.2">
      <c r="A15">
        <v>114</v>
      </c>
      <c r="B15" t="s">
        <v>611</v>
      </c>
      <c r="C15" s="1">
        <v>42128</v>
      </c>
      <c r="D15" s="1">
        <v>42133</v>
      </c>
      <c r="E15">
        <v>3</v>
      </c>
      <c r="F15" t="s">
        <v>546</v>
      </c>
      <c r="G15" t="s">
        <v>612</v>
      </c>
      <c r="H15">
        <v>2</v>
      </c>
      <c r="I15">
        <v>0</v>
      </c>
      <c r="J15">
        <v>0</v>
      </c>
      <c r="K15" t="b">
        <v>0</v>
      </c>
    </row>
    <row r="16" spans="1:11" x14ac:dyDescent="0.2">
      <c r="A16">
        <v>115</v>
      </c>
      <c r="B16" t="s">
        <v>613</v>
      </c>
      <c r="C16" s="1">
        <v>41860</v>
      </c>
      <c r="D16" s="1">
        <v>41867</v>
      </c>
      <c r="E16">
        <v>4</v>
      </c>
      <c r="F16" t="s">
        <v>572</v>
      </c>
      <c r="G16" t="s">
        <v>614</v>
      </c>
      <c r="H16">
        <v>2</v>
      </c>
      <c r="I16">
        <v>1</v>
      </c>
      <c r="J16">
        <v>0.2</v>
      </c>
      <c r="K16" t="b">
        <v>0</v>
      </c>
    </row>
    <row r="17" spans="1:11" x14ac:dyDescent="0.2">
      <c r="A17">
        <v>116</v>
      </c>
      <c r="B17" t="s">
        <v>613</v>
      </c>
      <c r="C17" s="1">
        <v>41860</v>
      </c>
      <c r="D17" s="1">
        <v>41867</v>
      </c>
      <c r="E17">
        <v>4</v>
      </c>
      <c r="F17" t="s">
        <v>572</v>
      </c>
      <c r="G17" t="s">
        <v>615</v>
      </c>
      <c r="H17">
        <v>3</v>
      </c>
      <c r="I17">
        <v>1</v>
      </c>
      <c r="J17">
        <v>0.2</v>
      </c>
      <c r="K17" t="b">
        <v>0</v>
      </c>
    </row>
    <row r="18" spans="1:11" x14ac:dyDescent="0.2">
      <c r="A18">
        <v>117</v>
      </c>
      <c r="B18" t="s">
        <v>616</v>
      </c>
      <c r="C18" s="1">
        <v>41832</v>
      </c>
      <c r="D18" s="1">
        <v>41837</v>
      </c>
      <c r="E18">
        <v>4</v>
      </c>
      <c r="F18" t="s">
        <v>421</v>
      </c>
      <c r="G18" t="s">
        <v>617</v>
      </c>
      <c r="H18">
        <v>2</v>
      </c>
      <c r="I18">
        <v>1</v>
      </c>
      <c r="J18">
        <v>0.2</v>
      </c>
      <c r="K18" t="b">
        <v>0</v>
      </c>
    </row>
    <row r="19" spans="1:11" x14ac:dyDescent="0.2">
      <c r="A19">
        <v>118</v>
      </c>
      <c r="B19" t="s">
        <v>616</v>
      </c>
      <c r="C19" s="1">
        <v>41832</v>
      </c>
      <c r="D19" s="1">
        <v>41837</v>
      </c>
      <c r="E19">
        <v>4</v>
      </c>
      <c r="F19" t="s">
        <v>421</v>
      </c>
      <c r="G19" t="s">
        <v>618</v>
      </c>
      <c r="H19">
        <v>3</v>
      </c>
      <c r="I19">
        <v>1</v>
      </c>
      <c r="J19">
        <v>0.2</v>
      </c>
      <c r="K19" t="b">
        <v>1</v>
      </c>
    </row>
    <row r="20" spans="1:11" hidden="1" x14ac:dyDescent="0.2">
      <c r="A20">
        <v>119</v>
      </c>
      <c r="B20" t="s">
        <v>619</v>
      </c>
      <c r="C20" s="1">
        <v>42614</v>
      </c>
      <c r="D20" s="1">
        <v>42616</v>
      </c>
      <c r="E20">
        <v>2</v>
      </c>
      <c r="F20" t="s">
        <v>387</v>
      </c>
      <c r="G20" t="s">
        <v>620</v>
      </c>
      <c r="H20">
        <v>1</v>
      </c>
      <c r="I20">
        <v>0</v>
      </c>
      <c r="J20">
        <v>0</v>
      </c>
      <c r="K20" t="b">
        <v>0</v>
      </c>
    </row>
    <row r="21" spans="1:11" hidden="1" x14ac:dyDescent="0.2">
      <c r="A21">
        <v>120</v>
      </c>
      <c r="B21" t="s">
        <v>619</v>
      </c>
      <c r="C21" s="1">
        <v>42614</v>
      </c>
      <c r="D21" s="1">
        <v>42616</v>
      </c>
      <c r="E21">
        <v>2</v>
      </c>
      <c r="F21" t="s">
        <v>387</v>
      </c>
      <c r="G21" t="s">
        <v>621</v>
      </c>
      <c r="H21">
        <v>2</v>
      </c>
      <c r="I21">
        <v>0</v>
      </c>
      <c r="J21">
        <v>0</v>
      </c>
      <c r="K21" t="b">
        <v>0</v>
      </c>
    </row>
    <row r="22" spans="1:11" hidden="1" x14ac:dyDescent="0.2">
      <c r="A22">
        <v>121</v>
      </c>
      <c r="B22" t="s">
        <v>619</v>
      </c>
      <c r="C22" s="1">
        <v>42614</v>
      </c>
      <c r="D22" s="1">
        <v>42616</v>
      </c>
      <c r="E22">
        <v>2</v>
      </c>
      <c r="F22" t="s">
        <v>387</v>
      </c>
      <c r="G22" t="s">
        <v>622</v>
      </c>
      <c r="H22">
        <v>1</v>
      </c>
      <c r="I22">
        <v>1</v>
      </c>
      <c r="J22">
        <v>0.2</v>
      </c>
      <c r="K22" t="b">
        <v>0</v>
      </c>
    </row>
    <row r="23" spans="1:11" hidden="1" x14ac:dyDescent="0.2">
      <c r="A23">
        <v>122</v>
      </c>
      <c r="B23" t="s">
        <v>619</v>
      </c>
      <c r="C23" s="1">
        <v>42614</v>
      </c>
      <c r="D23" s="1">
        <v>42616</v>
      </c>
      <c r="E23">
        <v>2</v>
      </c>
      <c r="F23" t="s">
        <v>387</v>
      </c>
      <c r="G23" t="s">
        <v>621</v>
      </c>
      <c r="H23">
        <v>4</v>
      </c>
      <c r="I23">
        <v>0</v>
      </c>
      <c r="J23">
        <v>0</v>
      </c>
      <c r="K23" t="b">
        <v>0</v>
      </c>
    </row>
    <row r="24" spans="1:11" hidden="1" x14ac:dyDescent="0.2">
      <c r="A24">
        <v>123</v>
      </c>
      <c r="B24" t="s">
        <v>619</v>
      </c>
      <c r="C24" s="1">
        <v>42614</v>
      </c>
      <c r="D24" s="1">
        <v>42616</v>
      </c>
      <c r="E24">
        <v>2</v>
      </c>
      <c r="F24" t="s">
        <v>387</v>
      </c>
      <c r="G24" t="s">
        <v>623</v>
      </c>
      <c r="H24">
        <v>4</v>
      </c>
      <c r="I24">
        <v>1</v>
      </c>
      <c r="J24">
        <v>0.2</v>
      </c>
      <c r="K24" t="b">
        <v>0</v>
      </c>
    </row>
    <row r="25" spans="1:11" x14ac:dyDescent="0.2">
      <c r="A25">
        <v>124</v>
      </c>
      <c r="B25" t="s">
        <v>624</v>
      </c>
      <c r="C25" s="1">
        <v>41843</v>
      </c>
      <c r="D25" s="1">
        <v>41847</v>
      </c>
      <c r="E25">
        <v>4</v>
      </c>
      <c r="F25" t="s">
        <v>465</v>
      </c>
      <c r="G25" t="s">
        <v>625</v>
      </c>
      <c r="H25">
        <v>5</v>
      </c>
      <c r="I25">
        <v>1</v>
      </c>
      <c r="J25">
        <v>0.7</v>
      </c>
      <c r="K25" t="b">
        <v>0</v>
      </c>
    </row>
    <row r="26" spans="1:11" x14ac:dyDescent="0.2">
      <c r="A26">
        <v>125</v>
      </c>
      <c r="B26" t="s">
        <v>624</v>
      </c>
      <c r="C26" s="1">
        <v>41843</v>
      </c>
      <c r="D26" s="1">
        <v>41847</v>
      </c>
      <c r="E26">
        <v>4</v>
      </c>
      <c r="F26" t="s">
        <v>465</v>
      </c>
      <c r="G26" t="s">
        <v>626</v>
      </c>
      <c r="H26">
        <v>8</v>
      </c>
      <c r="I26">
        <v>1</v>
      </c>
      <c r="J26">
        <v>0.2</v>
      </c>
      <c r="K26" t="b">
        <v>0</v>
      </c>
    </row>
    <row r="27" spans="1:11" x14ac:dyDescent="0.2">
      <c r="A27">
        <v>126</v>
      </c>
      <c r="B27" t="s">
        <v>624</v>
      </c>
      <c r="C27" s="1">
        <v>41843</v>
      </c>
      <c r="D27" s="1">
        <v>41847</v>
      </c>
      <c r="E27">
        <v>4</v>
      </c>
      <c r="F27" t="s">
        <v>465</v>
      </c>
      <c r="G27" t="s">
        <v>627</v>
      </c>
      <c r="H27">
        <v>1</v>
      </c>
      <c r="I27">
        <v>1</v>
      </c>
      <c r="J27">
        <v>0.2</v>
      </c>
      <c r="K27" t="b">
        <v>0</v>
      </c>
    </row>
    <row r="28" spans="1:11" x14ac:dyDescent="0.2">
      <c r="A28">
        <v>127</v>
      </c>
      <c r="B28" t="s">
        <v>624</v>
      </c>
      <c r="C28" s="1">
        <v>41843</v>
      </c>
      <c r="D28" s="1">
        <v>41847</v>
      </c>
      <c r="E28">
        <v>4</v>
      </c>
      <c r="F28" t="s">
        <v>465</v>
      </c>
      <c r="G28" t="s">
        <v>628</v>
      </c>
      <c r="H28">
        <v>10</v>
      </c>
      <c r="I28">
        <v>1</v>
      </c>
      <c r="J28">
        <v>0.2</v>
      </c>
      <c r="K28" t="b">
        <v>0</v>
      </c>
    </row>
    <row r="29" spans="1:11" x14ac:dyDescent="0.2">
      <c r="A29">
        <v>128</v>
      </c>
      <c r="B29" t="s">
        <v>629</v>
      </c>
      <c r="C29" s="1">
        <v>42974</v>
      </c>
      <c r="D29" s="1">
        <v>42979</v>
      </c>
      <c r="E29">
        <v>4</v>
      </c>
      <c r="F29" t="s">
        <v>531</v>
      </c>
      <c r="G29" t="s">
        <v>630</v>
      </c>
      <c r="H29">
        <v>7</v>
      </c>
      <c r="I29">
        <v>1</v>
      </c>
      <c r="J29">
        <v>0.3</v>
      </c>
      <c r="K29" t="b">
        <v>0</v>
      </c>
    </row>
    <row r="30" spans="1:11" hidden="1" x14ac:dyDescent="0.2">
      <c r="A30">
        <v>129</v>
      </c>
      <c r="B30" t="s">
        <v>631</v>
      </c>
      <c r="C30" s="1">
        <v>42671</v>
      </c>
      <c r="D30" s="1">
        <v>42672</v>
      </c>
      <c r="E30">
        <v>2</v>
      </c>
      <c r="F30" t="s">
        <v>551</v>
      </c>
      <c r="G30" t="s">
        <v>632</v>
      </c>
      <c r="H30">
        <v>7</v>
      </c>
      <c r="I30">
        <v>0</v>
      </c>
      <c r="J30">
        <v>0</v>
      </c>
      <c r="K30" t="b">
        <v>1</v>
      </c>
    </row>
    <row r="31" spans="1:11" hidden="1" x14ac:dyDescent="0.2">
      <c r="A31">
        <v>130</v>
      </c>
      <c r="B31" t="s">
        <v>631</v>
      </c>
      <c r="C31" s="1">
        <v>42671</v>
      </c>
      <c r="D31" s="1">
        <v>42672</v>
      </c>
      <c r="E31">
        <v>2</v>
      </c>
      <c r="F31" t="s">
        <v>551</v>
      </c>
      <c r="G31" t="s">
        <v>633</v>
      </c>
      <c r="H31">
        <v>3</v>
      </c>
      <c r="I31">
        <v>1</v>
      </c>
      <c r="J31">
        <v>0.2</v>
      </c>
      <c r="K31" t="b">
        <v>0</v>
      </c>
    </row>
    <row r="32" spans="1:11" hidden="1" x14ac:dyDescent="0.2">
      <c r="A32">
        <v>131</v>
      </c>
      <c r="B32" t="s">
        <v>634</v>
      </c>
      <c r="C32" s="1">
        <v>42621</v>
      </c>
      <c r="D32" s="1">
        <v>42623</v>
      </c>
      <c r="E32">
        <v>3</v>
      </c>
      <c r="F32" t="s">
        <v>457</v>
      </c>
      <c r="G32" t="s">
        <v>635</v>
      </c>
      <c r="H32">
        <v>3</v>
      </c>
      <c r="I32">
        <v>1</v>
      </c>
      <c r="J32">
        <v>0.2</v>
      </c>
      <c r="K32" t="b">
        <v>0</v>
      </c>
    </row>
    <row r="33" spans="1:11" hidden="1" x14ac:dyDescent="0.2">
      <c r="A33">
        <v>132</v>
      </c>
      <c r="B33" t="s">
        <v>634</v>
      </c>
      <c r="C33" s="1">
        <v>42621</v>
      </c>
      <c r="D33" s="1">
        <v>42623</v>
      </c>
      <c r="E33">
        <v>3</v>
      </c>
      <c r="F33" t="s">
        <v>457</v>
      </c>
      <c r="G33" t="s">
        <v>636</v>
      </c>
      <c r="H33">
        <v>4</v>
      </c>
      <c r="I33">
        <v>1</v>
      </c>
      <c r="J33">
        <v>0.32</v>
      </c>
      <c r="K33" t="b">
        <v>0</v>
      </c>
    </row>
    <row r="34" spans="1:11" hidden="1" x14ac:dyDescent="0.2">
      <c r="A34">
        <v>133</v>
      </c>
      <c r="B34" t="s">
        <v>634</v>
      </c>
      <c r="C34" s="1">
        <v>42621</v>
      </c>
      <c r="D34" s="1">
        <v>42623</v>
      </c>
      <c r="E34">
        <v>3</v>
      </c>
      <c r="F34" t="s">
        <v>457</v>
      </c>
      <c r="G34" t="s">
        <v>637</v>
      </c>
      <c r="H34">
        <v>4</v>
      </c>
      <c r="I34">
        <v>1</v>
      </c>
      <c r="J34">
        <v>0.2</v>
      </c>
      <c r="K34" t="b">
        <v>0</v>
      </c>
    </row>
    <row r="35" spans="1:11" hidden="1" x14ac:dyDescent="0.2">
      <c r="A35">
        <v>134</v>
      </c>
      <c r="B35" t="s">
        <v>634</v>
      </c>
      <c r="C35" s="1">
        <v>42621</v>
      </c>
      <c r="D35" s="1">
        <v>42623</v>
      </c>
      <c r="E35">
        <v>3</v>
      </c>
      <c r="F35" t="s">
        <v>457</v>
      </c>
      <c r="G35" t="s">
        <v>638</v>
      </c>
      <c r="H35">
        <v>2</v>
      </c>
      <c r="I35">
        <v>1</v>
      </c>
      <c r="J35">
        <v>0.2</v>
      </c>
      <c r="K35" t="b">
        <v>1</v>
      </c>
    </row>
    <row r="36" spans="1:11" x14ac:dyDescent="0.2">
      <c r="A36">
        <v>135</v>
      </c>
      <c r="B36" t="s">
        <v>639</v>
      </c>
      <c r="C36" s="1">
        <v>41896</v>
      </c>
      <c r="D36" s="1">
        <v>41901</v>
      </c>
      <c r="E36">
        <v>4</v>
      </c>
      <c r="F36" t="s">
        <v>512</v>
      </c>
      <c r="G36" t="s">
        <v>640</v>
      </c>
      <c r="H36">
        <v>5</v>
      </c>
      <c r="I36">
        <v>0</v>
      </c>
      <c r="J36">
        <v>0</v>
      </c>
      <c r="K36" t="b">
        <v>0</v>
      </c>
    </row>
    <row r="37" spans="1:11" x14ac:dyDescent="0.2">
      <c r="A37">
        <v>136</v>
      </c>
      <c r="B37" t="s">
        <v>639</v>
      </c>
      <c r="C37" s="1">
        <v>41896</v>
      </c>
      <c r="D37" s="1">
        <v>41901</v>
      </c>
      <c r="E37">
        <v>4</v>
      </c>
      <c r="F37" t="s">
        <v>512</v>
      </c>
      <c r="G37" t="s">
        <v>641</v>
      </c>
      <c r="H37">
        <v>3</v>
      </c>
      <c r="I37">
        <v>0</v>
      </c>
      <c r="J37">
        <v>0</v>
      </c>
      <c r="K37" t="b">
        <v>0</v>
      </c>
    </row>
    <row r="38" spans="1:11" x14ac:dyDescent="0.2">
      <c r="A38">
        <v>137</v>
      </c>
      <c r="B38" t="s">
        <v>642</v>
      </c>
      <c r="C38" s="1">
        <v>42757</v>
      </c>
      <c r="D38" s="1">
        <v>42762</v>
      </c>
      <c r="E38">
        <v>4</v>
      </c>
      <c r="F38" t="s">
        <v>434</v>
      </c>
      <c r="G38" t="s">
        <v>643</v>
      </c>
      <c r="H38">
        <v>5</v>
      </c>
      <c r="I38">
        <v>0</v>
      </c>
      <c r="J38">
        <v>0</v>
      </c>
      <c r="K38" t="b">
        <v>0</v>
      </c>
    </row>
    <row r="39" spans="1:11" x14ac:dyDescent="0.2">
      <c r="A39">
        <v>138</v>
      </c>
      <c r="B39" t="s">
        <v>642</v>
      </c>
      <c r="C39" s="1">
        <v>42757</v>
      </c>
      <c r="D39" s="1">
        <v>42762</v>
      </c>
      <c r="E39">
        <v>4</v>
      </c>
      <c r="F39" t="s">
        <v>434</v>
      </c>
      <c r="G39" t="s">
        <v>644</v>
      </c>
      <c r="H39">
        <v>3</v>
      </c>
      <c r="I39">
        <v>0</v>
      </c>
      <c r="J39">
        <v>0</v>
      </c>
      <c r="K39" t="b">
        <v>0</v>
      </c>
    </row>
    <row r="40" spans="1:11" x14ac:dyDescent="0.2">
      <c r="A40">
        <v>139</v>
      </c>
      <c r="B40" t="s">
        <v>642</v>
      </c>
      <c r="C40" s="1">
        <v>42757</v>
      </c>
      <c r="D40" s="1">
        <v>42762</v>
      </c>
      <c r="E40">
        <v>4</v>
      </c>
      <c r="F40" t="s">
        <v>434</v>
      </c>
      <c r="G40" t="s">
        <v>645</v>
      </c>
      <c r="H40">
        <v>2</v>
      </c>
      <c r="I40">
        <v>0</v>
      </c>
      <c r="J40">
        <v>0</v>
      </c>
      <c r="K40" t="b">
        <v>0</v>
      </c>
    </row>
    <row r="41" spans="1:11" x14ac:dyDescent="0.2">
      <c r="A41">
        <v>140</v>
      </c>
      <c r="B41" t="s">
        <v>642</v>
      </c>
      <c r="C41" s="1">
        <v>42757</v>
      </c>
      <c r="D41" s="1">
        <v>42762</v>
      </c>
      <c r="E41">
        <v>4</v>
      </c>
      <c r="F41" t="s">
        <v>434</v>
      </c>
      <c r="G41" t="s">
        <v>646</v>
      </c>
      <c r="H41">
        <v>3</v>
      </c>
      <c r="I41">
        <v>0</v>
      </c>
      <c r="J41">
        <v>0</v>
      </c>
      <c r="K41" t="b">
        <v>1</v>
      </c>
    </row>
    <row r="42" spans="1:11" x14ac:dyDescent="0.2">
      <c r="A42">
        <v>141</v>
      </c>
      <c r="B42" t="s">
        <v>647</v>
      </c>
      <c r="C42" s="1">
        <v>42561</v>
      </c>
      <c r="D42" s="1">
        <v>42567</v>
      </c>
      <c r="E42">
        <v>4</v>
      </c>
      <c r="F42" t="s">
        <v>28</v>
      </c>
      <c r="G42" t="s">
        <v>648</v>
      </c>
      <c r="H42">
        <v>2</v>
      </c>
      <c r="I42">
        <v>1</v>
      </c>
      <c r="J42">
        <v>0.2</v>
      </c>
      <c r="K42" t="b">
        <v>0</v>
      </c>
    </row>
    <row r="43" spans="1:11" hidden="1" x14ac:dyDescent="0.2">
      <c r="A43">
        <v>142</v>
      </c>
      <c r="B43" t="s">
        <v>649</v>
      </c>
      <c r="C43" s="1">
        <v>43058</v>
      </c>
      <c r="D43" s="1">
        <v>43061</v>
      </c>
      <c r="E43">
        <v>2</v>
      </c>
      <c r="F43" t="s">
        <v>545</v>
      </c>
      <c r="G43" t="s">
        <v>650</v>
      </c>
      <c r="H43">
        <v>6</v>
      </c>
      <c r="I43">
        <v>1</v>
      </c>
      <c r="J43">
        <v>0.2</v>
      </c>
      <c r="K43" t="b">
        <v>0</v>
      </c>
    </row>
    <row r="44" spans="1:11" hidden="1" x14ac:dyDescent="0.2">
      <c r="A44">
        <v>143</v>
      </c>
      <c r="B44" t="s">
        <v>649</v>
      </c>
      <c r="C44" s="1">
        <v>43058</v>
      </c>
      <c r="D44" s="1">
        <v>43061</v>
      </c>
      <c r="E44">
        <v>2</v>
      </c>
      <c r="F44" t="s">
        <v>545</v>
      </c>
      <c r="G44" t="s">
        <v>651</v>
      </c>
      <c r="H44">
        <v>2</v>
      </c>
      <c r="I44">
        <v>0</v>
      </c>
      <c r="J44">
        <v>0</v>
      </c>
      <c r="K44" t="b">
        <v>0</v>
      </c>
    </row>
    <row r="45" spans="1:11" hidden="1" x14ac:dyDescent="0.2">
      <c r="A45">
        <v>144</v>
      </c>
      <c r="B45" t="s">
        <v>652</v>
      </c>
      <c r="C45" s="1">
        <v>41701</v>
      </c>
      <c r="D45" s="1">
        <v>41705</v>
      </c>
      <c r="E45">
        <v>3</v>
      </c>
      <c r="F45" t="s">
        <v>510</v>
      </c>
      <c r="G45" t="s">
        <v>653</v>
      </c>
      <c r="H45">
        <v>4</v>
      </c>
      <c r="I45">
        <v>1</v>
      </c>
      <c r="J45">
        <v>0.2</v>
      </c>
      <c r="K45" t="b">
        <v>0</v>
      </c>
    </row>
    <row r="46" spans="1:11" x14ac:dyDescent="0.2">
      <c r="A46">
        <v>145</v>
      </c>
      <c r="B46" t="s">
        <v>654</v>
      </c>
      <c r="C46" s="1">
        <v>41713</v>
      </c>
      <c r="D46" s="1">
        <v>41717</v>
      </c>
      <c r="E46">
        <v>4</v>
      </c>
      <c r="F46" t="s">
        <v>548</v>
      </c>
      <c r="G46" t="s">
        <v>655</v>
      </c>
      <c r="H46">
        <v>1</v>
      </c>
      <c r="I46">
        <v>1</v>
      </c>
      <c r="J46">
        <v>0.2</v>
      </c>
      <c r="K46" t="b">
        <v>0</v>
      </c>
    </row>
    <row r="47" spans="1:11" x14ac:dyDescent="0.2">
      <c r="A47">
        <v>146</v>
      </c>
      <c r="B47" t="s">
        <v>654</v>
      </c>
      <c r="C47" s="1">
        <v>41713</v>
      </c>
      <c r="D47" s="1">
        <v>41717</v>
      </c>
      <c r="E47">
        <v>4</v>
      </c>
      <c r="F47" t="s">
        <v>548</v>
      </c>
      <c r="G47" t="s">
        <v>656</v>
      </c>
      <c r="H47">
        <v>3</v>
      </c>
      <c r="I47">
        <v>1</v>
      </c>
      <c r="J47">
        <v>0.2</v>
      </c>
      <c r="K47" t="b">
        <v>0</v>
      </c>
    </row>
    <row r="48" spans="1:11" x14ac:dyDescent="0.2">
      <c r="A48">
        <v>147</v>
      </c>
      <c r="B48" t="s">
        <v>654</v>
      </c>
      <c r="C48" s="1">
        <v>41713</v>
      </c>
      <c r="D48" s="1">
        <v>41717</v>
      </c>
      <c r="E48">
        <v>4</v>
      </c>
      <c r="F48" t="s">
        <v>548</v>
      </c>
      <c r="G48" t="s">
        <v>657</v>
      </c>
      <c r="H48">
        <v>3</v>
      </c>
      <c r="I48">
        <v>1</v>
      </c>
      <c r="J48">
        <v>0.7</v>
      </c>
      <c r="K48" t="b">
        <v>0</v>
      </c>
    </row>
    <row r="49" spans="1:11" x14ac:dyDescent="0.2">
      <c r="A49">
        <v>148</v>
      </c>
      <c r="B49" t="s">
        <v>654</v>
      </c>
      <c r="C49" s="1">
        <v>41713</v>
      </c>
      <c r="D49" s="1">
        <v>41717</v>
      </c>
      <c r="E49">
        <v>4</v>
      </c>
      <c r="F49" t="s">
        <v>548</v>
      </c>
      <c r="G49" t="s">
        <v>658</v>
      </c>
      <c r="H49">
        <v>4</v>
      </c>
      <c r="I49">
        <v>1</v>
      </c>
      <c r="J49">
        <v>0.7</v>
      </c>
      <c r="K49" t="b">
        <v>0</v>
      </c>
    </row>
    <row r="50" spans="1:11" x14ac:dyDescent="0.2">
      <c r="A50">
        <v>149</v>
      </c>
      <c r="B50" t="s">
        <v>654</v>
      </c>
      <c r="C50" s="1">
        <v>41713</v>
      </c>
      <c r="D50" s="1">
        <v>41717</v>
      </c>
      <c r="E50">
        <v>4</v>
      </c>
      <c r="F50" t="s">
        <v>548</v>
      </c>
      <c r="G50" t="s">
        <v>659</v>
      </c>
      <c r="H50">
        <v>3</v>
      </c>
      <c r="I50">
        <v>1</v>
      </c>
      <c r="J50">
        <v>0.2</v>
      </c>
      <c r="K50" t="b">
        <v>0</v>
      </c>
    </row>
    <row r="51" spans="1:11" x14ac:dyDescent="0.2">
      <c r="A51">
        <v>150</v>
      </c>
      <c r="B51" t="s">
        <v>660</v>
      </c>
      <c r="C51" s="1">
        <v>41782</v>
      </c>
      <c r="D51" s="1">
        <v>41786</v>
      </c>
      <c r="E51">
        <v>4</v>
      </c>
      <c r="F51" t="s">
        <v>532</v>
      </c>
      <c r="G51" t="s">
        <v>661</v>
      </c>
      <c r="H51">
        <v>2</v>
      </c>
      <c r="I51">
        <v>1</v>
      </c>
      <c r="J51">
        <v>0.7</v>
      </c>
      <c r="K51" t="b">
        <v>0</v>
      </c>
    </row>
    <row r="52" spans="1:11" x14ac:dyDescent="0.2">
      <c r="A52">
        <v>151</v>
      </c>
      <c r="B52" t="s">
        <v>660</v>
      </c>
      <c r="C52" s="1">
        <v>41782</v>
      </c>
      <c r="D52" s="1">
        <v>41786</v>
      </c>
      <c r="E52">
        <v>4</v>
      </c>
      <c r="F52" t="s">
        <v>532</v>
      </c>
      <c r="G52" t="s">
        <v>662</v>
      </c>
      <c r="H52">
        <v>9</v>
      </c>
      <c r="I52">
        <v>1</v>
      </c>
      <c r="J52">
        <v>0.2</v>
      </c>
      <c r="K52" t="b">
        <v>0</v>
      </c>
    </row>
    <row r="53" spans="1:11" x14ac:dyDescent="0.2">
      <c r="A53">
        <v>152</v>
      </c>
      <c r="B53" t="s">
        <v>660</v>
      </c>
      <c r="C53" s="1">
        <v>41782</v>
      </c>
      <c r="D53" s="1">
        <v>41786</v>
      </c>
      <c r="E53">
        <v>4</v>
      </c>
      <c r="F53" t="s">
        <v>532</v>
      </c>
      <c r="G53" t="s">
        <v>663</v>
      </c>
      <c r="H53">
        <v>2</v>
      </c>
      <c r="I53">
        <v>1</v>
      </c>
      <c r="J53">
        <v>0.4</v>
      </c>
      <c r="K53" t="b">
        <v>0</v>
      </c>
    </row>
    <row r="54" spans="1:11" x14ac:dyDescent="0.2">
      <c r="A54">
        <v>153</v>
      </c>
      <c r="B54" t="s">
        <v>664</v>
      </c>
      <c r="C54" s="1">
        <v>42874</v>
      </c>
      <c r="D54" s="1">
        <v>42878</v>
      </c>
      <c r="E54">
        <v>4</v>
      </c>
      <c r="F54" t="s">
        <v>557</v>
      </c>
      <c r="G54" t="s">
        <v>665</v>
      </c>
      <c r="H54">
        <v>2</v>
      </c>
      <c r="I54">
        <v>0</v>
      </c>
      <c r="J54">
        <v>0</v>
      </c>
      <c r="K54" t="b">
        <v>0</v>
      </c>
    </row>
    <row r="55" spans="1:11" hidden="1" x14ac:dyDescent="0.2">
      <c r="A55">
        <v>154</v>
      </c>
      <c r="B55" t="s">
        <v>666</v>
      </c>
      <c r="C55" s="1">
        <v>42715</v>
      </c>
      <c r="D55" s="1">
        <v>42720</v>
      </c>
      <c r="E55">
        <v>3</v>
      </c>
      <c r="F55" t="s">
        <v>535</v>
      </c>
      <c r="G55" t="s">
        <v>667</v>
      </c>
      <c r="H55">
        <v>4</v>
      </c>
      <c r="I55">
        <v>0</v>
      </c>
      <c r="J55">
        <v>0</v>
      </c>
      <c r="K55" t="b">
        <v>0</v>
      </c>
    </row>
    <row r="56" spans="1:11" hidden="1" x14ac:dyDescent="0.2">
      <c r="A56">
        <v>155</v>
      </c>
      <c r="B56" t="s">
        <v>666</v>
      </c>
      <c r="C56" s="1">
        <v>42715</v>
      </c>
      <c r="D56" s="1">
        <v>42720</v>
      </c>
      <c r="E56">
        <v>3</v>
      </c>
      <c r="F56" t="s">
        <v>535</v>
      </c>
      <c r="G56" t="s">
        <v>668</v>
      </c>
      <c r="H56">
        <v>3</v>
      </c>
      <c r="I56">
        <v>1</v>
      </c>
      <c r="J56">
        <v>0.2</v>
      </c>
      <c r="K56" t="b">
        <v>0</v>
      </c>
    </row>
    <row r="57" spans="1:11" hidden="1" x14ac:dyDescent="0.2">
      <c r="A57">
        <v>156</v>
      </c>
      <c r="B57" t="s">
        <v>666</v>
      </c>
      <c r="C57" s="1">
        <v>42715</v>
      </c>
      <c r="D57" s="1">
        <v>42720</v>
      </c>
      <c r="E57">
        <v>3</v>
      </c>
      <c r="F57" t="s">
        <v>535</v>
      </c>
      <c r="G57" t="s">
        <v>669</v>
      </c>
      <c r="H57">
        <v>4</v>
      </c>
      <c r="I57">
        <v>0</v>
      </c>
      <c r="J57">
        <v>0</v>
      </c>
      <c r="K57" t="b">
        <v>0</v>
      </c>
    </row>
    <row r="58" spans="1:11" x14ac:dyDescent="0.2">
      <c r="A58">
        <v>157</v>
      </c>
      <c r="B58" t="s">
        <v>670</v>
      </c>
      <c r="C58" s="1">
        <v>42905</v>
      </c>
      <c r="D58" s="1">
        <v>42909</v>
      </c>
      <c r="E58">
        <v>4</v>
      </c>
      <c r="F58" t="s">
        <v>531</v>
      </c>
      <c r="G58" t="s">
        <v>671</v>
      </c>
      <c r="H58">
        <v>2</v>
      </c>
      <c r="I58">
        <v>0</v>
      </c>
      <c r="J58">
        <v>0</v>
      </c>
      <c r="K58" t="b">
        <v>0</v>
      </c>
    </row>
    <row r="59" spans="1:11" x14ac:dyDescent="0.2">
      <c r="A59">
        <v>158</v>
      </c>
      <c r="B59" t="s">
        <v>670</v>
      </c>
      <c r="C59" s="1">
        <v>42905</v>
      </c>
      <c r="D59" s="1">
        <v>42909</v>
      </c>
      <c r="E59">
        <v>4</v>
      </c>
      <c r="F59" t="s">
        <v>531</v>
      </c>
      <c r="G59" t="s">
        <v>672</v>
      </c>
      <c r="H59">
        <v>8</v>
      </c>
      <c r="I59">
        <v>0</v>
      </c>
      <c r="J59">
        <v>0</v>
      </c>
      <c r="K59" t="b">
        <v>0</v>
      </c>
    </row>
    <row r="60" spans="1:11" x14ac:dyDescent="0.2">
      <c r="A60">
        <v>159</v>
      </c>
      <c r="B60" t="s">
        <v>673</v>
      </c>
      <c r="C60" s="1">
        <v>42091</v>
      </c>
      <c r="D60" s="1">
        <v>42096</v>
      </c>
      <c r="E60">
        <v>4</v>
      </c>
      <c r="F60" t="s">
        <v>574</v>
      </c>
      <c r="G60" t="s">
        <v>674</v>
      </c>
      <c r="H60">
        <v>1</v>
      </c>
      <c r="I60">
        <v>0</v>
      </c>
      <c r="J60">
        <v>0</v>
      </c>
      <c r="K60" t="b">
        <v>0</v>
      </c>
    </row>
    <row r="61" spans="1:11" x14ac:dyDescent="0.2">
      <c r="A61">
        <v>160</v>
      </c>
      <c r="B61" t="s">
        <v>673</v>
      </c>
      <c r="C61" s="1">
        <v>42091</v>
      </c>
      <c r="D61" s="1">
        <v>42096</v>
      </c>
      <c r="E61">
        <v>4</v>
      </c>
      <c r="F61" t="s">
        <v>574</v>
      </c>
      <c r="G61" t="s">
        <v>675</v>
      </c>
      <c r="H61">
        <v>5</v>
      </c>
      <c r="I61">
        <v>0</v>
      </c>
      <c r="J61">
        <v>0</v>
      </c>
      <c r="K61" t="b">
        <v>0</v>
      </c>
    </row>
    <row r="62" spans="1:11" hidden="1" x14ac:dyDescent="0.2">
      <c r="A62">
        <v>161</v>
      </c>
      <c r="B62" t="s">
        <v>676</v>
      </c>
      <c r="C62" s="1">
        <v>42678</v>
      </c>
      <c r="D62" s="1">
        <v>42682</v>
      </c>
      <c r="E62">
        <v>2</v>
      </c>
      <c r="F62" t="s">
        <v>551</v>
      </c>
      <c r="G62" t="s">
        <v>677</v>
      </c>
      <c r="H62">
        <v>3</v>
      </c>
      <c r="I62">
        <v>0</v>
      </c>
      <c r="J62">
        <v>0</v>
      </c>
      <c r="K62" t="b">
        <v>0</v>
      </c>
    </row>
    <row r="63" spans="1:11" x14ac:dyDescent="0.2">
      <c r="A63">
        <v>162</v>
      </c>
      <c r="B63" t="s">
        <v>678</v>
      </c>
      <c r="C63" s="1">
        <v>42981</v>
      </c>
      <c r="D63" s="1">
        <v>42985</v>
      </c>
      <c r="E63">
        <v>4</v>
      </c>
      <c r="F63" t="s">
        <v>524</v>
      </c>
      <c r="G63" t="s">
        <v>679</v>
      </c>
      <c r="H63">
        <v>4</v>
      </c>
      <c r="I63">
        <v>1</v>
      </c>
      <c r="J63">
        <v>0.2</v>
      </c>
      <c r="K63" t="b">
        <v>0</v>
      </c>
    </row>
    <row r="64" spans="1:11" x14ac:dyDescent="0.2">
      <c r="A64">
        <v>163</v>
      </c>
      <c r="B64" t="s">
        <v>680</v>
      </c>
      <c r="C64" s="1">
        <v>42247</v>
      </c>
      <c r="D64" s="1">
        <v>42252</v>
      </c>
      <c r="E64">
        <v>4</v>
      </c>
      <c r="F64" t="s">
        <v>532</v>
      </c>
      <c r="G64" t="s">
        <v>681</v>
      </c>
      <c r="H64">
        <v>9</v>
      </c>
      <c r="I64">
        <v>0</v>
      </c>
      <c r="J64">
        <v>0</v>
      </c>
      <c r="K64" t="b">
        <v>0</v>
      </c>
    </row>
    <row r="65" spans="1:11" hidden="1" x14ac:dyDescent="0.2">
      <c r="A65">
        <v>164</v>
      </c>
      <c r="B65" t="s">
        <v>682</v>
      </c>
      <c r="C65" s="1">
        <v>41773</v>
      </c>
      <c r="D65" s="1">
        <v>41779</v>
      </c>
      <c r="E65">
        <v>3</v>
      </c>
      <c r="F65" t="s">
        <v>506</v>
      </c>
      <c r="G65" t="s">
        <v>683</v>
      </c>
      <c r="H65">
        <v>2</v>
      </c>
      <c r="I65">
        <v>1</v>
      </c>
      <c r="J65">
        <v>0.2</v>
      </c>
      <c r="K65" t="b">
        <v>0</v>
      </c>
    </row>
    <row r="66" spans="1:11" hidden="1" x14ac:dyDescent="0.2">
      <c r="A66">
        <v>165</v>
      </c>
      <c r="B66" t="s">
        <v>684</v>
      </c>
      <c r="C66" s="1">
        <v>42038</v>
      </c>
      <c r="D66" s="1">
        <v>42040</v>
      </c>
      <c r="E66">
        <v>2</v>
      </c>
      <c r="F66" t="s">
        <v>32</v>
      </c>
      <c r="G66" t="s">
        <v>685</v>
      </c>
      <c r="H66">
        <v>2</v>
      </c>
      <c r="I66">
        <v>0</v>
      </c>
      <c r="J66">
        <v>0</v>
      </c>
      <c r="K66" t="b">
        <v>0</v>
      </c>
    </row>
    <row r="67" spans="1:11" hidden="1" x14ac:dyDescent="0.2">
      <c r="A67">
        <v>166</v>
      </c>
      <c r="B67" t="s">
        <v>684</v>
      </c>
      <c r="C67" s="1">
        <v>42038</v>
      </c>
      <c r="D67" s="1">
        <v>42040</v>
      </c>
      <c r="E67">
        <v>2</v>
      </c>
      <c r="F67" t="s">
        <v>32</v>
      </c>
      <c r="G67" t="s">
        <v>686</v>
      </c>
      <c r="H67">
        <v>3</v>
      </c>
      <c r="I67">
        <v>0</v>
      </c>
      <c r="J67">
        <v>0</v>
      </c>
      <c r="K67" t="b">
        <v>0</v>
      </c>
    </row>
    <row r="68" spans="1:11" x14ac:dyDescent="0.2">
      <c r="A68">
        <v>167</v>
      </c>
      <c r="B68" t="s">
        <v>687</v>
      </c>
      <c r="C68" s="1">
        <v>42290</v>
      </c>
      <c r="D68" s="1">
        <v>42294</v>
      </c>
      <c r="E68">
        <v>4</v>
      </c>
      <c r="F68" t="s">
        <v>576</v>
      </c>
      <c r="G68" t="s">
        <v>688</v>
      </c>
      <c r="H68">
        <v>7</v>
      </c>
      <c r="I68">
        <v>0</v>
      </c>
      <c r="J68">
        <v>0</v>
      </c>
      <c r="K68" t="b">
        <v>0</v>
      </c>
    </row>
    <row r="69" spans="1:11" x14ac:dyDescent="0.2">
      <c r="A69">
        <v>168</v>
      </c>
      <c r="B69" t="s">
        <v>687</v>
      </c>
      <c r="C69" s="1">
        <v>42290</v>
      </c>
      <c r="D69" s="1">
        <v>42294</v>
      </c>
      <c r="E69">
        <v>4</v>
      </c>
      <c r="F69" t="s">
        <v>576</v>
      </c>
      <c r="G69" t="s">
        <v>689</v>
      </c>
      <c r="H69">
        <v>3</v>
      </c>
      <c r="I69">
        <v>0</v>
      </c>
      <c r="J69">
        <v>0</v>
      </c>
      <c r="K69" t="b">
        <v>0</v>
      </c>
    </row>
    <row r="70" spans="1:11" hidden="1" x14ac:dyDescent="0.2">
      <c r="A70">
        <v>169</v>
      </c>
      <c r="B70" t="s">
        <v>690</v>
      </c>
      <c r="C70" s="1">
        <v>42374</v>
      </c>
      <c r="D70" s="1">
        <v>42376</v>
      </c>
      <c r="E70">
        <v>3</v>
      </c>
      <c r="F70" t="s">
        <v>506</v>
      </c>
      <c r="G70" t="s">
        <v>691</v>
      </c>
      <c r="H70">
        <v>6</v>
      </c>
      <c r="I70">
        <v>1</v>
      </c>
      <c r="J70">
        <v>0.2</v>
      </c>
      <c r="K70" t="b">
        <v>0</v>
      </c>
    </row>
    <row r="71" spans="1:11" hidden="1" x14ac:dyDescent="0.2">
      <c r="A71">
        <v>170</v>
      </c>
      <c r="B71" t="s">
        <v>690</v>
      </c>
      <c r="C71" s="1">
        <v>42374</v>
      </c>
      <c r="D71" s="1">
        <v>42376</v>
      </c>
      <c r="E71">
        <v>3</v>
      </c>
      <c r="F71" t="s">
        <v>506</v>
      </c>
      <c r="G71" t="s">
        <v>692</v>
      </c>
      <c r="H71">
        <v>2</v>
      </c>
      <c r="I71">
        <v>1</v>
      </c>
      <c r="J71">
        <v>0.2</v>
      </c>
      <c r="K71" t="b">
        <v>1</v>
      </c>
    </row>
    <row r="72" spans="1:11" hidden="1" x14ac:dyDescent="0.2">
      <c r="A72">
        <v>171</v>
      </c>
      <c r="B72" t="s">
        <v>690</v>
      </c>
      <c r="C72" s="1">
        <v>42374</v>
      </c>
      <c r="D72" s="1">
        <v>42376</v>
      </c>
      <c r="E72">
        <v>3</v>
      </c>
      <c r="F72" t="s">
        <v>506</v>
      </c>
      <c r="G72" t="s">
        <v>693</v>
      </c>
      <c r="H72">
        <v>2</v>
      </c>
      <c r="I72">
        <v>1</v>
      </c>
      <c r="J72">
        <v>0.2</v>
      </c>
      <c r="K72" t="b">
        <v>0</v>
      </c>
    </row>
    <row r="73" spans="1:11" x14ac:dyDescent="0.2">
      <c r="A73">
        <v>172</v>
      </c>
      <c r="B73" t="s">
        <v>694</v>
      </c>
      <c r="C73" s="1">
        <v>41649</v>
      </c>
      <c r="D73" s="1">
        <v>41654</v>
      </c>
      <c r="E73">
        <v>4</v>
      </c>
      <c r="F73" t="s">
        <v>503</v>
      </c>
      <c r="G73" t="s">
        <v>695</v>
      </c>
      <c r="H73">
        <v>1</v>
      </c>
      <c r="I73">
        <v>0</v>
      </c>
      <c r="J73">
        <v>0</v>
      </c>
      <c r="K73" t="b">
        <v>0</v>
      </c>
    </row>
    <row r="74" spans="1:11" x14ac:dyDescent="0.2">
      <c r="A74">
        <v>173</v>
      </c>
      <c r="B74" t="s">
        <v>694</v>
      </c>
      <c r="C74" s="1">
        <v>41649</v>
      </c>
      <c r="D74" s="1">
        <v>41654</v>
      </c>
      <c r="E74">
        <v>4</v>
      </c>
      <c r="F74" t="s">
        <v>503</v>
      </c>
      <c r="G74" t="s">
        <v>696</v>
      </c>
      <c r="H74">
        <v>1</v>
      </c>
      <c r="I74">
        <v>0</v>
      </c>
      <c r="J74">
        <v>0</v>
      </c>
      <c r="K74" t="b">
        <v>0</v>
      </c>
    </row>
    <row r="75" spans="1:11" x14ac:dyDescent="0.2">
      <c r="A75">
        <v>174</v>
      </c>
      <c r="B75" t="s">
        <v>697</v>
      </c>
      <c r="C75" s="1">
        <v>41899</v>
      </c>
      <c r="D75" s="1">
        <v>41903</v>
      </c>
      <c r="E75">
        <v>4</v>
      </c>
      <c r="F75" t="s">
        <v>462</v>
      </c>
      <c r="G75" t="s">
        <v>698</v>
      </c>
      <c r="H75">
        <v>4</v>
      </c>
      <c r="I75">
        <v>1</v>
      </c>
      <c r="J75">
        <v>0.7</v>
      </c>
      <c r="K75" t="b">
        <v>0</v>
      </c>
    </row>
    <row r="76" spans="1:11" x14ac:dyDescent="0.2">
      <c r="A76">
        <v>175</v>
      </c>
      <c r="B76" t="s">
        <v>699</v>
      </c>
      <c r="C76" s="1">
        <v>42628</v>
      </c>
      <c r="D76" s="1">
        <v>42633</v>
      </c>
      <c r="E76">
        <v>4</v>
      </c>
      <c r="F76" t="s">
        <v>474</v>
      </c>
      <c r="G76" t="s">
        <v>700</v>
      </c>
      <c r="H76">
        <v>2</v>
      </c>
      <c r="I76">
        <v>1</v>
      </c>
      <c r="J76">
        <v>0.2</v>
      </c>
      <c r="K76" t="b">
        <v>0</v>
      </c>
    </row>
    <row r="77" spans="1:11" hidden="1" x14ac:dyDescent="0.2">
      <c r="A77">
        <v>176</v>
      </c>
      <c r="B77" t="s">
        <v>701</v>
      </c>
      <c r="C77" s="1">
        <v>42839</v>
      </c>
      <c r="D77" s="1">
        <v>42842</v>
      </c>
      <c r="E77">
        <v>2</v>
      </c>
      <c r="F77" t="s">
        <v>574</v>
      </c>
      <c r="G77" t="s">
        <v>653</v>
      </c>
      <c r="H77">
        <v>3</v>
      </c>
      <c r="I77">
        <v>1</v>
      </c>
      <c r="J77">
        <v>0.2</v>
      </c>
      <c r="K77" t="b">
        <v>0</v>
      </c>
    </row>
    <row r="78" spans="1:11" hidden="1" x14ac:dyDescent="0.2">
      <c r="A78">
        <v>177</v>
      </c>
      <c r="B78" t="s">
        <v>701</v>
      </c>
      <c r="C78" s="1">
        <v>42839</v>
      </c>
      <c r="D78" s="1">
        <v>42842</v>
      </c>
      <c r="E78">
        <v>2</v>
      </c>
      <c r="F78" t="s">
        <v>574</v>
      </c>
      <c r="G78" t="s">
        <v>702</v>
      </c>
      <c r="H78">
        <v>3</v>
      </c>
      <c r="I78">
        <v>1</v>
      </c>
      <c r="J78">
        <v>0.2</v>
      </c>
      <c r="K78" t="b">
        <v>0</v>
      </c>
    </row>
    <row r="79" spans="1:11" hidden="1" x14ac:dyDescent="0.2">
      <c r="A79">
        <v>178</v>
      </c>
      <c r="B79" t="s">
        <v>701</v>
      </c>
      <c r="C79" s="1">
        <v>42839</v>
      </c>
      <c r="D79" s="1">
        <v>42842</v>
      </c>
      <c r="E79">
        <v>2</v>
      </c>
      <c r="F79" t="s">
        <v>574</v>
      </c>
      <c r="G79" t="s">
        <v>703</v>
      </c>
      <c r="H79">
        <v>3</v>
      </c>
      <c r="I79">
        <v>1</v>
      </c>
      <c r="J79">
        <v>0.2</v>
      </c>
      <c r="K79" t="b">
        <v>0</v>
      </c>
    </row>
    <row r="80" spans="1:11" x14ac:dyDescent="0.2">
      <c r="A80">
        <v>179</v>
      </c>
      <c r="B80" t="s">
        <v>704</v>
      </c>
      <c r="C80" s="1">
        <v>43007</v>
      </c>
      <c r="D80" s="1">
        <v>43013</v>
      </c>
      <c r="E80">
        <v>4</v>
      </c>
      <c r="F80" t="s">
        <v>553</v>
      </c>
      <c r="G80" t="s">
        <v>705</v>
      </c>
      <c r="H80">
        <v>2</v>
      </c>
      <c r="I80">
        <v>1</v>
      </c>
      <c r="J80">
        <v>0.2</v>
      </c>
      <c r="K80" t="b">
        <v>1</v>
      </c>
    </row>
    <row r="81" spans="1:11" x14ac:dyDescent="0.2">
      <c r="A81">
        <v>180</v>
      </c>
      <c r="B81" t="s">
        <v>704</v>
      </c>
      <c r="C81" s="1">
        <v>43007</v>
      </c>
      <c r="D81" s="1">
        <v>43013</v>
      </c>
      <c r="E81">
        <v>4</v>
      </c>
      <c r="F81" t="s">
        <v>553</v>
      </c>
      <c r="G81" t="s">
        <v>706</v>
      </c>
      <c r="H81">
        <v>4</v>
      </c>
      <c r="I81">
        <v>1</v>
      </c>
      <c r="J81">
        <v>0.2</v>
      </c>
      <c r="K81" t="b">
        <v>0</v>
      </c>
    </row>
    <row r="82" spans="1:11" x14ac:dyDescent="0.2">
      <c r="A82">
        <v>181</v>
      </c>
      <c r="B82" t="s">
        <v>704</v>
      </c>
      <c r="C82" s="1">
        <v>43007</v>
      </c>
      <c r="D82" s="1">
        <v>43013</v>
      </c>
      <c r="E82">
        <v>4</v>
      </c>
      <c r="F82" t="s">
        <v>553</v>
      </c>
      <c r="G82" t="s">
        <v>707</v>
      </c>
      <c r="H82">
        <v>3</v>
      </c>
      <c r="I82">
        <v>1</v>
      </c>
      <c r="J82">
        <v>0.4</v>
      </c>
      <c r="K82" t="b">
        <v>0</v>
      </c>
    </row>
    <row r="83" spans="1:11" x14ac:dyDescent="0.2">
      <c r="A83">
        <v>182</v>
      </c>
      <c r="B83" t="s">
        <v>708</v>
      </c>
      <c r="C83" s="1">
        <v>42948</v>
      </c>
      <c r="D83" s="1">
        <v>42950</v>
      </c>
      <c r="E83">
        <v>4</v>
      </c>
      <c r="F83" t="s">
        <v>557</v>
      </c>
      <c r="G83" t="s">
        <v>709</v>
      </c>
      <c r="H83">
        <v>2</v>
      </c>
      <c r="I83">
        <v>1</v>
      </c>
      <c r="J83">
        <v>0.2</v>
      </c>
      <c r="K83" t="b">
        <v>0</v>
      </c>
    </row>
    <row r="84" spans="1:11" hidden="1" x14ac:dyDescent="0.2">
      <c r="A84">
        <v>183</v>
      </c>
      <c r="B84" t="s">
        <v>710</v>
      </c>
      <c r="C84" s="1">
        <v>42694</v>
      </c>
      <c r="D84" s="1">
        <v>42696</v>
      </c>
      <c r="E84">
        <v>2</v>
      </c>
      <c r="F84" t="s">
        <v>451</v>
      </c>
      <c r="G84" t="s">
        <v>711</v>
      </c>
      <c r="H84">
        <v>3</v>
      </c>
      <c r="I84">
        <v>1</v>
      </c>
      <c r="J84">
        <v>0.2</v>
      </c>
      <c r="K84" t="b">
        <v>0</v>
      </c>
    </row>
    <row r="85" spans="1:11" hidden="1" x14ac:dyDescent="0.2">
      <c r="A85">
        <v>184</v>
      </c>
      <c r="B85" t="s">
        <v>710</v>
      </c>
      <c r="C85" s="1">
        <v>42694</v>
      </c>
      <c r="D85" s="1">
        <v>42696</v>
      </c>
      <c r="E85">
        <v>2</v>
      </c>
      <c r="F85" t="s">
        <v>451</v>
      </c>
      <c r="G85" t="s">
        <v>712</v>
      </c>
      <c r="H85">
        <v>2</v>
      </c>
      <c r="I85">
        <v>1</v>
      </c>
      <c r="J85">
        <v>0.7</v>
      </c>
      <c r="K85" t="b">
        <v>0</v>
      </c>
    </row>
    <row r="86" spans="1:11" hidden="1" x14ac:dyDescent="0.2">
      <c r="A86">
        <v>185</v>
      </c>
      <c r="B86" t="s">
        <v>710</v>
      </c>
      <c r="C86" s="1">
        <v>42694</v>
      </c>
      <c r="D86" s="1">
        <v>42696</v>
      </c>
      <c r="E86">
        <v>2</v>
      </c>
      <c r="F86" t="s">
        <v>451</v>
      </c>
      <c r="G86" t="s">
        <v>713</v>
      </c>
      <c r="H86">
        <v>3</v>
      </c>
      <c r="I86">
        <v>1</v>
      </c>
      <c r="J86">
        <v>0.7</v>
      </c>
      <c r="K86" t="b">
        <v>0</v>
      </c>
    </row>
    <row r="87" spans="1:11" x14ac:dyDescent="0.2">
      <c r="A87">
        <v>186</v>
      </c>
      <c r="B87" t="s">
        <v>714</v>
      </c>
      <c r="C87" s="1">
        <v>41911</v>
      </c>
      <c r="D87" s="1">
        <v>41915</v>
      </c>
      <c r="E87">
        <v>4</v>
      </c>
      <c r="F87" t="s">
        <v>524</v>
      </c>
      <c r="G87" t="s">
        <v>715</v>
      </c>
      <c r="H87">
        <v>2</v>
      </c>
      <c r="I87">
        <v>0</v>
      </c>
      <c r="J87">
        <v>0</v>
      </c>
      <c r="K87" t="b">
        <v>0</v>
      </c>
    </row>
    <row r="88" spans="1:11" x14ac:dyDescent="0.2">
      <c r="A88">
        <v>187</v>
      </c>
      <c r="B88" t="s">
        <v>714</v>
      </c>
      <c r="C88" s="1">
        <v>41911</v>
      </c>
      <c r="D88" s="1">
        <v>41915</v>
      </c>
      <c r="E88">
        <v>4</v>
      </c>
      <c r="F88" t="s">
        <v>524</v>
      </c>
      <c r="G88" t="s">
        <v>716</v>
      </c>
      <c r="H88">
        <v>4</v>
      </c>
      <c r="I88">
        <v>0</v>
      </c>
      <c r="J88">
        <v>0</v>
      </c>
      <c r="K88" t="b">
        <v>0</v>
      </c>
    </row>
    <row r="89" spans="1:11" x14ac:dyDescent="0.2">
      <c r="A89">
        <v>188</v>
      </c>
      <c r="B89" t="s">
        <v>714</v>
      </c>
      <c r="C89" s="1">
        <v>41911</v>
      </c>
      <c r="D89" s="1">
        <v>41915</v>
      </c>
      <c r="E89">
        <v>4</v>
      </c>
      <c r="F89" t="s">
        <v>524</v>
      </c>
      <c r="G89" t="s">
        <v>717</v>
      </c>
      <c r="H89">
        <v>1</v>
      </c>
      <c r="I89">
        <v>0</v>
      </c>
      <c r="J89">
        <v>0</v>
      </c>
      <c r="K89" t="b">
        <v>0</v>
      </c>
    </row>
    <row r="90" spans="1:11" x14ac:dyDescent="0.2">
      <c r="A90">
        <v>189</v>
      </c>
      <c r="B90" t="s">
        <v>714</v>
      </c>
      <c r="C90" s="1">
        <v>41911</v>
      </c>
      <c r="D90" s="1">
        <v>41915</v>
      </c>
      <c r="E90">
        <v>4</v>
      </c>
      <c r="F90" t="s">
        <v>524</v>
      </c>
      <c r="G90" t="s">
        <v>718</v>
      </c>
      <c r="H90">
        <v>2</v>
      </c>
      <c r="I90">
        <v>1</v>
      </c>
      <c r="J90">
        <v>0.2</v>
      </c>
      <c r="K90" t="b">
        <v>0</v>
      </c>
    </row>
    <row r="91" spans="1:11" x14ac:dyDescent="0.2">
      <c r="A91">
        <v>190</v>
      </c>
      <c r="B91" t="s">
        <v>714</v>
      </c>
      <c r="C91" s="1">
        <v>41911</v>
      </c>
      <c r="D91" s="1">
        <v>41915</v>
      </c>
      <c r="E91">
        <v>4</v>
      </c>
      <c r="F91" t="s">
        <v>524</v>
      </c>
      <c r="G91" t="s">
        <v>719</v>
      </c>
      <c r="H91">
        <v>1</v>
      </c>
      <c r="I91">
        <v>0</v>
      </c>
      <c r="J91">
        <v>0</v>
      </c>
      <c r="K91" t="b">
        <v>0</v>
      </c>
    </row>
    <row r="92" spans="1:11" x14ac:dyDescent="0.2">
      <c r="A92">
        <v>191</v>
      </c>
      <c r="B92" t="s">
        <v>720</v>
      </c>
      <c r="C92" s="1">
        <v>42915</v>
      </c>
      <c r="D92" s="1">
        <v>42920</v>
      </c>
      <c r="E92">
        <v>4</v>
      </c>
      <c r="F92" t="s">
        <v>7</v>
      </c>
      <c r="G92" t="s">
        <v>721</v>
      </c>
      <c r="H92">
        <v>3</v>
      </c>
      <c r="I92">
        <v>0</v>
      </c>
      <c r="J92">
        <v>0</v>
      </c>
      <c r="K92" t="b">
        <v>0</v>
      </c>
    </row>
    <row r="93" spans="1:11" x14ac:dyDescent="0.2">
      <c r="A93">
        <v>192</v>
      </c>
      <c r="B93" t="s">
        <v>720</v>
      </c>
      <c r="C93" s="1">
        <v>42915</v>
      </c>
      <c r="D93" s="1">
        <v>42920</v>
      </c>
      <c r="E93">
        <v>4</v>
      </c>
      <c r="F93" t="s">
        <v>7</v>
      </c>
      <c r="G93" t="s">
        <v>722</v>
      </c>
      <c r="H93">
        <v>2</v>
      </c>
      <c r="I93">
        <v>0</v>
      </c>
      <c r="J93">
        <v>0</v>
      </c>
      <c r="K93" t="b">
        <v>0</v>
      </c>
    </row>
    <row r="94" spans="1:11" x14ac:dyDescent="0.2">
      <c r="A94">
        <v>193</v>
      </c>
      <c r="B94" t="s">
        <v>723</v>
      </c>
      <c r="C94" s="1">
        <v>41701</v>
      </c>
      <c r="D94" s="1">
        <v>41706</v>
      </c>
      <c r="E94">
        <v>4</v>
      </c>
      <c r="F94" t="s">
        <v>520</v>
      </c>
      <c r="G94" t="s">
        <v>724</v>
      </c>
      <c r="H94">
        <v>1</v>
      </c>
      <c r="I94">
        <v>0</v>
      </c>
      <c r="J94">
        <v>0</v>
      </c>
      <c r="K94" t="b">
        <v>0</v>
      </c>
    </row>
    <row r="95" spans="1:11" x14ac:dyDescent="0.2">
      <c r="A95">
        <v>194</v>
      </c>
      <c r="B95" t="s">
        <v>723</v>
      </c>
      <c r="C95" s="1">
        <v>41701</v>
      </c>
      <c r="D95" s="1">
        <v>41706</v>
      </c>
      <c r="E95">
        <v>4</v>
      </c>
      <c r="F95" t="s">
        <v>520</v>
      </c>
      <c r="G95" t="s">
        <v>725</v>
      </c>
      <c r="H95">
        <v>3</v>
      </c>
      <c r="I95">
        <v>1</v>
      </c>
      <c r="J95">
        <v>0.2</v>
      </c>
      <c r="K95" t="b">
        <v>0</v>
      </c>
    </row>
    <row r="96" spans="1:11" x14ac:dyDescent="0.2">
      <c r="A96">
        <v>195</v>
      </c>
      <c r="B96" t="s">
        <v>723</v>
      </c>
      <c r="C96" s="1">
        <v>41701</v>
      </c>
      <c r="D96" s="1">
        <v>41706</v>
      </c>
      <c r="E96">
        <v>4</v>
      </c>
      <c r="F96" t="s">
        <v>520</v>
      </c>
      <c r="G96" t="s">
        <v>726</v>
      </c>
      <c r="H96">
        <v>5</v>
      </c>
      <c r="I96">
        <v>1</v>
      </c>
      <c r="J96">
        <v>0.2</v>
      </c>
      <c r="K96" t="b">
        <v>0</v>
      </c>
    </row>
    <row r="97" spans="1:11" x14ac:dyDescent="0.2">
      <c r="A97">
        <v>196</v>
      </c>
      <c r="B97" t="s">
        <v>727</v>
      </c>
      <c r="C97" s="1">
        <v>41750</v>
      </c>
      <c r="D97" s="1">
        <v>41754</v>
      </c>
      <c r="E97">
        <v>4</v>
      </c>
      <c r="F97" t="s">
        <v>36</v>
      </c>
      <c r="G97" t="s">
        <v>728</v>
      </c>
      <c r="H97">
        <v>5</v>
      </c>
      <c r="I97">
        <v>1</v>
      </c>
      <c r="J97">
        <v>0.2</v>
      </c>
      <c r="K97" t="b">
        <v>0</v>
      </c>
    </row>
    <row r="98" spans="1:11" x14ac:dyDescent="0.2">
      <c r="A98">
        <v>197</v>
      </c>
      <c r="B98" t="s">
        <v>729</v>
      </c>
      <c r="C98" s="1">
        <v>42611</v>
      </c>
      <c r="D98" s="1">
        <v>42616</v>
      </c>
      <c r="E98">
        <v>4</v>
      </c>
      <c r="F98" t="s">
        <v>388</v>
      </c>
      <c r="G98" t="s">
        <v>730</v>
      </c>
      <c r="H98">
        <v>3</v>
      </c>
      <c r="I98">
        <v>0</v>
      </c>
      <c r="J98">
        <v>0</v>
      </c>
      <c r="K98" t="b">
        <v>0</v>
      </c>
    </row>
    <row r="99" spans="1:11" hidden="1" x14ac:dyDescent="0.2">
      <c r="A99">
        <v>198</v>
      </c>
      <c r="B99" t="s">
        <v>731</v>
      </c>
      <c r="C99" s="1">
        <v>42000</v>
      </c>
      <c r="D99" s="1">
        <v>42003</v>
      </c>
      <c r="E99">
        <v>3</v>
      </c>
      <c r="F99" t="s">
        <v>556</v>
      </c>
      <c r="G99" t="s">
        <v>732</v>
      </c>
      <c r="H99">
        <v>4</v>
      </c>
      <c r="I99">
        <v>0</v>
      </c>
      <c r="J99">
        <v>0</v>
      </c>
      <c r="K99" t="b">
        <v>0</v>
      </c>
    </row>
    <row r="100" spans="1:11" x14ac:dyDescent="0.2">
      <c r="A100">
        <v>199</v>
      </c>
      <c r="B100" t="s">
        <v>733</v>
      </c>
      <c r="C100" s="1">
        <v>42189</v>
      </c>
      <c r="D100" s="1">
        <v>42193</v>
      </c>
      <c r="E100">
        <v>4</v>
      </c>
      <c r="F100" t="s">
        <v>435</v>
      </c>
      <c r="G100" t="s">
        <v>734</v>
      </c>
      <c r="H100">
        <v>3</v>
      </c>
      <c r="I100">
        <v>0</v>
      </c>
      <c r="J100">
        <v>0</v>
      </c>
      <c r="K100" t="b">
        <v>0</v>
      </c>
    </row>
    <row r="101" spans="1:11" hidden="1" x14ac:dyDescent="0.2">
      <c r="A101">
        <v>200</v>
      </c>
      <c r="B101" t="s">
        <v>735</v>
      </c>
      <c r="C101" s="1">
        <v>42281</v>
      </c>
      <c r="D101" s="1">
        <v>42284</v>
      </c>
      <c r="E101">
        <v>2</v>
      </c>
      <c r="F101" t="s">
        <v>14</v>
      </c>
      <c r="G101" t="s">
        <v>736</v>
      </c>
      <c r="H101">
        <v>2</v>
      </c>
      <c r="I101">
        <v>0</v>
      </c>
      <c r="J101">
        <v>0</v>
      </c>
      <c r="K101" t="b">
        <v>0</v>
      </c>
    </row>
    <row r="102" spans="1:11" x14ac:dyDescent="0.2">
      <c r="A102">
        <v>201</v>
      </c>
      <c r="B102" t="s">
        <v>737</v>
      </c>
      <c r="C102" s="1">
        <v>42169</v>
      </c>
      <c r="D102" s="1">
        <v>42173</v>
      </c>
      <c r="E102">
        <v>4</v>
      </c>
      <c r="F102" t="s">
        <v>436</v>
      </c>
      <c r="G102" t="s">
        <v>738</v>
      </c>
      <c r="H102">
        <v>6</v>
      </c>
      <c r="I102">
        <v>1</v>
      </c>
      <c r="J102">
        <v>0.2</v>
      </c>
      <c r="K102" t="b">
        <v>0</v>
      </c>
    </row>
    <row r="103" spans="1:11" x14ac:dyDescent="0.2">
      <c r="A103">
        <v>202</v>
      </c>
      <c r="B103" t="s">
        <v>739</v>
      </c>
      <c r="C103" s="1">
        <v>42888</v>
      </c>
      <c r="D103" s="1">
        <v>42892</v>
      </c>
      <c r="E103">
        <v>4</v>
      </c>
      <c r="F103" t="s">
        <v>410</v>
      </c>
      <c r="G103" t="s">
        <v>740</v>
      </c>
      <c r="H103">
        <v>1</v>
      </c>
      <c r="I103">
        <v>1</v>
      </c>
      <c r="J103">
        <v>0.4</v>
      </c>
      <c r="K103" t="b">
        <v>0</v>
      </c>
    </row>
    <row r="104" spans="1:11" x14ac:dyDescent="0.2">
      <c r="A104">
        <v>203</v>
      </c>
      <c r="B104" t="s">
        <v>739</v>
      </c>
      <c r="C104" s="1">
        <v>42888</v>
      </c>
      <c r="D104" s="1">
        <v>42892</v>
      </c>
      <c r="E104">
        <v>4</v>
      </c>
      <c r="F104" t="s">
        <v>410</v>
      </c>
      <c r="G104" t="s">
        <v>644</v>
      </c>
      <c r="H104">
        <v>2</v>
      </c>
      <c r="I104">
        <v>1</v>
      </c>
      <c r="J104">
        <v>0.2</v>
      </c>
      <c r="K104" t="b">
        <v>0</v>
      </c>
    </row>
    <row r="105" spans="1:11" hidden="1" x14ac:dyDescent="0.2">
      <c r="A105">
        <v>204</v>
      </c>
      <c r="B105" t="s">
        <v>741</v>
      </c>
      <c r="C105" s="1">
        <v>42737</v>
      </c>
      <c r="D105" s="1">
        <v>42739</v>
      </c>
      <c r="E105">
        <v>2</v>
      </c>
      <c r="F105" t="s">
        <v>537</v>
      </c>
      <c r="G105" t="s">
        <v>742</v>
      </c>
      <c r="H105">
        <v>2</v>
      </c>
      <c r="I105">
        <v>1</v>
      </c>
      <c r="J105">
        <v>0.5</v>
      </c>
      <c r="K105" t="b">
        <v>0</v>
      </c>
    </row>
    <row r="106" spans="1:11" hidden="1" x14ac:dyDescent="0.2">
      <c r="A106">
        <v>205</v>
      </c>
      <c r="B106" t="s">
        <v>741</v>
      </c>
      <c r="C106" s="1">
        <v>42737</v>
      </c>
      <c r="D106" s="1">
        <v>42739</v>
      </c>
      <c r="E106">
        <v>2</v>
      </c>
      <c r="F106" t="s">
        <v>537</v>
      </c>
      <c r="G106" t="s">
        <v>743</v>
      </c>
      <c r="H106">
        <v>5</v>
      </c>
      <c r="I106">
        <v>1</v>
      </c>
      <c r="J106">
        <v>0.7</v>
      </c>
      <c r="K106" t="b">
        <v>0</v>
      </c>
    </row>
    <row r="107" spans="1:11" hidden="1" x14ac:dyDescent="0.2">
      <c r="A107">
        <v>206</v>
      </c>
      <c r="B107" t="s">
        <v>741</v>
      </c>
      <c r="C107" s="1">
        <v>42737</v>
      </c>
      <c r="D107" s="1">
        <v>42739</v>
      </c>
      <c r="E107">
        <v>2</v>
      </c>
      <c r="F107" t="s">
        <v>537</v>
      </c>
      <c r="G107" t="s">
        <v>713</v>
      </c>
      <c r="H107">
        <v>6</v>
      </c>
      <c r="I107">
        <v>1</v>
      </c>
      <c r="J107">
        <v>0.7</v>
      </c>
      <c r="K107" t="b">
        <v>0</v>
      </c>
    </row>
    <row r="108" spans="1:11" hidden="1" x14ac:dyDescent="0.2">
      <c r="A108">
        <v>207</v>
      </c>
      <c r="B108" t="s">
        <v>744</v>
      </c>
      <c r="C108" s="1">
        <v>42457</v>
      </c>
      <c r="D108" s="1">
        <v>42460</v>
      </c>
      <c r="E108">
        <v>2</v>
      </c>
      <c r="F108" t="s">
        <v>537</v>
      </c>
      <c r="G108" t="s">
        <v>745</v>
      </c>
      <c r="H108">
        <v>2</v>
      </c>
      <c r="I108">
        <v>0</v>
      </c>
      <c r="J108">
        <v>0</v>
      </c>
      <c r="K108" t="b">
        <v>0</v>
      </c>
    </row>
    <row r="109" spans="1:11" hidden="1" x14ac:dyDescent="0.2">
      <c r="A109">
        <v>208</v>
      </c>
      <c r="B109" t="s">
        <v>746</v>
      </c>
      <c r="C109" s="1">
        <v>43049</v>
      </c>
      <c r="D109" s="1">
        <v>43050</v>
      </c>
      <c r="E109">
        <v>2</v>
      </c>
      <c r="F109" t="s">
        <v>417</v>
      </c>
      <c r="G109" t="s">
        <v>747</v>
      </c>
      <c r="H109">
        <v>14</v>
      </c>
      <c r="I109">
        <v>1</v>
      </c>
      <c r="J109">
        <v>0.7</v>
      </c>
      <c r="K109" t="b">
        <v>0</v>
      </c>
    </row>
    <row r="110" spans="1:11" hidden="1" x14ac:dyDescent="0.2">
      <c r="A110">
        <v>209</v>
      </c>
      <c r="B110" t="s">
        <v>746</v>
      </c>
      <c r="C110" s="1">
        <v>43049</v>
      </c>
      <c r="D110" s="1">
        <v>43050</v>
      </c>
      <c r="E110">
        <v>2</v>
      </c>
      <c r="F110" t="s">
        <v>417</v>
      </c>
      <c r="G110" t="s">
        <v>748</v>
      </c>
      <c r="H110">
        <v>2</v>
      </c>
      <c r="I110">
        <v>1</v>
      </c>
      <c r="J110">
        <v>0.7</v>
      </c>
      <c r="K110" t="b">
        <v>1</v>
      </c>
    </row>
    <row r="111" spans="1:11" hidden="1" x14ac:dyDescent="0.2">
      <c r="A111">
        <v>210</v>
      </c>
      <c r="B111" t="s">
        <v>746</v>
      </c>
      <c r="C111" s="1">
        <v>43049</v>
      </c>
      <c r="D111" s="1">
        <v>43050</v>
      </c>
      <c r="E111">
        <v>2</v>
      </c>
      <c r="F111" t="s">
        <v>417</v>
      </c>
      <c r="G111" t="s">
        <v>749</v>
      </c>
      <c r="H111">
        <v>6</v>
      </c>
      <c r="I111">
        <v>1</v>
      </c>
      <c r="J111">
        <v>0.2</v>
      </c>
      <c r="K111" t="b">
        <v>0</v>
      </c>
    </row>
    <row r="112" spans="1:11" hidden="1" x14ac:dyDescent="0.2">
      <c r="A112">
        <v>211</v>
      </c>
      <c r="B112" t="s">
        <v>746</v>
      </c>
      <c r="C112" s="1">
        <v>43049</v>
      </c>
      <c r="D112" s="1">
        <v>43050</v>
      </c>
      <c r="E112">
        <v>2</v>
      </c>
      <c r="F112" t="s">
        <v>417</v>
      </c>
      <c r="G112" t="s">
        <v>750</v>
      </c>
      <c r="H112">
        <v>2</v>
      </c>
      <c r="I112">
        <v>1</v>
      </c>
      <c r="J112">
        <v>0.2</v>
      </c>
      <c r="K112" t="b">
        <v>0</v>
      </c>
    </row>
    <row r="113" spans="1:11" hidden="1" x14ac:dyDescent="0.2">
      <c r="A113">
        <v>212</v>
      </c>
      <c r="B113" t="s">
        <v>746</v>
      </c>
      <c r="C113" s="1">
        <v>43049</v>
      </c>
      <c r="D113" s="1">
        <v>43050</v>
      </c>
      <c r="E113">
        <v>2</v>
      </c>
      <c r="F113" t="s">
        <v>417</v>
      </c>
      <c r="G113" t="s">
        <v>751</v>
      </c>
      <c r="H113">
        <v>4</v>
      </c>
      <c r="I113">
        <v>1</v>
      </c>
      <c r="J113">
        <v>0.2</v>
      </c>
      <c r="K113" t="b">
        <v>0</v>
      </c>
    </row>
    <row r="114" spans="1:11" x14ac:dyDescent="0.2">
      <c r="A114">
        <v>213</v>
      </c>
      <c r="B114" t="s">
        <v>752</v>
      </c>
      <c r="C114" s="1">
        <v>42638</v>
      </c>
      <c r="D114" s="1">
        <v>42643</v>
      </c>
      <c r="E114">
        <v>4</v>
      </c>
      <c r="F114" t="s">
        <v>395</v>
      </c>
      <c r="G114" t="s">
        <v>753</v>
      </c>
      <c r="H114">
        <v>3</v>
      </c>
      <c r="I114">
        <v>1</v>
      </c>
      <c r="J114">
        <v>0.5</v>
      </c>
      <c r="K114" t="b">
        <v>0</v>
      </c>
    </row>
    <row r="115" spans="1:11" hidden="1" x14ac:dyDescent="0.2">
      <c r="A115">
        <v>214</v>
      </c>
      <c r="B115" t="s">
        <v>754</v>
      </c>
      <c r="C115" s="1">
        <v>41763</v>
      </c>
      <c r="D115" s="1">
        <v>41763</v>
      </c>
      <c r="E115">
        <v>1</v>
      </c>
      <c r="F115" t="s">
        <v>60</v>
      </c>
      <c r="G115" t="s">
        <v>755</v>
      </c>
      <c r="H115">
        <v>2</v>
      </c>
      <c r="I115">
        <v>0</v>
      </c>
      <c r="J115">
        <v>0</v>
      </c>
      <c r="K115" t="b">
        <v>0</v>
      </c>
    </row>
    <row r="116" spans="1:11" x14ac:dyDescent="0.2">
      <c r="A116">
        <v>215</v>
      </c>
      <c r="B116" t="s">
        <v>756</v>
      </c>
      <c r="C116" s="1">
        <v>42698</v>
      </c>
      <c r="D116" s="1">
        <v>42705</v>
      </c>
      <c r="E116">
        <v>4</v>
      </c>
      <c r="F116" t="s">
        <v>556</v>
      </c>
      <c r="G116" t="s">
        <v>757</v>
      </c>
      <c r="H116">
        <v>2</v>
      </c>
      <c r="I116">
        <v>1</v>
      </c>
      <c r="J116">
        <v>0.2</v>
      </c>
      <c r="K116" t="b">
        <v>0</v>
      </c>
    </row>
    <row r="117" spans="1:11" x14ac:dyDescent="0.2">
      <c r="A117">
        <v>216</v>
      </c>
      <c r="B117" t="s">
        <v>756</v>
      </c>
      <c r="C117" s="1">
        <v>42698</v>
      </c>
      <c r="D117" s="1">
        <v>42705</v>
      </c>
      <c r="E117">
        <v>4</v>
      </c>
      <c r="F117" t="s">
        <v>556</v>
      </c>
      <c r="G117" t="s">
        <v>758</v>
      </c>
      <c r="H117">
        <v>2</v>
      </c>
      <c r="I117">
        <v>0</v>
      </c>
      <c r="J117">
        <v>0</v>
      </c>
      <c r="K117" t="b">
        <v>0</v>
      </c>
    </row>
    <row r="118" spans="1:11" hidden="1" x14ac:dyDescent="0.2">
      <c r="A118">
        <v>217</v>
      </c>
      <c r="B118" t="s">
        <v>759</v>
      </c>
      <c r="C118" s="1">
        <v>43093</v>
      </c>
      <c r="D118" s="1">
        <v>43098</v>
      </c>
      <c r="E118">
        <v>3</v>
      </c>
      <c r="F118" t="s">
        <v>533</v>
      </c>
      <c r="G118" t="s">
        <v>760</v>
      </c>
      <c r="H118">
        <v>3</v>
      </c>
      <c r="I118">
        <v>1</v>
      </c>
      <c r="J118">
        <v>0.2</v>
      </c>
      <c r="K118" t="b">
        <v>0</v>
      </c>
    </row>
    <row r="119" spans="1:11" x14ac:dyDescent="0.2">
      <c r="A119">
        <v>218</v>
      </c>
      <c r="B119" t="s">
        <v>761</v>
      </c>
      <c r="C119" s="1">
        <v>43080</v>
      </c>
      <c r="D119" s="1">
        <v>43086</v>
      </c>
      <c r="E119">
        <v>4</v>
      </c>
      <c r="F119" t="s">
        <v>499</v>
      </c>
      <c r="G119" t="s">
        <v>762</v>
      </c>
      <c r="H119">
        <v>1</v>
      </c>
      <c r="I119">
        <v>1</v>
      </c>
      <c r="J119">
        <v>0.3</v>
      </c>
      <c r="K119" t="b">
        <v>0</v>
      </c>
    </row>
    <row r="120" spans="1:11" x14ac:dyDescent="0.2">
      <c r="A120">
        <v>219</v>
      </c>
      <c r="B120" t="s">
        <v>763</v>
      </c>
      <c r="C120" s="1">
        <v>42982</v>
      </c>
      <c r="D120" s="1">
        <v>42986</v>
      </c>
      <c r="E120">
        <v>4</v>
      </c>
      <c r="F120" t="s">
        <v>405</v>
      </c>
      <c r="G120" t="s">
        <v>764</v>
      </c>
      <c r="H120">
        <v>4</v>
      </c>
      <c r="I120">
        <v>0</v>
      </c>
      <c r="J120">
        <v>0</v>
      </c>
      <c r="K120" t="b">
        <v>0</v>
      </c>
    </row>
    <row r="121" spans="1:11" x14ac:dyDescent="0.2">
      <c r="A121">
        <v>220</v>
      </c>
      <c r="B121" t="s">
        <v>765</v>
      </c>
      <c r="C121" s="1">
        <v>42337</v>
      </c>
      <c r="D121" s="1">
        <v>42338</v>
      </c>
      <c r="E121">
        <v>4</v>
      </c>
      <c r="F121" t="s">
        <v>561</v>
      </c>
      <c r="G121" t="s">
        <v>766</v>
      </c>
      <c r="H121">
        <v>3</v>
      </c>
      <c r="I121">
        <v>1</v>
      </c>
      <c r="J121">
        <v>0.2</v>
      </c>
      <c r="K121" t="b">
        <v>1</v>
      </c>
    </row>
    <row r="122" spans="1:11" x14ac:dyDescent="0.2">
      <c r="A122">
        <v>221</v>
      </c>
      <c r="B122" t="s">
        <v>765</v>
      </c>
      <c r="C122" s="1">
        <v>42337</v>
      </c>
      <c r="D122" s="1">
        <v>42338</v>
      </c>
      <c r="E122">
        <v>4</v>
      </c>
      <c r="F122" t="s">
        <v>561</v>
      </c>
      <c r="G122" t="s">
        <v>767</v>
      </c>
      <c r="H122">
        <v>4</v>
      </c>
      <c r="I122">
        <v>1</v>
      </c>
      <c r="J122">
        <v>0.8</v>
      </c>
      <c r="K122" t="b">
        <v>0</v>
      </c>
    </row>
    <row r="123" spans="1:11" x14ac:dyDescent="0.2">
      <c r="A123">
        <v>222</v>
      </c>
      <c r="B123" t="s">
        <v>768</v>
      </c>
      <c r="C123" s="1">
        <v>43065</v>
      </c>
      <c r="D123" s="1">
        <v>43069</v>
      </c>
      <c r="E123">
        <v>4</v>
      </c>
      <c r="F123" t="s">
        <v>474</v>
      </c>
      <c r="G123" t="s">
        <v>769</v>
      </c>
      <c r="H123">
        <v>3</v>
      </c>
      <c r="I123">
        <v>0</v>
      </c>
      <c r="J123">
        <v>0</v>
      </c>
      <c r="K123" t="b">
        <v>0</v>
      </c>
    </row>
    <row r="124" spans="1:11" x14ac:dyDescent="0.2">
      <c r="A124">
        <v>223</v>
      </c>
      <c r="B124" t="s">
        <v>770</v>
      </c>
      <c r="C124" s="1">
        <v>42513</v>
      </c>
      <c r="D124" s="1">
        <v>42517</v>
      </c>
      <c r="E124">
        <v>4</v>
      </c>
      <c r="F124" t="s">
        <v>520</v>
      </c>
      <c r="G124" t="s">
        <v>771</v>
      </c>
      <c r="H124">
        <v>1</v>
      </c>
      <c r="I124">
        <v>0</v>
      </c>
      <c r="J124">
        <v>0</v>
      </c>
      <c r="K124" t="b">
        <v>0</v>
      </c>
    </row>
    <row r="125" spans="1:11" hidden="1" x14ac:dyDescent="0.2">
      <c r="A125">
        <v>224</v>
      </c>
      <c r="B125" t="s">
        <v>772</v>
      </c>
      <c r="C125" s="1">
        <v>43058</v>
      </c>
      <c r="D125" s="1">
        <v>43060</v>
      </c>
      <c r="E125">
        <v>3</v>
      </c>
      <c r="F125" t="s">
        <v>406</v>
      </c>
      <c r="G125" t="s">
        <v>773</v>
      </c>
      <c r="H125">
        <v>4</v>
      </c>
      <c r="I125">
        <v>1</v>
      </c>
      <c r="J125">
        <v>0.2</v>
      </c>
      <c r="K125" t="b">
        <v>0</v>
      </c>
    </row>
    <row r="126" spans="1:11" hidden="1" x14ac:dyDescent="0.2">
      <c r="A126">
        <v>225</v>
      </c>
      <c r="B126" t="s">
        <v>772</v>
      </c>
      <c r="C126" s="1">
        <v>43058</v>
      </c>
      <c r="D126" s="1">
        <v>43060</v>
      </c>
      <c r="E126">
        <v>3</v>
      </c>
      <c r="F126" t="s">
        <v>406</v>
      </c>
      <c r="G126" t="s">
        <v>774</v>
      </c>
      <c r="H126">
        <v>1</v>
      </c>
      <c r="I126">
        <v>1</v>
      </c>
      <c r="J126">
        <v>0.2</v>
      </c>
      <c r="K126" t="b">
        <v>1</v>
      </c>
    </row>
    <row r="127" spans="1:11" hidden="1" x14ac:dyDescent="0.2">
      <c r="A127">
        <v>226</v>
      </c>
      <c r="B127" t="s">
        <v>772</v>
      </c>
      <c r="C127" s="1">
        <v>43058</v>
      </c>
      <c r="D127" s="1">
        <v>43060</v>
      </c>
      <c r="E127">
        <v>3</v>
      </c>
      <c r="F127" t="s">
        <v>406</v>
      </c>
      <c r="G127" t="s">
        <v>775</v>
      </c>
      <c r="H127">
        <v>4</v>
      </c>
      <c r="I127">
        <v>1</v>
      </c>
      <c r="J127">
        <v>0.2</v>
      </c>
      <c r="K127" t="b">
        <v>0</v>
      </c>
    </row>
    <row r="128" spans="1:11" hidden="1" x14ac:dyDescent="0.2">
      <c r="A128">
        <v>227</v>
      </c>
      <c r="B128" t="s">
        <v>772</v>
      </c>
      <c r="C128" s="1">
        <v>43058</v>
      </c>
      <c r="D128" s="1">
        <v>43060</v>
      </c>
      <c r="E128">
        <v>3</v>
      </c>
      <c r="F128" t="s">
        <v>406</v>
      </c>
      <c r="G128" t="s">
        <v>776</v>
      </c>
      <c r="H128">
        <v>2</v>
      </c>
      <c r="I128">
        <v>1</v>
      </c>
      <c r="J128">
        <v>0.6</v>
      </c>
      <c r="K128" t="b">
        <v>0</v>
      </c>
    </row>
    <row r="129" spans="1:11" hidden="1" x14ac:dyDescent="0.2">
      <c r="A129">
        <v>228</v>
      </c>
      <c r="B129" t="s">
        <v>777</v>
      </c>
      <c r="C129" s="1">
        <v>42907</v>
      </c>
      <c r="D129" s="1">
        <v>42911</v>
      </c>
      <c r="E129">
        <v>3</v>
      </c>
      <c r="F129" t="s">
        <v>549</v>
      </c>
      <c r="G129" t="s">
        <v>778</v>
      </c>
      <c r="H129">
        <v>5</v>
      </c>
      <c r="I129">
        <v>1</v>
      </c>
      <c r="J129">
        <v>0.2</v>
      </c>
      <c r="K129" t="b">
        <v>0</v>
      </c>
    </row>
    <row r="130" spans="1:11" hidden="1" x14ac:dyDescent="0.2">
      <c r="A130">
        <v>229</v>
      </c>
      <c r="B130" t="s">
        <v>777</v>
      </c>
      <c r="C130" s="1">
        <v>42907</v>
      </c>
      <c r="D130" s="1">
        <v>42911</v>
      </c>
      <c r="E130">
        <v>3</v>
      </c>
      <c r="F130" t="s">
        <v>549</v>
      </c>
      <c r="G130" t="s">
        <v>779</v>
      </c>
      <c r="H130">
        <v>6</v>
      </c>
      <c r="I130">
        <v>1</v>
      </c>
      <c r="J130">
        <v>0.7</v>
      </c>
      <c r="K130" t="b">
        <v>0</v>
      </c>
    </row>
    <row r="131" spans="1:11" x14ac:dyDescent="0.2">
      <c r="A131">
        <v>230</v>
      </c>
      <c r="B131" t="s">
        <v>780</v>
      </c>
      <c r="C131" s="1">
        <v>43079</v>
      </c>
      <c r="D131" s="1">
        <v>43081</v>
      </c>
      <c r="E131">
        <v>4</v>
      </c>
      <c r="F131" t="s">
        <v>561</v>
      </c>
      <c r="G131" t="s">
        <v>781</v>
      </c>
      <c r="H131">
        <v>2</v>
      </c>
      <c r="I131">
        <v>1</v>
      </c>
      <c r="J131">
        <v>0.2</v>
      </c>
      <c r="K131" t="b">
        <v>0</v>
      </c>
    </row>
    <row r="132" spans="1:11" x14ac:dyDescent="0.2">
      <c r="A132">
        <v>231</v>
      </c>
      <c r="B132" t="s">
        <v>780</v>
      </c>
      <c r="C132" s="1">
        <v>43079</v>
      </c>
      <c r="D132" s="1">
        <v>43081</v>
      </c>
      <c r="E132">
        <v>4</v>
      </c>
      <c r="F132" t="s">
        <v>561</v>
      </c>
      <c r="G132" t="s">
        <v>683</v>
      </c>
      <c r="H132">
        <v>2</v>
      </c>
      <c r="I132">
        <v>1</v>
      </c>
      <c r="J132">
        <v>0.2</v>
      </c>
      <c r="K132" t="b">
        <v>1</v>
      </c>
    </row>
    <row r="133" spans="1:11" hidden="1" x14ac:dyDescent="0.2">
      <c r="A133">
        <v>232</v>
      </c>
      <c r="B133" t="s">
        <v>782</v>
      </c>
      <c r="C133" s="1">
        <v>42547</v>
      </c>
      <c r="D133" s="1">
        <v>42550</v>
      </c>
      <c r="E133">
        <v>3</v>
      </c>
      <c r="F133" t="s">
        <v>411</v>
      </c>
      <c r="G133" t="s">
        <v>783</v>
      </c>
      <c r="H133">
        <v>2</v>
      </c>
      <c r="I133">
        <v>1</v>
      </c>
      <c r="J133">
        <v>0.2</v>
      </c>
      <c r="K133" t="b">
        <v>0</v>
      </c>
    </row>
    <row r="134" spans="1:11" x14ac:dyDescent="0.2">
      <c r="A134">
        <v>233</v>
      </c>
      <c r="B134" t="s">
        <v>784</v>
      </c>
      <c r="C134" s="1">
        <v>42365</v>
      </c>
      <c r="D134" s="1">
        <v>42369</v>
      </c>
      <c r="E134">
        <v>4</v>
      </c>
      <c r="F134" t="s">
        <v>466</v>
      </c>
      <c r="G134" t="s">
        <v>785</v>
      </c>
      <c r="H134">
        <v>2</v>
      </c>
      <c r="I134">
        <v>0</v>
      </c>
      <c r="J134">
        <v>0</v>
      </c>
      <c r="K134" t="b">
        <v>0</v>
      </c>
    </row>
    <row r="135" spans="1:11" x14ac:dyDescent="0.2">
      <c r="A135">
        <v>234</v>
      </c>
      <c r="B135" t="s">
        <v>784</v>
      </c>
      <c r="C135" s="1">
        <v>42365</v>
      </c>
      <c r="D135" s="1">
        <v>42369</v>
      </c>
      <c r="E135">
        <v>4</v>
      </c>
      <c r="F135" t="s">
        <v>466</v>
      </c>
      <c r="G135" t="s">
        <v>786</v>
      </c>
      <c r="H135">
        <v>7</v>
      </c>
      <c r="I135">
        <v>0</v>
      </c>
      <c r="J135">
        <v>0</v>
      </c>
      <c r="K135" t="b">
        <v>0</v>
      </c>
    </row>
    <row r="136" spans="1:11" hidden="1" x14ac:dyDescent="0.2">
      <c r="A136">
        <v>235</v>
      </c>
      <c r="B136" t="s">
        <v>787</v>
      </c>
      <c r="C136" s="1">
        <v>42945</v>
      </c>
      <c r="D136" s="1">
        <v>42948</v>
      </c>
      <c r="E136">
        <v>3</v>
      </c>
      <c r="F136" t="s">
        <v>458</v>
      </c>
      <c r="G136" t="s">
        <v>788</v>
      </c>
      <c r="H136">
        <v>2</v>
      </c>
      <c r="I136">
        <v>1</v>
      </c>
      <c r="J136">
        <v>0.2</v>
      </c>
      <c r="K136" t="b">
        <v>0</v>
      </c>
    </row>
    <row r="137" spans="1:11" hidden="1" x14ac:dyDescent="0.2">
      <c r="A137">
        <v>236</v>
      </c>
      <c r="B137" t="s">
        <v>787</v>
      </c>
      <c r="C137" s="1">
        <v>42945</v>
      </c>
      <c r="D137" s="1">
        <v>42948</v>
      </c>
      <c r="E137">
        <v>3</v>
      </c>
      <c r="F137" t="s">
        <v>458</v>
      </c>
      <c r="G137" t="s">
        <v>789</v>
      </c>
      <c r="H137">
        <v>5</v>
      </c>
      <c r="I137">
        <v>1</v>
      </c>
      <c r="J137">
        <v>0.2</v>
      </c>
      <c r="K137" t="b">
        <v>0</v>
      </c>
    </row>
    <row r="138" spans="1:11" hidden="1" x14ac:dyDescent="0.2">
      <c r="A138">
        <v>237</v>
      </c>
      <c r="B138" t="s">
        <v>787</v>
      </c>
      <c r="C138" s="1">
        <v>42945</v>
      </c>
      <c r="D138" s="1">
        <v>42948</v>
      </c>
      <c r="E138">
        <v>3</v>
      </c>
      <c r="F138" t="s">
        <v>458</v>
      </c>
      <c r="G138" t="s">
        <v>790</v>
      </c>
      <c r="H138">
        <v>3</v>
      </c>
      <c r="I138">
        <v>1</v>
      </c>
      <c r="J138">
        <v>0.2</v>
      </c>
      <c r="K138" t="b">
        <v>0</v>
      </c>
    </row>
    <row r="139" spans="1:11" x14ac:dyDescent="0.2">
      <c r="A139">
        <v>238</v>
      </c>
      <c r="B139" t="s">
        <v>791</v>
      </c>
      <c r="C139" s="1">
        <v>42252</v>
      </c>
      <c r="D139" s="1">
        <v>42256</v>
      </c>
      <c r="E139">
        <v>4</v>
      </c>
      <c r="F139" t="s">
        <v>466</v>
      </c>
      <c r="G139" t="s">
        <v>792</v>
      </c>
      <c r="H139">
        <v>4</v>
      </c>
      <c r="I139">
        <v>1</v>
      </c>
      <c r="J139">
        <v>0.15</v>
      </c>
      <c r="K139" t="b">
        <v>0</v>
      </c>
    </row>
    <row r="140" spans="1:11" x14ac:dyDescent="0.2">
      <c r="A140">
        <v>239</v>
      </c>
      <c r="B140" t="s">
        <v>791</v>
      </c>
      <c r="C140" s="1">
        <v>42252</v>
      </c>
      <c r="D140" s="1">
        <v>42256</v>
      </c>
      <c r="E140">
        <v>4</v>
      </c>
      <c r="F140" t="s">
        <v>466</v>
      </c>
      <c r="G140" t="s">
        <v>793</v>
      </c>
      <c r="H140">
        <v>6</v>
      </c>
      <c r="I140">
        <v>1</v>
      </c>
      <c r="J140">
        <v>0.2</v>
      </c>
      <c r="K140" t="b">
        <v>0</v>
      </c>
    </row>
    <row r="141" spans="1:11" x14ac:dyDescent="0.2">
      <c r="A141">
        <v>240</v>
      </c>
      <c r="B141" t="s">
        <v>791</v>
      </c>
      <c r="C141" s="1">
        <v>42252</v>
      </c>
      <c r="D141" s="1">
        <v>42256</v>
      </c>
      <c r="E141">
        <v>4</v>
      </c>
      <c r="F141" t="s">
        <v>466</v>
      </c>
      <c r="G141" t="s">
        <v>794</v>
      </c>
      <c r="H141">
        <v>3</v>
      </c>
      <c r="I141">
        <v>1</v>
      </c>
      <c r="J141">
        <v>0.15</v>
      </c>
      <c r="K141" t="b">
        <v>0</v>
      </c>
    </row>
    <row r="142" spans="1:11" hidden="1" x14ac:dyDescent="0.2">
      <c r="A142">
        <v>241</v>
      </c>
      <c r="B142" t="s">
        <v>795</v>
      </c>
      <c r="C142" s="1">
        <v>42687</v>
      </c>
      <c r="D142" s="1">
        <v>42693</v>
      </c>
      <c r="E142">
        <v>2</v>
      </c>
      <c r="F142" t="s">
        <v>545</v>
      </c>
      <c r="G142" t="s">
        <v>796</v>
      </c>
      <c r="H142">
        <v>1</v>
      </c>
      <c r="I142">
        <v>0</v>
      </c>
      <c r="J142">
        <v>0</v>
      </c>
      <c r="K142" t="b">
        <v>0</v>
      </c>
    </row>
    <row r="143" spans="1:11" x14ac:dyDescent="0.2">
      <c r="A143">
        <v>242</v>
      </c>
      <c r="B143" t="s">
        <v>797</v>
      </c>
      <c r="C143" s="1">
        <v>42948</v>
      </c>
      <c r="D143" s="1">
        <v>42954</v>
      </c>
      <c r="E143">
        <v>4</v>
      </c>
      <c r="F143" t="s">
        <v>537</v>
      </c>
      <c r="G143" t="s">
        <v>798</v>
      </c>
      <c r="H143">
        <v>3</v>
      </c>
      <c r="I143">
        <v>1</v>
      </c>
      <c r="J143">
        <v>0.4</v>
      </c>
      <c r="K143" t="b">
        <v>0</v>
      </c>
    </row>
    <row r="144" spans="1:11" x14ac:dyDescent="0.2">
      <c r="A144">
        <v>243</v>
      </c>
      <c r="B144" t="s">
        <v>797</v>
      </c>
      <c r="C144" s="1">
        <v>42948</v>
      </c>
      <c r="D144" s="1">
        <v>42954</v>
      </c>
      <c r="E144">
        <v>4</v>
      </c>
      <c r="F144" t="s">
        <v>537</v>
      </c>
      <c r="G144" t="s">
        <v>799</v>
      </c>
      <c r="H144">
        <v>7</v>
      </c>
      <c r="I144">
        <v>1</v>
      </c>
      <c r="J144">
        <v>0.2</v>
      </c>
      <c r="K144" t="b">
        <v>0</v>
      </c>
    </row>
    <row r="145" spans="1:11" hidden="1" x14ac:dyDescent="0.2">
      <c r="A145">
        <v>244</v>
      </c>
      <c r="B145" t="s">
        <v>800</v>
      </c>
      <c r="C145" s="1">
        <v>42867</v>
      </c>
      <c r="D145" s="1">
        <v>42870</v>
      </c>
      <c r="E145">
        <v>3</v>
      </c>
      <c r="F145" t="s">
        <v>421</v>
      </c>
      <c r="G145" t="s">
        <v>801</v>
      </c>
      <c r="H145">
        <v>5</v>
      </c>
      <c r="I145">
        <v>1</v>
      </c>
      <c r="J145">
        <v>0.2</v>
      </c>
      <c r="K145" t="b">
        <v>0</v>
      </c>
    </row>
    <row r="146" spans="1:11" hidden="1" x14ac:dyDescent="0.2">
      <c r="A146">
        <v>245</v>
      </c>
      <c r="B146" t="s">
        <v>800</v>
      </c>
      <c r="C146" s="1">
        <v>42867</v>
      </c>
      <c r="D146" s="1">
        <v>42870</v>
      </c>
      <c r="E146">
        <v>3</v>
      </c>
      <c r="F146" t="s">
        <v>421</v>
      </c>
      <c r="G146" t="s">
        <v>802</v>
      </c>
      <c r="H146">
        <v>4</v>
      </c>
      <c r="I146">
        <v>1</v>
      </c>
      <c r="J146">
        <v>0.8</v>
      </c>
      <c r="K146" t="b">
        <v>0</v>
      </c>
    </row>
    <row r="147" spans="1:11" hidden="1" x14ac:dyDescent="0.2">
      <c r="A147">
        <v>246</v>
      </c>
      <c r="B147" t="s">
        <v>803</v>
      </c>
      <c r="C147" s="1">
        <v>42840</v>
      </c>
      <c r="D147" s="1">
        <v>42843</v>
      </c>
      <c r="E147">
        <v>2</v>
      </c>
      <c r="F147" t="s">
        <v>475</v>
      </c>
      <c r="G147" t="s">
        <v>804</v>
      </c>
      <c r="H147">
        <v>5</v>
      </c>
      <c r="I147">
        <v>0</v>
      </c>
      <c r="J147">
        <v>0</v>
      </c>
      <c r="K147" t="b">
        <v>0</v>
      </c>
    </row>
    <row r="148" spans="1:11" x14ac:dyDescent="0.2">
      <c r="A148">
        <v>247</v>
      </c>
      <c r="B148" t="s">
        <v>805</v>
      </c>
      <c r="C148" s="1">
        <v>43071</v>
      </c>
      <c r="D148" s="1">
        <v>43074</v>
      </c>
      <c r="E148">
        <v>4</v>
      </c>
      <c r="F148" t="s">
        <v>539</v>
      </c>
      <c r="G148" t="s">
        <v>806</v>
      </c>
      <c r="H148">
        <v>3</v>
      </c>
      <c r="I148">
        <v>0</v>
      </c>
      <c r="J148">
        <v>0</v>
      </c>
      <c r="K148" t="b">
        <v>0</v>
      </c>
    </row>
    <row r="149" spans="1:11" hidden="1" x14ac:dyDescent="0.2">
      <c r="A149">
        <v>248</v>
      </c>
      <c r="B149" t="s">
        <v>807</v>
      </c>
      <c r="C149" s="1">
        <v>43011</v>
      </c>
      <c r="D149" s="1">
        <v>43014</v>
      </c>
      <c r="E149">
        <v>2</v>
      </c>
      <c r="F149" t="s">
        <v>423</v>
      </c>
      <c r="G149" t="s">
        <v>808</v>
      </c>
      <c r="H149">
        <v>2</v>
      </c>
      <c r="I149">
        <v>0</v>
      </c>
      <c r="J149">
        <v>0</v>
      </c>
      <c r="K149" t="b">
        <v>0</v>
      </c>
    </row>
    <row r="150" spans="1:11" x14ac:dyDescent="0.2">
      <c r="A150">
        <v>249</v>
      </c>
      <c r="B150" t="s">
        <v>809</v>
      </c>
      <c r="C150" s="1">
        <v>42855</v>
      </c>
      <c r="D150" s="1">
        <v>42860</v>
      </c>
      <c r="E150">
        <v>4</v>
      </c>
      <c r="F150" t="s">
        <v>554</v>
      </c>
      <c r="G150" t="s">
        <v>810</v>
      </c>
      <c r="H150">
        <v>2</v>
      </c>
      <c r="I150">
        <v>1</v>
      </c>
      <c r="J150">
        <v>0.2</v>
      </c>
      <c r="K150" t="b">
        <v>0</v>
      </c>
    </row>
    <row r="151" spans="1:11" x14ac:dyDescent="0.2">
      <c r="A151">
        <v>250</v>
      </c>
      <c r="B151" t="s">
        <v>809</v>
      </c>
      <c r="C151" s="1">
        <v>42855</v>
      </c>
      <c r="D151" s="1">
        <v>42860</v>
      </c>
      <c r="E151">
        <v>4</v>
      </c>
      <c r="F151" t="s">
        <v>554</v>
      </c>
      <c r="G151" t="s">
        <v>811</v>
      </c>
      <c r="H151">
        <v>3</v>
      </c>
      <c r="I151">
        <v>1</v>
      </c>
      <c r="J151">
        <v>0.2</v>
      </c>
      <c r="K151" t="b">
        <v>0</v>
      </c>
    </row>
    <row r="152" spans="1:11" x14ac:dyDescent="0.2">
      <c r="A152">
        <v>251</v>
      </c>
      <c r="B152" t="s">
        <v>809</v>
      </c>
      <c r="C152" s="1">
        <v>42855</v>
      </c>
      <c r="D152" s="1">
        <v>42860</v>
      </c>
      <c r="E152">
        <v>4</v>
      </c>
      <c r="F152" t="s">
        <v>554</v>
      </c>
      <c r="G152" t="s">
        <v>705</v>
      </c>
      <c r="H152">
        <v>3</v>
      </c>
      <c r="I152">
        <v>1</v>
      </c>
      <c r="J152">
        <v>0.2</v>
      </c>
      <c r="K152" t="b">
        <v>0</v>
      </c>
    </row>
    <row r="153" spans="1:11" x14ac:dyDescent="0.2">
      <c r="A153">
        <v>252</v>
      </c>
      <c r="B153" t="s">
        <v>812</v>
      </c>
      <c r="C153" s="1">
        <v>42980</v>
      </c>
      <c r="D153" s="1">
        <v>42984</v>
      </c>
      <c r="E153">
        <v>4</v>
      </c>
      <c r="F153" t="s">
        <v>427</v>
      </c>
      <c r="G153" t="s">
        <v>627</v>
      </c>
      <c r="H153">
        <v>2</v>
      </c>
      <c r="I153">
        <v>0</v>
      </c>
      <c r="J153">
        <v>0</v>
      </c>
      <c r="K153" t="b">
        <v>0</v>
      </c>
    </row>
    <row r="154" spans="1:11" x14ac:dyDescent="0.2">
      <c r="A154">
        <v>253</v>
      </c>
      <c r="B154" t="s">
        <v>812</v>
      </c>
      <c r="C154" s="1">
        <v>42980</v>
      </c>
      <c r="D154" s="1">
        <v>42984</v>
      </c>
      <c r="E154">
        <v>4</v>
      </c>
      <c r="F154" t="s">
        <v>427</v>
      </c>
      <c r="G154" t="s">
        <v>813</v>
      </c>
      <c r="H154">
        <v>2</v>
      </c>
      <c r="I154">
        <v>0</v>
      </c>
      <c r="J154">
        <v>0</v>
      </c>
      <c r="K154" t="b">
        <v>0</v>
      </c>
    </row>
    <row r="155" spans="1:11" x14ac:dyDescent="0.2">
      <c r="A155">
        <v>254</v>
      </c>
      <c r="B155" t="s">
        <v>812</v>
      </c>
      <c r="C155" s="1">
        <v>42980</v>
      </c>
      <c r="D155" s="1">
        <v>42984</v>
      </c>
      <c r="E155">
        <v>4</v>
      </c>
      <c r="F155" t="s">
        <v>427</v>
      </c>
      <c r="G155" t="s">
        <v>814</v>
      </c>
      <c r="H155">
        <v>1</v>
      </c>
      <c r="I155">
        <v>1</v>
      </c>
      <c r="J155">
        <v>0.4</v>
      </c>
      <c r="K155" t="b">
        <v>0</v>
      </c>
    </row>
    <row r="156" spans="1:11" x14ac:dyDescent="0.2">
      <c r="A156">
        <v>255</v>
      </c>
      <c r="B156" t="s">
        <v>812</v>
      </c>
      <c r="C156" s="1">
        <v>42980</v>
      </c>
      <c r="D156" s="1">
        <v>42984</v>
      </c>
      <c r="E156">
        <v>4</v>
      </c>
      <c r="F156" t="s">
        <v>427</v>
      </c>
      <c r="G156" t="s">
        <v>815</v>
      </c>
      <c r="H156">
        <v>1</v>
      </c>
      <c r="I156">
        <v>0</v>
      </c>
      <c r="J156">
        <v>0</v>
      </c>
      <c r="K156" t="b">
        <v>0</v>
      </c>
    </row>
    <row r="157" spans="1:11" x14ac:dyDescent="0.2">
      <c r="A157">
        <v>256</v>
      </c>
      <c r="B157" t="s">
        <v>812</v>
      </c>
      <c r="C157" s="1">
        <v>42980</v>
      </c>
      <c r="D157" s="1">
        <v>42984</v>
      </c>
      <c r="E157">
        <v>4</v>
      </c>
      <c r="F157" t="s">
        <v>427</v>
      </c>
      <c r="G157" t="s">
        <v>816</v>
      </c>
      <c r="H157">
        <v>8</v>
      </c>
      <c r="I157">
        <v>1</v>
      </c>
      <c r="J157">
        <v>0.2</v>
      </c>
      <c r="K157" t="b">
        <v>0</v>
      </c>
    </row>
    <row r="158" spans="1:11" x14ac:dyDescent="0.2">
      <c r="A158">
        <v>257</v>
      </c>
      <c r="B158" t="s">
        <v>812</v>
      </c>
      <c r="C158" s="1">
        <v>42980</v>
      </c>
      <c r="D158" s="1">
        <v>42984</v>
      </c>
      <c r="E158">
        <v>4</v>
      </c>
      <c r="F158" t="s">
        <v>427</v>
      </c>
      <c r="G158" t="s">
        <v>817</v>
      </c>
      <c r="H158">
        <v>3</v>
      </c>
      <c r="I158">
        <v>0</v>
      </c>
      <c r="J158">
        <v>0</v>
      </c>
      <c r="K158" t="b">
        <v>0</v>
      </c>
    </row>
    <row r="159" spans="1:11" x14ac:dyDescent="0.2">
      <c r="A159">
        <v>258</v>
      </c>
      <c r="B159" t="s">
        <v>812</v>
      </c>
      <c r="C159" s="1">
        <v>42980</v>
      </c>
      <c r="D159" s="1">
        <v>42984</v>
      </c>
      <c r="E159">
        <v>4</v>
      </c>
      <c r="F159" t="s">
        <v>427</v>
      </c>
      <c r="G159" t="s">
        <v>818</v>
      </c>
      <c r="H159">
        <v>6</v>
      </c>
      <c r="I159">
        <v>0</v>
      </c>
      <c r="J159">
        <v>0</v>
      </c>
      <c r="K159" t="b">
        <v>0</v>
      </c>
    </row>
    <row r="160" spans="1:11" x14ac:dyDescent="0.2">
      <c r="A160">
        <v>259</v>
      </c>
      <c r="B160" t="s">
        <v>812</v>
      </c>
      <c r="C160" s="1">
        <v>42980</v>
      </c>
      <c r="D160" s="1">
        <v>42984</v>
      </c>
      <c r="E160">
        <v>4</v>
      </c>
      <c r="F160" t="s">
        <v>427</v>
      </c>
      <c r="G160" t="s">
        <v>819</v>
      </c>
      <c r="H160">
        <v>5</v>
      </c>
      <c r="I160">
        <v>1</v>
      </c>
      <c r="J160">
        <v>0.1</v>
      </c>
      <c r="K160" t="b">
        <v>0</v>
      </c>
    </row>
    <row r="161" spans="1:11" x14ac:dyDescent="0.2">
      <c r="A161">
        <v>260</v>
      </c>
      <c r="B161" t="s">
        <v>812</v>
      </c>
      <c r="C161" s="1">
        <v>42980</v>
      </c>
      <c r="D161" s="1">
        <v>42984</v>
      </c>
      <c r="E161">
        <v>4</v>
      </c>
      <c r="F161" t="s">
        <v>427</v>
      </c>
      <c r="G161" t="s">
        <v>820</v>
      </c>
      <c r="H161">
        <v>3</v>
      </c>
      <c r="I161">
        <v>0</v>
      </c>
      <c r="J161">
        <v>0</v>
      </c>
      <c r="K161" t="b">
        <v>0</v>
      </c>
    </row>
    <row r="162" spans="1:11" x14ac:dyDescent="0.2">
      <c r="A162">
        <v>261</v>
      </c>
      <c r="B162" t="s">
        <v>812</v>
      </c>
      <c r="C162" s="1">
        <v>42980</v>
      </c>
      <c r="D162" s="1">
        <v>42984</v>
      </c>
      <c r="E162">
        <v>4</v>
      </c>
      <c r="F162" t="s">
        <v>427</v>
      </c>
      <c r="G162" t="s">
        <v>821</v>
      </c>
      <c r="H162">
        <v>2</v>
      </c>
      <c r="I162">
        <v>0</v>
      </c>
      <c r="J162">
        <v>0</v>
      </c>
      <c r="K162" t="b">
        <v>1</v>
      </c>
    </row>
    <row r="163" spans="1:11" x14ac:dyDescent="0.2">
      <c r="A163">
        <v>262</v>
      </c>
      <c r="B163" t="s">
        <v>812</v>
      </c>
      <c r="C163" s="1">
        <v>42980</v>
      </c>
      <c r="D163" s="1">
        <v>42984</v>
      </c>
      <c r="E163">
        <v>4</v>
      </c>
      <c r="F163" t="s">
        <v>427</v>
      </c>
      <c r="G163" t="s">
        <v>822</v>
      </c>
      <c r="H163">
        <v>3</v>
      </c>
      <c r="I163">
        <v>0</v>
      </c>
      <c r="J163">
        <v>0</v>
      </c>
      <c r="K163" t="b">
        <v>0</v>
      </c>
    </row>
    <row r="164" spans="1:11" x14ac:dyDescent="0.2">
      <c r="A164">
        <v>263</v>
      </c>
      <c r="B164" t="s">
        <v>812</v>
      </c>
      <c r="C164" s="1">
        <v>42980</v>
      </c>
      <c r="D164" s="1">
        <v>42984</v>
      </c>
      <c r="E164">
        <v>4</v>
      </c>
      <c r="F164" t="s">
        <v>427</v>
      </c>
      <c r="G164" t="s">
        <v>823</v>
      </c>
      <c r="H164">
        <v>4</v>
      </c>
      <c r="I164">
        <v>0</v>
      </c>
      <c r="J164">
        <v>0</v>
      </c>
      <c r="K164" t="b">
        <v>0</v>
      </c>
    </row>
    <row r="165" spans="1:11" hidden="1" x14ac:dyDescent="0.2">
      <c r="A165">
        <v>264</v>
      </c>
      <c r="B165" t="s">
        <v>824</v>
      </c>
      <c r="C165" s="1">
        <v>41930</v>
      </c>
      <c r="D165" s="1">
        <v>41932</v>
      </c>
      <c r="E165">
        <v>3</v>
      </c>
      <c r="F165" t="s">
        <v>546</v>
      </c>
      <c r="G165" t="s">
        <v>825</v>
      </c>
      <c r="H165">
        <v>3</v>
      </c>
      <c r="I165">
        <v>0</v>
      </c>
      <c r="J165">
        <v>0</v>
      </c>
      <c r="K165" t="b">
        <v>0</v>
      </c>
    </row>
    <row r="166" spans="1:11" hidden="1" x14ac:dyDescent="0.2">
      <c r="A166">
        <v>265</v>
      </c>
      <c r="B166" t="s">
        <v>824</v>
      </c>
      <c r="C166" s="1">
        <v>41930</v>
      </c>
      <c r="D166" s="1">
        <v>41932</v>
      </c>
      <c r="E166">
        <v>3</v>
      </c>
      <c r="F166" t="s">
        <v>546</v>
      </c>
      <c r="G166" t="s">
        <v>826</v>
      </c>
      <c r="H166">
        <v>5</v>
      </c>
      <c r="I166">
        <v>0</v>
      </c>
      <c r="J166">
        <v>0</v>
      </c>
      <c r="K166" t="b">
        <v>0</v>
      </c>
    </row>
    <row r="167" spans="1:11" hidden="1" x14ac:dyDescent="0.2">
      <c r="A167">
        <v>266</v>
      </c>
      <c r="B167" t="s">
        <v>824</v>
      </c>
      <c r="C167" s="1">
        <v>41930</v>
      </c>
      <c r="D167" s="1">
        <v>41932</v>
      </c>
      <c r="E167">
        <v>3</v>
      </c>
      <c r="F167" t="s">
        <v>546</v>
      </c>
      <c r="G167" t="s">
        <v>827</v>
      </c>
      <c r="H167">
        <v>6</v>
      </c>
      <c r="I167">
        <v>0</v>
      </c>
      <c r="J167">
        <v>0</v>
      </c>
      <c r="K167" t="b">
        <v>0</v>
      </c>
    </row>
    <row r="168" spans="1:11" x14ac:dyDescent="0.2">
      <c r="A168">
        <v>267</v>
      </c>
      <c r="B168" t="s">
        <v>828</v>
      </c>
      <c r="C168" s="1">
        <v>42132</v>
      </c>
      <c r="D168" s="1">
        <v>42136</v>
      </c>
      <c r="E168">
        <v>4</v>
      </c>
      <c r="F168" t="s">
        <v>39</v>
      </c>
      <c r="G168" t="s">
        <v>829</v>
      </c>
      <c r="H168">
        <v>2</v>
      </c>
      <c r="I168">
        <v>1</v>
      </c>
      <c r="J168">
        <v>0.2</v>
      </c>
      <c r="K168" t="b">
        <v>0</v>
      </c>
    </row>
    <row r="169" spans="1:11" x14ac:dyDescent="0.2">
      <c r="A169">
        <v>268</v>
      </c>
      <c r="B169" t="s">
        <v>830</v>
      </c>
      <c r="C169" s="1">
        <v>42317</v>
      </c>
      <c r="D169" s="1">
        <v>42321</v>
      </c>
      <c r="E169">
        <v>4</v>
      </c>
      <c r="F169" t="s">
        <v>539</v>
      </c>
      <c r="G169" t="s">
        <v>831</v>
      </c>
      <c r="H169">
        <v>3</v>
      </c>
      <c r="I169">
        <v>0</v>
      </c>
      <c r="J169">
        <v>0</v>
      </c>
      <c r="K169" t="b">
        <v>0</v>
      </c>
    </row>
    <row r="170" spans="1:11" x14ac:dyDescent="0.2">
      <c r="A170">
        <v>269</v>
      </c>
      <c r="B170" t="s">
        <v>830</v>
      </c>
      <c r="C170" s="1">
        <v>42317</v>
      </c>
      <c r="D170" s="1">
        <v>42321</v>
      </c>
      <c r="E170">
        <v>4</v>
      </c>
      <c r="F170" t="s">
        <v>539</v>
      </c>
      <c r="G170" t="s">
        <v>832</v>
      </c>
      <c r="H170">
        <v>7</v>
      </c>
      <c r="I170">
        <v>0</v>
      </c>
      <c r="J170">
        <v>0</v>
      </c>
      <c r="K170" t="b">
        <v>0</v>
      </c>
    </row>
    <row r="171" spans="1:11" x14ac:dyDescent="0.2">
      <c r="A171">
        <v>270</v>
      </c>
      <c r="B171" t="s">
        <v>830</v>
      </c>
      <c r="C171" s="1">
        <v>42317</v>
      </c>
      <c r="D171" s="1">
        <v>42321</v>
      </c>
      <c r="E171">
        <v>4</v>
      </c>
      <c r="F171" t="s">
        <v>539</v>
      </c>
      <c r="G171" t="s">
        <v>833</v>
      </c>
      <c r="H171">
        <v>3</v>
      </c>
      <c r="I171">
        <v>0</v>
      </c>
      <c r="J171">
        <v>0</v>
      </c>
      <c r="K171" t="b">
        <v>0</v>
      </c>
    </row>
    <row r="172" spans="1:11" x14ac:dyDescent="0.2">
      <c r="A172">
        <v>271</v>
      </c>
      <c r="B172" t="s">
        <v>830</v>
      </c>
      <c r="C172" s="1">
        <v>42317</v>
      </c>
      <c r="D172" s="1">
        <v>42321</v>
      </c>
      <c r="E172">
        <v>4</v>
      </c>
      <c r="F172" t="s">
        <v>539</v>
      </c>
      <c r="G172" t="s">
        <v>834</v>
      </c>
      <c r="H172">
        <v>3</v>
      </c>
      <c r="I172">
        <v>0</v>
      </c>
      <c r="J172">
        <v>0</v>
      </c>
      <c r="K172" t="b">
        <v>0</v>
      </c>
    </row>
    <row r="173" spans="1:11" x14ac:dyDescent="0.2">
      <c r="A173">
        <v>272</v>
      </c>
      <c r="B173" t="s">
        <v>835</v>
      </c>
      <c r="C173" s="1">
        <v>42631</v>
      </c>
      <c r="D173" s="1">
        <v>42636</v>
      </c>
      <c r="E173">
        <v>4</v>
      </c>
      <c r="F173" t="s">
        <v>515</v>
      </c>
      <c r="G173" t="s">
        <v>836</v>
      </c>
      <c r="H173">
        <v>1</v>
      </c>
      <c r="I173">
        <v>0</v>
      </c>
      <c r="J173">
        <v>0</v>
      </c>
      <c r="K173" t="b">
        <v>1</v>
      </c>
    </row>
    <row r="174" spans="1:11" x14ac:dyDescent="0.2">
      <c r="A174">
        <v>273</v>
      </c>
      <c r="B174" t="s">
        <v>835</v>
      </c>
      <c r="C174" s="1">
        <v>42631</v>
      </c>
      <c r="D174" s="1">
        <v>42636</v>
      </c>
      <c r="E174">
        <v>4</v>
      </c>
      <c r="F174" t="s">
        <v>515</v>
      </c>
      <c r="G174" t="s">
        <v>837</v>
      </c>
      <c r="H174">
        <v>2</v>
      </c>
      <c r="I174">
        <v>0</v>
      </c>
      <c r="J174">
        <v>0</v>
      </c>
      <c r="K174" t="b">
        <v>0</v>
      </c>
    </row>
    <row r="175" spans="1:11" x14ac:dyDescent="0.2">
      <c r="A175">
        <v>274</v>
      </c>
      <c r="B175" t="s">
        <v>835</v>
      </c>
      <c r="C175" s="1">
        <v>42631</v>
      </c>
      <c r="D175" s="1">
        <v>42636</v>
      </c>
      <c r="E175">
        <v>4</v>
      </c>
      <c r="F175" t="s">
        <v>515</v>
      </c>
      <c r="G175" t="s">
        <v>838</v>
      </c>
      <c r="H175">
        <v>4</v>
      </c>
      <c r="I175">
        <v>0</v>
      </c>
      <c r="J175">
        <v>0</v>
      </c>
      <c r="K175" t="b">
        <v>0</v>
      </c>
    </row>
    <row r="176" spans="1:11" x14ac:dyDescent="0.2">
      <c r="A176">
        <v>275</v>
      </c>
      <c r="B176" t="s">
        <v>839</v>
      </c>
      <c r="C176" s="1">
        <v>42107</v>
      </c>
      <c r="D176" s="1">
        <v>42109</v>
      </c>
      <c r="E176">
        <v>4</v>
      </c>
      <c r="F176" t="s">
        <v>561</v>
      </c>
      <c r="G176" t="s">
        <v>840</v>
      </c>
      <c r="H176">
        <v>1</v>
      </c>
      <c r="I176">
        <v>0</v>
      </c>
      <c r="J176">
        <v>0</v>
      </c>
      <c r="K176" t="b">
        <v>0</v>
      </c>
    </row>
    <row r="177" spans="1:11" hidden="1" x14ac:dyDescent="0.2">
      <c r="A177">
        <v>276</v>
      </c>
      <c r="B177" t="s">
        <v>841</v>
      </c>
      <c r="C177" s="1">
        <v>41838</v>
      </c>
      <c r="D177" s="1">
        <v>41838</v>
      </c>
      <c r="E177">
        <v>1</v>
      </c>
      <c r="F177" t="s">
        <v>480</v>
      </c>
      <c r="G177" t="s">
        <v>842</v>
      </c>
      <c r="H177">
        <v>4</v>
      </c>
      <c r="I177">
        <v>1</v>
      </c>
      <c r="J177">
        <v>0.2</v>
      </c>
      <c r="K177" t="b">
        <v>0</v>
      </c>
    </row>
    <row r="178" spans="1:11" x14ac:dyDescent="0.2">
      <c r="A178">
        <v>277</v>
      </c>
      <c r="B178" t="s">
        <v>843</v>
      </c>
      <c r="C178" s="1">
        <v>43058</v>
      </c>
      <c r="D178" s="1">
        <v>43065</v>
      </c>
      <c r="E178">
        <v>4</v>
      </c>
      <c r="F178" t="s">
        <v>440</v>
      </c>
      <c r="G178" t="s">
        <v>844</v>
      </c>
      <c r="H178">
        <v>3</v>
      </c>
      <c r="I178">
        <v>1</v>
      </c>
      <c r="J178">
        <v>0.3</v>
      </c>
      <c r="K178" t="b">
        <v>1</v>
      </c>
    </row>
    <row r="179" spans="1:11" hidden="1" x14ac:dyDescent="0.2">
      <c r="A179">
        <v>278</v>
      </c>
      <c r="B179" t="s">
        <v>845</v>
      </c>
      <c r="C179" s="1">
        <v>42330</v>
      </c>
      <c r="D179" s="1">
        <v>42334</v>
      </c>
      <c r="E179">
        <v>3</v>
      </c>
      <c r="F179" t="s">
        <v>533</v>
      </c>
      <c r="G179" t="s">
        <v>846</v>
      </c>
      <c r="H179">
        <v>3</v>
      </c>
      <c r="I179">
        <v>0</v>
      </c>
      <c r="J179">
        <v>0</v>
      </c>
      <c r="K179" t="b">
        <v>0</v>
      </c>
    </row>
    <row r="180" spans="1:11" hidden="1" x14ac:dyDescent="0.2">
      <c r="A180">
        <v>279</v>
      </c>
      <c r="B180" t="s">
        <v>847</v>
      </c>
      <c r="C180" s="1">
        <v>42546</v>
      </c>
      <c r="D180" s="1">
        <v>42550</v>
      </c>
      <c r="E180">
        <v>3</v>
      </c>
      <c r="F180" t="s">
        <v>549</v>
      </c>
      <c r="G180" t="s">
        <v>848</v>
      </c>
      <c r="H180">
        <v>3</v>
      </c>
      <c r="I180">
        <v>0</v>
      </c>
      <c r="J180">
        <v>0</v>
      </c>
      <c r="K180" t="b">
        <v>0</v>
      </c>
    </row>
    <row r="181" spans="1:11" x14ac:dyDescent="0.2">
      <c r="A181">
        <v>280</v>
      </c>
      <c r="B181" t="s">
        <v>849</v>
      </c>
      <c r="C181" s="1">
        <v>42714</v>
      </c>
      <c r="D181" s="1">
        <v>42721</v>
      </c>
      <c r="E181">
        <v>4</v>
      </c>
      <c r="F181" t="s">
        <v>525</v>
      </c>
      <c r="G181" t="s">
        <v>850</v>
      </c>
      <c r="H181">
        <v>3</v>
      </c>
      <c r="I181">
        <v>1</v>
      </c>
      <c r="J181">
        <v>0.2</v>
      </c>
      <c r="K181" t="b">
        <v>0</v>
      </c>
    </row>
    <row r="182" spans="1:11" x14ac:dyDescent="0.2">
      <c r="A182">
        <v>281</v>
      </c>
      <c r="B182" t="s">
        <v>849</v>
      </c>
      <c r="C182" s="1">
        <v>42714</v>
      </c>
      <c r="D182" s="1">
        <v>42721</v>
      </c>
      <c r="E182">
        <v>4</v>
      </c>
      <c r="F182" t="s">
        <v>525</v>
      </c>
      <c r="G182" t="s">
        <v>788</v>
      </c>
      <c r="H182">
        <v>3</v>
      </c>
      <c r="I182">
        <v>0</v>
      </c>
      <c r="J182">
        <v>0</v>
      </c>
      <c r="K182" t="b">
        <v>0</v>
      </c>
    </row>
    <row r="183" spans="1:11" x14ac:dyDescent="0.2">
      <c r="A183">
        <v>282</v>
      </c>
      <c r="B183" t="s">
        <v>849</v>
      </c>
      <c r="C183" s="1">
        <v>42714</v>
      </c>
      <c r="D183" s="1">
        <v>42721</v>
      </c>
      <c r="E183">
        <v>4</v>
      </c>
      <c r="F183" t="s">
        <v>525</v>
      </c>
      <c r="G183" t="s">
        <v>851</v>
      </c>
      <c r="H183">
        <v>4</v>
      </c>
      <c r="I183">
        <v>0</v>
      </c>
      <c r="J183">
        <v>0</v>
      </c>
      <c r="K183" t="b">
        <v>0</v>
      </c>
    </row>
    <row r="184" spans="1:11" x14ac:dyDescent="0.2">
      <c r="A184">
        <v>283</v>
      </c>
      <c r="B184" t="s">
        <v>849</v>
      </c>
      <c r="C184" s="1">
        <v>42714</v>
      </c>
      <c r="D184" s="1">
        <v>42721</v>
      </c>
      <c r="E184">
        <v>4</v>
      </c>
      <c r="F184" t="s">
        <v>525</v>
      </c>
      <c r="G184" t="s">
        <v>852</v>
      </c>
      <c r="H184">
        <v>3</v>
      </c>
      <c r="I184">
        <v>0</v>
      </c>
      <c r="J184">
        <v>0</v>
      </c>
      <c r="K184" t="b">
        <v>1</v>
      </c>
    </row>
    <row r="185" spans="1:11" x14ac:dyDescent="0.2">
      <c r="A185">
        <v>284</v>
      </c>
      <c r="B185" t="s">
        <v>849</v>
      </c>
      <c r="C185" s="1">
        <v>42714</v>
      </c>
      <c r="D185" s="1">
        <v>42721</v>
      </c>
      <c r="E185">
        <v>4</v>
      </c>
      <c r="F185" t="s">
        <v>525</v>
      </c>
      <c r="G185" t="s">
        <v>766</v>
      </c>
      <c r="H185">
        <v>5</v>
      </c>
      <c r="I185">
        <v>0</v>
      </c>
      <c r="J185">
        <v>0</v>
      </c>
      <c r="K185" t="b">
        <v>0</v>
      </c>
    </row>
    <row r="186" spans="1:11" x14ac:dyDescent="0.2">
      <c r="A186">
        <v>285</v>
      </c>
      <c r="B186" t="s">
        <v>853</v>
      </c>
      <c r="C186" s="1">
        <v>42705</v>
      </c>
      <c r="D186" s="1">
        <v>42710</v>
      </c>
      <c r="E186">
        <v>4</v>
      </c>
      <c r="F186" t="s">
        <v>451</v>
      </c>
      <c r="G186" t="s">
        <v>854</v>
      </c>
      <c r="H186">
        <v>2</v>
      </c>
      <c r="I186">
        <v>1</v>
      </c>
      <c r="J186">
        <v>0.2</v>
      </c>
      <c r="K186" t="b">
        <v>0</v>
      </c>
    </row>
    <row r="187" spans="1:11" x14ac:dyDescent="0.2">
      <c r="A187">
        <v>286</v>
      </c>
      <c r="B187" t="s">
        <v>855</v>
      </c>
      <c r="C187" s="1">
        <v>41834</v>
      </c>
      <c r="D187" s="1">
        <v>41840</v>
      </c>
      <c r="E187">
        <v>4</v>
      </c>
      <c r="F187" t="s">
        <v>562</v>
      </c>
      <c r="G187" t="s">
        <v>856</v>
      </c>
      <c r="H187">
        <v>7</v>
      </c>
      <c r="I187">
        <v>1</v>
      </c>
      <c r="J187">
        <v>0.8</v>
      </c>
      <c r="K187" t="b">
        <v>0</v>
      </c>
    </row>
    <row r="188" spans="1:11" x14ac:dyDescent="0.2">
      <c r="A188">
        <v>287</v>
      </c>
      <c r="B188" t="s">
        <v>855</v>
      </c>
      <c r="C188" s="1">
        <v>41834</v>
      </c>
      <c r="D188" s="1">
        <v>41840</v>
      </c>
      <c r="E188">
        <v>4</v>
      </c>
      <c r="F188" t="s">
        <v>562</v>
      </c>
      <c r="G188" t="s">
        <v>688</v>
      </c>
      <c r="H188">
        <v>4</v>
      </c>
      <c r="I188">
        <v>1</v>
      </c>
      <c r="J188">
        <v>0.2</v>
      </c>
      <c r="K188" t="b">
        <v>0</v>
      </c>
    </row>
    <row r="189" spans="1:11" x14ac:dyDescent="0.2">
      <c r="A189">
        <v>288</v>
      </c>
      <c r="B189" t="s">
        <v>857</v>
      </c>
      <c r="C189" s="1">
        <v>41729</v>
      </c>
      <c r="D189" s="1">
        <v>41734</v>
      </c>
      <c r="E189">
        <v>4</v>
      </c>
      <c r="F189" t="s">
        <v>14</v>
      </c>
      <c r="G189" t="s">
        <v>858</v>
      </c>
      <c r="H189">
        <v>2</v>
      </c>
      <c r="I189">
        <v>1</v>
      </c>
      <c r="J189">
        <v>0.2</v>
      </c>
      <c r="K189" t="b">
        <v>0</v>
      </c>
    </row>
    <row r="190" spans="1:11" x14ac:dyDescent="0.2">
      <c r="A190">
        <v>289</v>
      </c>
      <c r="B190" t="s">
        <v>857</v>
      </c>
      <c r="C190" s="1">
        <v>41729</v>
      </c>
      <c r="D190" s="1">
        <v>41734</v>
      </c>
      <c r="E190">
        <v>4</v>
      </c>
      <c r="F190" t="s">
        <v>14</v>
      </c>
      <c r="G190" t="s">
        <v>859</v>
      </c>
      <c r="H190">
        <v>2</v>
      </c>
      <c r="I190">
        <v>0</v>
      </c>
      <c r="J190">
        <v>0</v>
      </c>
      <c r="K190" t="b">
        <v>0</v>
      </c>
    </row>
    <row r="191" spans="1:11" hidden="1" x14ac:dyDescent="0.2">
      <c r="A191">
        <v>290</v>
      </c>
      <c r="B191" t="s">
        <v>860</v>
      </c>
      <c r="C191" s="1">
        <v>42688</v>
      </c>
      <c r="D191" s="1">
        <v>42690</v>
      </c>
      <c r="E191">
        <v>3</v>
      </c>
      <c r="F191" t="s">
        <v>43</v>
      </c>
      <c r="G191" t="s">
        <v>861</v>
      </c>
      <c r="H191">
        <v>2</v>
      </c>
      <c r="I191">
        <v>0</v>
      </c>
      <c r="J191">
        <v>0</v>
      </c>
      <c r="K191" t="b">
        <v>0</v>
      </c>
    </row>
    <row r="192" spans="1:11" hidden="1" x14ac:dyDescent="0.2">
      <c r="A192">
        <v>291</v>
      </c>
      <c r="B192" t="s">
        <v>860</v>
      </c>
      <c r="C192" s="1">
        <v>42688</v>
      </c>
      <c r="D192" s="1">
        <v>42690</v>
      </c>
      <c r="E192">
        <v>3</v>
      </c>
      <c r="F192" t="s">
        <v>43</v>
      </c>
      <c r="G192" t="s">
        <v>862</v>
      </c>
      <c r="H192">
        <v>1</v>
      </c>
      <c r="I192">
        <v>0</v>
      </c>
      <c r="J192">
        <v>0</v>
      </c>
      <c r="K192" t="b">
        <v>0</v>
      </c>
    </row>
    <row r="193" spans="1:11" hidden="1" x14ac:dyDescent="0.2">
      <c r="A193">
        <v>292</v>
      </c>
      <c r="B193" t="s">
        <v>860</v>
      </c>
      <c r="C193" s="1">
        <v>42688</v>
      </c>
      <c r="D193" s="1">
        <v>42690</v>
      </c>
      <c r="E193">
        <v>3</v>
      </c>
      <c r="F193" t="s">
        <v>43</v>
      </c>
      <c r="G193" t="s">
        <v>816</v>
      </c>
      <c r="H193">
        <v>2</v>
      </c>
      <c r="I193">
        <v>0</v>
      </c>
      <c r="J193">
        <v>0</v>
      </c>
      <c r="K193" t="b">
        <v>0</v>
      </c>
    </row>
    <row r="194" spans="1:11" x14ac:dyDescent="0.2">
      <c r="A194">
        <v>293</v>
      </c>
      <c r="B194" t="s">
        <v>863</v>
      </c>
      <c r="C194" s="1">
        <v>41915</v>
      </c>
      <c r="D194" s="1">
        <v>41920</v>
      </c>
      <c r="E194">
        <v>4</v>
      </c>
      <c r="F194" t="s">
        <v>531</v>
      </c>
      <c r="G194" t="s">
        <v>864</v>
      </c>
      <c r="H194">
        <v>1</v>
      </c>
      <c r="I194">
        <v>1</v>
      </c>
      <c r="J194">
        <v>0.2</v>
      </c>
      <c r="K194" t="b">
        <v>0</v>
      </c>
    </row>
    <row r="195" spans="1:11" x14ac:dyDescent="0.2">
      <c r="A195">
        <v>294</v>
      </c>
      <c r="B195" t="s">
        <v>863</v>
      </c>
      <c r="C195" s="1">
        <v>41915</v>
      </c>
      <c r="D195" s="1">
        <v>41920</v>
      </c>
      <c r="E195">
        <v>4</v>
      </c>
      <c r="F195" t="s">
        <v>531</v>
      </c>
      <c r="G195" t="s">
        <v>865</v>
      </c>
      <c r="H195">
        <v>3</v>
      </c>
      <c r="I195">
        <v>1</v>
      </c>
      <c r="J195">
        <v>0.2</v>
      </c>
      <c r="K195" t="b">
        <v>0</v>
      </c>
    </row>
    <row r="196" spans="1:11" hidden="1" x14ac:dyDescent="0.2">
      <c r="A196">
        <v>295</v>
      </c>
      <c r="B196" t="s">
        <v>866</v>
      </c>
      <c r="C196" s="1">
        <v>43071</v>
      </c>
      <c r="D196" s="1">
        <v>43072</v>
      </c>
      <c r="E196">
        <v>1</v>
      </c>
      <c r="F196" t="s">
        <v>513</v>
      </c>
      <c r="G196" t="s">
        <v>867</v>
      </c>
      <c r="H196">
        <v>6</v>
      </c>
      <c r="I196">
        <v>1</v>
      </c>
      <c r="J196">
        <v>0.2</v>
      </c>
      <c r="K196" t="b">
        <v>0</v>
      </c>
    </row>
    <row r="197" spans="1:11" hidden="1" x14ac:dyDescent="0.2">
      <c r="A197">
        <v>296</v>
      </c>
      <c r="B197" t="s">
        <v>866</v>
      </c>
      <c r="C197" s="1">
        <v>43071</v>
      </c>
      <c r="D197" s="1">
        <v>43072</v>
      </c>
      <c r="E197">
        <v>1</v>
      </c>
      <c r="F197" t="s">
        <v>514</v>
      </c>
      <c r="G197" t="s">
        <v>868</v>
      </c>
      <c r="H197">
        <v>2</v>
      </c>
      <c r="I197">
        <v>1</v>
      </c>
      <c r="J197">
        <v>0.2</v>
      </c>
      <c r="K197" t="b">
        <v>0</v>
      </c>
    </row>
    <row r="198" spans="1:11" hidden="1" x14ac:dyDescent="0.2">
      <c r="A198">
        <v>297</v>
      </c>
      <c r="B198" t="s">
        <v>866</v>
      </c>
      <c r="C198" s="1">
        <v>43071</v>
      </c>
      <c r="D198" s="1">
        <v>43072</v>
      </c>
      <c r="E198">
        <v>1</v>
      </c>
      <c r="F198" t="s">
        <v>514</v>
      </c>
      <c r="G198" t="s">
        <v>869</v>
      </c>
      <c r="H198">
        <v>2</v>
      </c>
      <c r="I198">
        <v>0</v>
      </c>
      <c r="J198">
        <v>0</v>
      </c>
      <c r="K198" t="b">
        <v>0</v>
      </c>
    </row>
    <row r="199" spans="1:11" hidden="1" x14ac:dyDescent="0.2">
      <c r="A199">
        <v>298</v>
      </c>
      <c r="B199" t="s">
        <v>866</v>
      </c>
      <c r="C199" s="1">
        <v>43071</v>
      </c>
      <c r="D199" s="1">
        <v>43072</v>
      </c>
      <c r="E199">
        <v>1</v>
      </c>
      <c r="F199" t="s">
        <v>514</v>
      </c>
      <c r="G199" t="s">
        <v>859</v>
      </c>
      <c r="H199">
        <v>3</v>
      </c>
      <c r="I199">
        <v>0</v>
      </c>
      <c r="J199">
        <v>0</v>
      </c>
      <c r="K199" t="b">
        <v>0</v>
      </c>
    </row>
    <row r="200" spans="1:11" hidden="1" x14ac:dyDescent="0.2">
      <c r="A200">
        <v>299</v>
      </c>
      <c r="B200" t="s">
        <v>866</v>
      </c>
      <c r="C200" s="1">
        <v>43071</v>
      </c>
      <c r="D200" s="1">
        <v>43072</v>
      </c>
      <c r="E200">
        <v>1</v>
      </c>
      <c r="F200" t="s">
        <v>514</v>
      </c>
      <c r="G200" t="s">
        <v>870</v>
      </c>
      <c r="H200">
        <v>6</v>
      </c>
      <c r="I200">
        <v>0</v>
      </c>
      <c r="J200">
        <v>0</v>
      </c>
      <c r="K200" t="b">
        <v>0</v>
      </c>
    </row>
    <row r="201" spans="1:11" x14ac:dyDescent="0.2">
      <c r="A201">
        <v>300</v>
      </c>
      <c r="B201" t="s">
        <v>871</v>
      </c>
      <c r="C201" s="1">
        <v>42442</v>
      </c>
      <c r="D201" s="1">
        <v>42447</v>
      </c>
      <c r="E201">
        <v>4</v>
      </c>
      <c r="F201" t="s">
        <v>389</v>
      </c>
      <c r="G201" t="s">
        <v>872</v>
      </c>
      <c r="H201">
        <v>2</v>
      </c>
      <c r="I201">
        <v>0</v>
      </c>
      <c r="J201">
        <v>0</v>
      </c>
      <c r="K201" t="b">
        <v>0</v>
      </c>
    </row>
    <row r="202" spans="1:11" x14ac:dyDescent="0.2">
      <c r="A202">
        <v>301</v>
      </c>
      <c r="B202" t="s">
        <v>871</v>
      </c>
      <c r="C202" s="1">
        <v>42442</v>
      </c>
      <c r="D202" s="1">
        <v>42447</v>
      </c>
      <c r="E202">
        <v>4</v>
      </c>
      <c r="F202" t="s">
        <v>389</v>
      </c>
      <c r="G202" t="s">
        <v>873</v>
      </c>
      <c r="H202">
        <v>2</v>
      </c>
      <c r="I202">
        <v>0</v>
      </c>
      <c r="J202">
        <v>0</v>
      </c>
      <c r="K202" t="b">
        <v>0</v>
      </c>
    </row>
    <row r="203" spans="1:11" x14ac:dyDescent="0.2">
      <c r="A203">
        <v>302</v>
      </c>
      <c r="B203" t="s">
        <v>871</v>
      </c>
      <c r="C203" s="1">
        <v>42442</v>
      </c>
      <c r="D203" s="1">
        <v>42447</v>
      </c>
      <c r="E203">
        <v>4</v>
      </c>
      <c r="F203" t="s">
        <v>389</v>
      </c>
      <c r="G203" t="s">
        <v>874</v>
      </c>
      <c r="H203">
        <v>4</v>
      </c>
      <c r="I203">
        <v>0</v>
      </c>
      <c r="J203">
        <v>0</v>
      </c>
      <c r="K203" t="b">
        <v>0</v>
      </c>
    </row>
    <row r="204" spans="1:11" x14ac:dyDescent="0.2">
      <c r="A204">
        <v>303</v>
      </c>
      <c r="B204" t="s">
        <v>875</v>
      </c>
      <c r="C204" s="1">
        <v>42826</v>
      </c>
      <c r="D204" s="1">
        <v>42829</v>
      </c>
      <c r="E204">
        <v>4</v>
      </c>
      <c r="F204" t="s">
        <v>539</v>
      </c>
      <c r="G204" t="s">
        <v>745</v>
      </c>
      <c r="H204">
        <v>6</v>
      </c>
      <c r="I204">
        <v>0</v>
      </c>
      <c r="J204">
        <v>0</v>
      </c>
      <c r="K204" t="b">
        <v>0</v>
      </c>
    </row>
    <row r="205" spans="1:11" x14ac:dyDescent="0.2">
      <c r="A205">
        <v>304</v>
      </c>
      <c r="B205" t="s">
        <v>875</v>
      </c>
      <c r="C205" s="1">
        <v>42826</v>
      </c>
      <c r="D205" s="1">
        <v>42829</v>
      </c>
      <c r="E205">
        <v>4</v>
      </c>
      <c r="F205" t="s">
        <v>539</v>
      </c>
      <c r="G205" t="s">
        <v>876</v>
      </c>
      <c r="H205">
        <v>5</v>
      </c>
      <c r="I205">
        <v>0</v>
      </c>
      <c r="J205">
        <v>0</v>
      </c>
      <c r="K205" t="b">
        <v>0</v>
      </c>
    </row>
    <row r="206" spans="1:11" x14ac:dyDescent="0.2">
      <c r="A206">
        <v>305</v>
      </c>
      <c r="B206" t="s">
        <v>877</v>
      </c>
      <c r="C206" s="1">
        <v>41852</v>
      </c>
      <c r="D206" s="1">
        <v>41857</v>
      </c>
      <c r="E206">
        <v>4</v>
      </c>
      <c r="F206" t="s">
        <v>554</v>
      </c>
      <c r="G206" t="s">
        <v>878</v>
      </c>
      <c r="H206">
        <v>2</v>
      </c>
      <c r="I206">
        <v>1</v>
      </c>
      <c r="J206">
        <v>0.2</v>
      </c>
      <c r="K206" t="b">
        <v>0</v>
      </c>
    </row>
    <row r="207" spans="1:11" x14ac:dyDescent="0.2">
      <c r="A207">
        <v>306</v>
      </c>
      <c r="B207" t="s">
        <v>879</v>
      </c>
      <c r="C207" s="1">
        <v>41723</v>
      </c>
      <c r="D207" s="1">
        <v>41730</v>
      </c>
      <c r="E207">
        <v>4</v>
      </c>
      <c r="F207" t="s">
        <v>568</v>
      </c>
      <c r="G207" t="s">
        <v>880</v>
      </c>
      <c r="H207">
        <v>7</v>
      </c>
      <c r="I207">
        <v>1</v>
      </c>
      <c r="J207">
        <v>0.1</v>
      </c>
      <c r="K207" t="b">
        <v>0</v>
      </c>
    </row>
    <row r="208" spans="1:11" x14ac:dyDescent="0.2">
      <c r="A208">
        <v>307</v>
      </c>
      <c r="B208" t="s">
        <v>881</v>
      </c>
      <c r="C208" s="1">
        <v>42512</v>
      </c>
      <c r="D208" s="1">
        <v>42517</v>
      </c>
      <c r="E208">
        <v>4</v>
      </c>
      <c r="F208" t="s">
        <v>441</v>
      </c>
      <c r="G208" t="s">
        <v>882</v>
      </c>
      <c r="H208">
        <v>5</v>
      </c>
      <c r="I208">
        <v>0</v>
      </c>
      <c r="J208">
        <v>0</v>
      </c>
      <c r="K208" t="b">
        <v>0</v>
      </c>
    </row>
    <row r="209" spans="1:11" x14ac:dyDescent="0.2">
      <c r="A209">
        <v>308</v>
      </c>
      <c r="B209" t="s">
        <v>881</v>
      </c>
      <c r="C209" s="1">
        <v>42512</v>
      </c>
      <c r="D209" s="1">
        <v>42517</v>
      </c>
      <c r="E209">
        <v>4</v>
      </c>
      <c r="F209" t="s">
        <v>441</v>
      </c>
      <c r="G209" t="s">
        <v>883</v>
      </c>
      <c r="H209">
        <v>2</v>
      </c>
      <c r="I209">
        <v>1</v>
      </c>
      <c r="J209">
        <v>0.3</v>
      </c>
      <c r="K209" t="b">
        <v>0</v>
      </c>
    </row>
    <row r="210" spans="1:11" x14ac:dyDescent="0.2">
      <c r="A210">
        <v>309</v>
      </c>
      <c r="B210" t="s">
        <v>881</v>
      </c>
      <c r="C210" s="1">
        <v>42512</v>
      </c>
      <c r="D210" s="1">
        <v>42517</v>
      </c>
      <c r="E210">
        <v>4</v>
      </c>
      <c r="F210" t="s">
        <v>441</v>
      </c>
      <c r="G210" t="s">
        <v>884</v>
      </c>
      <c r="H210">
        <v>4</v>
      </c>
      <c r="I210">
        <v>0</v>
      </c>
      <c r="J210">
        <v>0</v>
      </c>
      <c r="K210" t="b">
        <v>0</v>
      </c>
    </row>
    <row r="211" spans="1:11" x14ac:dyDescent="0.2">
      <c r="A211">
        <v>310</v>
      </c>
      <c r="B211" t="s">
        <v>881</v>
      </c>
      <c r="C211" s="1">
        <v>42512</v>
      </c>
      <c r="D211" s="1">
        <v>42517</v>
      </c>
      <c r="E211">
        <v>4</v>
      </c>
      <c r="F211" t="s">
        <v>441</v>
      </c>
      <c r="G211" t="s">
        <v>885</v>
      </c>
      <c r="H211">
        <v>5</v>
      </c>
      <c r="I211">
        <v>0</v>
      </c>
      <c r="J211">
        <v>0</v>
      </c>
      <c r="K211" t="b">
        <v>0</v>
      </c>
    </row>
    <row r="212" spans="1:11" x14ac:dyDescent="0.2">
      <c r="A212">
        <v>311</v>
      </c>
      <c r="B212" t="s">
        <v>881</v>
      </c>
      <c r="C212" s="1">
        <v>42512</v>
      </c>
      <c r="D212" s="1">
        <v>42517</v>
      </c>
      <c r="E212">
        <v>4</v>
      </c>
      <c r="F212" t="s">
        <v>441</v>
      </c>
      <c r="G212" t="s">
        <v>886</v>
      </c>
      <c r="H212">
        <v>6</v>
      </c>
      <c r="I212">
        <v>0</v>
      </c>
      <c r="J212">
        <v>0</v>
      </c>
      <c r="K212" t="b">
        <v>0</v>
      </c>
    </row>
    <row r="213" spans="1:11" x14ac:dyDescent="0.2">
      <c r="A213">
        <v>312</v>
      </c>
      <c r="B213" t="s">
        <v>881</v>
      </c>
      <c r="C213" s="1">
        <v>42512</v>
      </c>
      <c r="D213" s="1">
        <v>42517</v>
      </c>
      <c r="E213">
        <v>4</v>
      </c>
      <c r="F213" t="s">
        <v>441</v>
      </c>
      <c r="G213" t="s">
        <v>887</v>
      </c>
      <c r="H213">
        <v>2</v>
      </c>
      <c r="I213">
        <v>0</v>
      </c>
      <c r="J213">
        <v>0</v>
      </c>
      <c r="K213" t="b">
        <v>0</v>
      </c>
    </row>
    <row r="214" spans="1:11" x14ac:dyDescent="0.2">
      <c r="A214">
        <v>313</v>
      </c>
      <c r="B214" t="s">
        <v>888</v>
      </c>
      <c r="C214" s="1">
        <v>42272</v>
      </c>
      <c r="D214" s="1">
        <v>42278</v>
      </c>
      <c r="E214">
        <v>4</v>
      </c>
      <c r="F214" t="s">
        <v>515</v>
      </c>
      <c r="G214" t="s">
        <v>706</v>
      </c>
      <c r="H214">
        <v>2</v>
      </c>
      <c r="I214">
        <v>0</v>
      </c>
      <c r="J214">
        <v>0</v>
      </c>
      <c r="K214" t="b">
        <v>1</v>
      </c>
    </row>
    <row r="215" spans="1:11" x14ac:dyDescent="0.2">
      <c r="A215">
        <v>314</v>
      </c>
      <c r="B215" t="s">
        <v>889</v>
      </c>
      <c r="C215" s="1">
        <v>43093</v>
      </c>
      <c r="D215" s="1">
        <v>43100</v>
      </c>
      <c r="E215">
        <v>4</v>
      </c>
      <c r="F215" t="s">
        <v>487</v>
      </c>
      <c r="G215" t="s">
        <v>890</v>
      </c>
      <c r="H215">
        <v>6</v>
      </c>
      <c r="I215">
        <v>0</v>
      </c>
      <c r="J215">
        <v>0</v>
      </c>
      <c r="K215" t="b">
        <v>0</v>
      </c>
    </row>
    <row r="216" spans="1:11" x14ac:dyDescent="0.2">
      <c r="A216">
        <v>315</v>
      </c>
      <c r="B216" t="s">
        <v>891</v>
      </c>
      <c r="C216" s="1">
        <v>42692</v>
      </c>
      <c r="D216" s="1">
        <v>42697</v>
      </c>
      <c r="E216">
        <v>4</v>
      </c>
      <c r="F216" t="s">
        <v>562</v>
      </c>
      <c r="G216" t="s">
        <v>892</v>
      </c>
      <c r="H216">
        <v>4</v>
      </c>
      <c r="I216">
        <v>0</v>
      </c>
      <c r="J216">
        <v>0</v>
      </c>
      <c r="K216" t="b">
        <v>0</v>
      </c>
    </row>
    <row r="217" spans="1:11" x14ac:dyDescent="0.2">
      <c r="A217">
        <v>316</v>
      </c>
      <c r="B217" t="s">
        <v>893</v>
      </c>
      <c r="C217" s="1">
        <v>42621</v>
      </c>
      <c r="D217" s="1">
        <v>42627</v>
      </c>
      <c r="E217">
        <v>4</v>
      </c>
      <c r="F217" t="s">
        <v>521</v>
      </c>
      <c r="G217" t="s">
        <v>894</v>
      </c>
      <c r="H217">
        <v>3</v>
      </c>
      <c r="I217">
        <v>0</v>
      </c>
      <c r="J217">
        <v>0</v>
      </c>
      <c r="K217" t="b">
        <v>0</v>
      </c>
    </row>
    <row r="218" spans="1:11" x14ac:dyDescent="0.2">
      <c r="A218">
        <v>317</v>
      </c>
      <c r="B218" t="s">
        <v>893</v>
      </c>
      <c r="C218" s="1">
        <v>42621</v>
      </c>
      <c r="D218" s="1">
        <v>42627</v>
      </c>
      <c r="E218">
        <v>4</v>
      </c>
      <c r="F218" t="s">
        <v>521</v>
      </c>
      <c r="G218" t="s">
        <v>895</v>
      </c>
      <c r="H218">
        <v>4</v>
      </c>
      <c r="I218">
        <v>0</v>
      </c>
      <c r="J218">
        <v>0</v>
      </c>
      <c r="K218" t="b">
        <v>0</v>
      </c>
    </row>
    <row r="219" spans="1:11" x14ac:dyDescent="0.2">
      <c r="A219">
        <v>318</v>
      </c>
      <c r="B219" t="s">
        <v>896</v>
      </c>
      <c r="C219" s="1">
        <v>43058</v>
      </c>
      <c r="D219" s="1">
        <v>43062</v>
      </c>
      <c r="E219">
        <v>4</v>
      </c>
      <c r="F219" t="s">
        <v>396</v>
      </c>
      <c r="G219" t="s">
        <v>897</v>
      </c>
      <c r="H219">
        <v>6</v>
      </c>
      <c r="I219">
        <v>0</v>
      </c>
      <c r="J219">
        <v>0</v>
      </c>
      <c r="K219" t="b">
        <v>0</v>
      </c>
    </row>
    <row r="220" spans="1:11" x14ac:dyDescent="0.2">
      <c r="A220">
        <v>319</v>
      </c>
      <c r="B220" t="s">
        <v>896</v>
      </c>
      <c r="C220" s="1">
        <v>43058</v>
      </c>
      <c r="D220" s="1">
        <v>43062</v>
      </c>
      <c r="E220">
        <v>4</v>
      </c>
      <c r="F220" t="s">
        <v>396</v>
      </c>
      <c r="G220" t="s">
        <v>767</v>
      </c>
      <c r="H220">
        <v>2</v>
      </c>
      <c r="I220">
        <v>0</v>
      </c>
      <c r="J220">
        <v>0</v>
      </c>
      <c r="K220" t="b">
        <v>0</v>
      </c>
    </row>
    <row r="221" spans="1:11" x14ac:dyDescent="0.2">
      <c r="A221">
        <v>320</v>
      </c>
      <c r="B221" t="s">
        <v>898</v>
      </c>
      <c r="C221" s="1">
        <v>41755</v>
      </c>
      <c r="D221" s="1">
        <v>41762</v>
      </c>
      <c r="E221">
        <v>4</v>
      </c>
      <c r="F221" t="s">
        <v>450</v>
      </c>
      <c r="G221" t="s">
        <v>899</v>
      </c>
      <c r="H221">
        <v>3</v>
      </c>
      <c r="I221">
        <v>1</v>
      </c>
      <c r="J221">
        <v>0.2</v>
      </c>
      <c r="K221" t="b">
        <v>0</v>
      </c>
    </row>
    <row r="222" spans="1:11" x14ac:dyDescent="0.2">
      <c r="A222">
        <v>321</v>
      </c>
      <c r="B222" t="s">
        <v>898</v>
      </c>
      <c r="C222" s="1">
        <v>41755</v>
      </c>
      <c r="D222" s="1">
        <v>41762</v>
      </c>
      <c r="E222">
        <v>4</v>
      </c>
      <c r="F222" t="s">
        <v>450</v>
      </c>
      <c r="G222" t="s">
        <v>900</v>
      </c>
      <c r="H222">
        <v>6</v>
      </c>
      <c r="I222">
        <v>1</v>
      </c>
      <c r="J222">
        <v>0.2</v>
      </c>
      <c r="K222" t="b">
        <v>0</v>
      </c>
    </row>
    <row r="223" spans="1:11" x14ac:dyDescent="0.2">
      <c r="A223">
        <v>322</v>
      </c>
      <c r="B223" t="s">
        <v>901</v>
      </c>
      <c r="C223" s="1">
        <v>42257</v>
      </c>
      <c r="D223" s="1">
        <v>42262</v>
      </c>
      <c r="E223">
        <v>4</v>
      </c>
      <c r="F223" t="s">
        <v>407</v>
      </c>
      <c r="G223" t="s">
        <v>902</v>
      </c>
      <c r="H223">
        <v>3</v>
      </c>
      <c r="I223">
        <v>0</v>
      </c>
      <c r="J223">
        <v>0</v>
      </c>
      <c r="K223" t="b">
        <v>1</v>
      </c>
    </row>
    <row r="224" spans="1:11" hidden="1" x14ac:dyDescent="0.2">
      <c r="A224">
        <v>323</v>
      </c>
      <c r="B224" t="s">
        <v>903</v>
      </c>
      <c r="C224" s="1">
        <v>42995</v>
      </c>
      <c r="D224" s="1">
        <v>42999</v>
      </c>
      <c r="E224">
        <v>3</v>
      </c>
      <c r="F224" t="s">
        <v>547</v>
      </c>
      <c r="G224" t="s">
        <v>904</v>
      </c>
      <c r="H224">
        <v>3</v>
      </c>
      <c r="I224">
        <v>1</v>
      </c>
      <c r="J224">
        <v>0.2</v>
      </c>
      <c r="K224" t="b">
        <v>0</v>
      </c>
    </row>
    <row r="225" spans="1:11" hidden="1" x14ac:dyDescent="0.2">
      <c r="A225">
        <v>324</v>
      </c>
      <c r="B225" t="s">
        <v>903</v>
      </c>
      <c r="C225" s="1">
        <v>42995</v>
      </c>
      <c r="D225" s="1">
        <v>42999</v>
      </c>
      <c r="E225">
        <v>3</v>
      </c>
      <c r="F225" t="s">
        <v>547</v>
      </c>
      <c r="G225" t="s">
        <v>698</v>
      </c>
      <c r="H225">
        <v>3</v>
      </c>
      <c r="I225">
        <v>1</v>
      </c>
      <c r="J225">
        <v>0.2</v>
      </c>
      <c r="K225" t="b">
        <v>0</v>
      </c>
    </row>
    <row r="226" spans="1:11" hidden="1" x14ac:dyDescent="0.2">
      <c r="A226">
        <v>325</v>
      </c>
      <c r="B226" t="s">
        <v>903</v>
      </c>
      <c r="C226" s="1">
        <v>42995</v>
      </c>
      <c r="D226" s="1">
        <v>42999</v>
      </c>
      <c r="E226">
        <v>3</v>
      </c>
      <c r="F226" t="s">
        <v>547</v>
      </c>
      <c r="G226" t="s">
        <v>905</v>
      </c>
      <c r="H226">
        <v>3</v>
      </c>
      <c r="I226">
        <v>0</v>
      </c>
      <c r="J226">
        <v>0</v>
      </c>
      <c r="K226" t="b">
        <v>0</v>
      </c>
    </row>
    <row r="227" spans="1:11" hidden="1" x14ac:dyDescent="0.2">
      <c r="A227">
        <v>326</v>
      </c>
      <c r="B227" t="s">
        <v>903</v>
      </c>
      <c r="C227" s="1">
        <v>42995</v>
      </c>
      <c r="D227" s="1">
        <v>42999</v>
      </c>
      <c r="E227">
        <v>3</v>
      </c>
      <c r="F227" t="s">
        <v>547</v>
      </c>
      <c r="G227" t="s">
        <v>906</v>
      </c>
      <c r="H227">
        <v>3</v>
      </c>
      <c r="I227">
        <v>0</v>
      </c>
      <c r="J227">
        <v>0</v>
      </c>
      <c r="K227" t="b">
        <v>0</v>
      </c>
    </row>
    <row r="228" spans="1:11" hidden="1" x14ac:dyDescent="0.2">
      <c r="A228">
        <v>327</v>
      </c>
      <c r="B228" t="s">
        <v>903</v>
      </c>
      <c r="C228" s="1">
        <v>42995</v>
      </c>
      <c r="D228" s="1">
        <v>42999</v>
      </c>
      <c r="E228">
        <v>3</v>
      </c>
      <c r="F228" t="s">
        <v>547</v>
      </c>
      <c r="G228" t="s">
        <v>907</v>
      </c>
      <c r="H228">
        <v>2</v>
      </c>
      <c r="I228">
        <v>1</v>
      </c>
      <c r="J228">
        <v>0.2</v>
      </c>
      <c r="K228" t="b">
        <v>0</v>
      </c>
    </row>
    <row r="229" spans="1:11" hidden="1" x14ac:dyDescent="0.2">
      <c r="A229">
        <v>328</v>
      </c>
      <c r="B229" t="s">
        <v>903</v>
      </c>
      <c r="C229" s="1">
        <v>42995</v>
      </c>
      <c r="D229" s="1">
        <v>42999</v>
      </c>
      <c r="E229">
        <v>3</v>
      </c>
      <c r="F229" t="s">
        <v>547</v>
      </c>
      <c r="G229" t="s">
        <v>908</v>
      </c>
      <c r="H229">
        <v>2</v>
      </c>
      <c r="I229">
        <v>0</v>
      </c>
      <c r="J229">
        <v>0</v>
      </c>
      <c r="K229" t="b">
        <v>0</v>
      </c>
    </row>
    <row r="230" spans="1:11" hidden="1" x14ac:dyDescent="0.2">
      <c r="A230">
        <v>329</v>
      </c>
      <c r="B230" t="s">
        <v>903</v>
      </c>
      <c r="C230" s="1">
        <v>42995</v>
      </c>
      <c r="D230" s="1">
        <v>42999</v>
      </c>
      <c r="E230">
        <v>3</v>
      </c>
      <c r="F230" t="s">
        <v>547</v>
      </c>
      <c r="G230" t="s">
        <v>909</v>
      </c>
      <c r="H230">
        <v>5</v>
      </c>
      <c r="I230">
        <v>0</v>
      </c>
      <c r="J230">
        <v>0</v>
      </c>
      <c r="K230" t="b">
        <v>0</v>
      </c>
    </row>
    <row r="231" spans="1:11" x14ac:dyDescent="0.2">
      <c r="A231">
        <v>330</v>
      </c>
      <c r="B231" t="s">
        <v>910</v>
      </c>
      <c r="C231" s="1">
        <v>42391</v>
      </c>
      <c r="D231" s="1">
        <v>42397</v>
      </c>
      <c r="E231">
        <v>4</v>
      </c>
      <c r="F231" t="s">
        <v>507</v>
      </c>
      <c r="G231" t="s">
        <v>911</v>
      </c>
      <c r="H231">
        <v>5</v>
      </c>
      <c r="I231">
        <v>0</v>
      </c>
      <c r="J231">
        <v>0</v>
      </c>
      <c r="K231" t="b">
        <v>0</v>
      </c>
    </row>
    <row r="232" spans="1:11" x14ac:dyDescent="0.2">
      <c r="A232">
        <v>331</v>
      </c>
      <c r="B232" t="s">
        <v>912</v>
      </c>
      <c r="C232" s="1">
        <v>42902</v>
      </c>
      <c r="D232" s="1">
        <v>42907</v>
      </c>
      <c r="E232">
        <v>4</v>
      </c>
      <c r="F232" t="s">
        <v>412</v>
      </c>
      <c r="G232" t="s">
        <v>774</v>
      </c>
      <c r="H232">
        <v>2</v>
      </c>
      <c r="I232">
        <v>0</v>
      </c>
      <c r="J232">
        <v>0</v>
      </c>
      <c r="K232" t="b">
        <v>0</v>
      </c>
    </row>
    <row r="233" spans="1:11" x14ac:dyDescent="0.2">
      <c r="A233">
        <v>332</v>
      </c>
      <c r="B233" t="s">
        <v>912</v>
      </c>
      <c r="C233" s="1">
        <v>42902</v>
      </c>
      <c r="D233" s="1">
        <v>42907</v>
      </c>
      <c r="E233">
        <v>4</v>
      </c>
      <c r="F233" t="s">
        <v>412</v>
      </c>
      <c r="G233" t="s">
        <v>913</v>
      </c>
      <c r="H233">
        <v>3</v>
      </c>
      <c r="I233">
        <v>0</v>
      </c>
      <c r="J233">
        <v>0</v>
      </c>
      <c r="K233" t="b">
        <v>0</v>
      </c>
    </row>
    <row r="234" spans="1:11" x14ac:dyDescent="0.2">
      <c r="A234">
        <v>333</v>
      </c>
      <c r="B234" t="s">
        <v>912</v>
      </c>
      <c r="C234" s="1">
        <v>42902</v>
      </c>
      <c r="D234" s="1">
        <v>42907</v>
      </c>
      <c r="E234">
        <v>4</v>
      </c>
      <c r="F234" t="s">
        <v>412</v>
      </c>
      <c r="G234" t="s">
        <v>914</v>
      </c>
      <c r="H234">
        <v>4</v>
      </c>
      <c r="I234">
        <v>0</v>
      </c>
      <c r="J234">
        <v>0</v>
      </c>
      <c r="K234" t="b">
        <v>0</v>
      </c>
    </row>
    <row r="235" spans="1:11" x14ac:dyDescent="0.2">
      <c r="A235">
        <v>334</v>
      </c>
      <c r="B235" t="s">
        <v>915</v>
      </c>
      <c r="C235" s="1">
        <v>42330</v>
      </c>
      <c r="D235" s="1">
        <v>42334</v>
      </c>
      <c r="E235">
        <v>4</v>
      </c>
      <c r="F235" t="s">
        <v>521</v>
      </c>
      <c r="G235" t="s">
        <v>916</v>
      </c>
      <c r="H235">
        <v>4</v>
      </c>
      <c r="I235">
        <v>1</v>
      </c>
      <c r="J235">
        <v>0.2</v>
      </c>
      <c r="K235" t="b">
        <v>0</v>
      </c>
    </row>
    <row r="236" spans="1:11" x14ac:dyDescent="0.2">
      <c r="A236">
        <v>335</v>
      </c>
      <c r="B236" t="s">
        <v>917</v>
      </c>
      <c r="C236" s="1">
        <v>42679</v>
      </c>
      <c r="D236" s="1">
        <v>42684</v>
      </c>
      <c r="E236">
        <v>4</v>
      </c>
      <c r="F236" t="s">
        <v>552</v>
      </c>
      <c r="G236" t="s">
        <v>918</v>
      </c>
      <c r="H236">
        <v>2</v>
      </c>
      <c r="I236">
        <v>1</v>
      </c>
      <c r="J236">
        <v>0.4</v>
      </c>
      <c r="K236" t="b">
        <v>0</v>
      </c>
    </row>
    <row r="237" spans="1:11" x14ac:dyDescent="0.2">
      <c r="A237">
        <v>336</v>
      </c>
      <c r="B237" t="s">
        <v>919</v>
      </c>
      <c r="C237" s="1">
        <v>42817</v>
      </c>
      <c r="D237" s="1">
        <v>42821</v>
      </c>
      <c r="E237">
        <v>4</v>
      </c>
      <c r="F237" t="s">
        <v>431</v>
      </c>
      <c r="G237" t="s">
        <v>640</v>
      </c>
      <c r="H237">
        <v>2</v>
      </c>
      <c r="I237">
        <v>1</v>
      </c>
      <c r="J237">
        <v>0.2</v>
      </c>
      <c r="K237" t="b">
        <v>0</v>
      </c>
    </row>
    <row r="238" spans="1:11" x14ac:dyDescent="0.2">
      <c r="A238">
        <v>337</v>
      </c>
      <c r="B238" t="s">
        <v>920</v>
      </c>
      <c r="C238" s="1">
        <v>42702</v>
      </c>
      <c r="D238" s="1">
        <v>42707</v>
      </c>
      <c r="E238">
        <v>4</v>
      </c>
      <c r="F238" t="s">
        <v>503</v>
      </c>
      <c r="G238" t="s">
        <v>728</v>
      </c>
      <c r="H238">
        <v>6</v>
      </c>
      <c r="I238">
        <v>1</v>
      </c>
      <c r="J238">
        <v>0.7</v>
      </c>
      <c r="K238" t="b">
        <v>0</v>
      </c>
    </row>
    <row r="239" spans="1:11" hidden="1" x14ac:dyDescent="0.2">
      <c r="A239">
        <v>338</v>
      </c>
      <c r="B239" t="s">
        <v>921</v>
      </c>
      <c r="C239" s="1">
        <v>42684</v>
      </c>
      <c r="D239" s="1">
        <v>42686</v>
      </c>
      <c r="E239">
        <v>3</v>
      </c>
      <c r="F239" t="s">
        <v>576</v>
      </c>
      <c r="G239" t="s">
        <v>922</v>
      </c>
      <c r="H239">
        <v>5</v>
      </c>
      <c r="I239">
        <v>1</v>
      </c>
      <c r="J239">
        <v>0.2</v>
      </c>
      <c r="K239" t="b">
        <v>0</v>
      </c>
    </row>
    <row r="240" spans="1:11" hidden="1" x14ac:dyDescent="0.2">
      <c r="A240">
        <v>339</v>
      </c>
      <c r="B240" t="s">
        <v>921</v>
      </c>
      <c r="C240" s="1">
        <v>42684</v>
      </c>
      <c r="D240" s="1">
        <v>42686</v>
      </c>
      <c r="E240">
        <v>3</v>
      </c>
      <c r="F240" t="s">
        <v>576</v>
      </c>
      <c r="G240" t="s">
        <v>923</v>
      </c>
      <c r="H240">
        <v>3</v>
      </c>
      <c r="I240">
        <v>1</v>
      </c>
      <c r="J240">
        <v>0.2</v>
      </c>
      <c r="K240" t="b">
        <v>0</v>
      </c>
    </row>
    <row r="241" spans="1:11" hidden="1" x14ac:dyDescent="0.2">
      <c r="A241">
        <v>340</v>
      </c>
      <c r="B241" t="s">
        <v>924</v>
      </c>
      <c r="C241" s="1">
        <v>43085</v>
      </c>
      <c r="D241" s="1">
        <v>43090</v>
      </c>
      <c r="E241">
        <v>3</v>
      </c>
      <c r="F241" t="s">
        <v>566</v>
      </c>
      <c r="G241" t="s">
        <v>865</v>
      </c>
      <c r="H241">
        <v>2</v>
      </c>
      <c r="I241">
        <v>1</v>
      </c>
      <c r="J241">
        <v>0.2</v>
      </c>
      <c r="K241" t="b">
        <v>0</v>
      </c>
    </row>
    <row r="242" spans="1:11" hidden="1" x14ac:dyDescent="0.2">
      <c r="A242">
        <v>341</v>
      </c>
      <c r="B242" t="s">
        <v>924</v>
      </c>
      <c r="C242" s="1">
        <v>43085</v>
      </c>
      <c r="D242" s="1">
        <v>43090</v>
      </c>
      <c r="E242">
        <v>3</v>
      </c>
      <c r="F242" t="s">
        <v>566</v>
      </c>
      <c r="G242" t="s">
        <v>925</v>
      </c>
      <c r="H242">
        <v>2</v>
      </c>
      <c r="I242">
        <v>1</v>
      </c>
      <c r="J242">
        <v>0.2</v>
      </c>
      <c r="K242" t="b">
        <v>0</v>
      </c>
    </row>
    <row r="243" spans="1:11" hidden="1" x14ac:dyDescent="0.2">
      <c r="A243">
        <v>342</v>
      </c>
      <c r="B243" t="s">
        <v>924</v>
      </c>
      <c r="C243" s="1">
        <v>43085</v>
      </c>
      <c r="D243" s="1">
        <v>43090</v>
      </c>
      <c r="E243">
        <v>3</v>
      </c>
      <c r="F243" t="s">
        <v>566</v>
      </c>
      <c r="G243" t="s">
        <v>926</v>
      </c>
      <c r="H243">
        <v>5</v>
      </c>
      <c r="I243">
        <v>1</v>
      </c>
      <c r="J243">
        <v>0.2</v>
      </c>
      <c r="K243" t="b">
        <v>0</v>
      </c>
    </row>
    <row r="244" spans="1:11" hidden="1" x14ac:dyDescent="0.2">
      <c r="A244">
        <v>343</v>
      </c>
      <c r="B244" t="s">
        <v>924</v>
      </c>
      <c r="C244" s="1">
        <v>43085</v>
      </c>
      <c r="D244" s="1">
        <v>43090</v>
      </c>
      <c r="E244">
        <v>3</v>
      </c>
      <c r="F244" t="s">
        <v>566</v>
      </c>
      <c r="G244" t="s">
        <v>927</v>
      </c>
      <c r="H244">
        <v>2</v>
      </c>
      <c r="I244">
        <v>0</v>
      </c>
      <c r="J244">
        <v>0</v>
      </c>
      <c r="K244" t="b">
        <v>0</v>
      </c>
    </row>
    <row r="245" spans="1:11" x14ac:dyDescent="0.2">
      <c r="A245">
        <v>344</v>
      </c>
      <c r="B245" t="s">
        <v>928</v>
      </c>
      <c r="C245" s="1">
        <v>43085</v>
      </c>
      <c r="D245" s="1">
        <v>43089</v>
      </c>
      <c r="E245">
        <v>4</v>
      </c>
      <c r="F245" t="s">
        <v>532</v>
      </c>
      <c r="G245" t="s">
        <v>929</v>
      </c>
      <c r="H245">
        <v>5</v>
      </c>
      <c r="I245">
        <v>0</v>
      </c>
      <c r="J245">
        <v>0</v>
      </c>
      <c r="K245" t="b">
        <v>0</v>
      </c>
    </row>
    <row r="246" spans="1:11" x14ac:dyDescent="0.2">
      <c r="A246">
        <v>345</v>
      </c>
      <c r="B246" t="s">
        <v>930</v>
      </c>
      <c r="C246" s="1">
        <v>42131</v>
      </c>
      <c r="D246" s="1">
        <v>42136</v>
      </c>
      <c r="E246">
        <v>4</v>
      </c>
      <c r="F246" t="s">
        <v>459</v>
      </c>
      <c r="G246" t="s">
        <v>931</v>
      </c>
      <c r="H246">
        <v>2</v>
      </c>
      <c r="I246">
        <v>1</v>
      </c>
      <c r="J246">
        <v>0.3</v>
      </c>
      <c r="K246" t="b">
        <v>0</v>
      </c>
    </row>
    <row r="247" spans="1:11" x14ac:dyDescent="0.2">
      <c r="A247">
        <v>346</v>
      </c>
      <c r="B247" t="s">
        <v>930</v>
      </c>
      <c r="C247" s="1">
        <v>42131</v>
      </c>
      <c r="D247" s="1">
        <v>42136</v>
      </c>
      <c r="E247">
        <v>4</v>
      </c>
      <c r="F247" t="s">
        <v>459</v>
      </c>
      <c r="G247" t="s">
        <v>932</v>
      </c>
      <c r="H247">
        <v>4</v>
      </c>
      <c r="I247">
        <v>1</v>
      </c>
      <c r="J247">
        <v>0.2</v>
      </c>
      <c r="K247" t="b">
        <v>0</v>
      </c>
    </row>
    <row r="248" spans="1:11" x14ac:dyDescent="0.2">
      <c r="A248">
        <v>347</v>
      </c>
      <c r="B248" t="s">
        <v>933</v>
      </c>
      <c r="C248" s="1">
        <v>42622</v>
      </c>
      <c r="D248" s="1">
        <v>42626</v>
      </c>
      <c r="E248">
        <v>4</v>
      </c>
      <c r="F248" t="s">
        <v>557</v>
      </c>
      <c r="G248" t="s">
        <v>722</v>
      </c>
      <c r="H248">
        <v>4</v>
      </c>
      <c r="I248">
        <v>1</v>
      </c>
      <c r="J248">
        <v>0.2</v>
      </c>
      <c r="K248" t="b">
        <v>0</v>
      </c>
    </row>
    <row r="249" spans="1:11" x14ac:dyDescent="0.2">
      <c r="A249">
        <v>348</v>
      </c>
      <c r="B249" t="s">
        <v>934</v>
      </c>
      <c r="C249" s="1">
        <v>41936</v>
      </c>
      <c r="D249" s="1">
        <v>41941</v>
      </c>
      <c r="E249">
        <v>4</v>
      </c>
      <c r="F249" t="s">
        <v>48</v>
      </c>
      <c r="G249" t="s">
        <v>935</v>
      </c>
      <c r="H249">
        <v>3</v>
      </c>
      <c r="I249">
        <v>1</v>
      </c>
      <c r="J249">
        <v>0.2</v>
      </c>
      <c r="K249" t="b">
        <v>0</v>
      </c>
    </row>
    <row r="250" spans="1:11" x14ac:dyDescent="0.2">
      <c r="A250">
        <v>349</v>
      </c>
      <c r="B250" t="s">
        <v>936</v>
      </c>
      <c r="C250" s="1">
        <v>42316</v>
      </c>
      <c r="D250" s="1">
        <v>42321</v>
      </c>
      <c r="E250">
        <v>4</v>
      </c>
      <c r="F250" t="s">
        <v>422</v>
      </c>
      <c r="G250" t="s">
        <v>937</v>
      </c>
      <c r="H250">
        <v>11</v>
      </c>
      <c r="I250">
        <v>1</v>
      </c>
      <c r="J250">
        <v>0.2</v>
      </c>
      <c r="K250" t="b">
        <v>0</v>
      </c>
    </row>
    <row r="251" spans="1:11" x14ac:dyDescent="0.2">
      <c r="A251">
        <v>350</v>
      </c>
      <c r="B251" t="s">
        <v>936</v>
      </c>
      <c r="C251" s="1">
        <v>42316</v>
      </c>
      <c r="D251" s="1">
        <v>42321</v>
      </c>
      <c r="E251">
        <v>4</v>
      </c>
      <c r="F251" t="s">
        <v>422</v>
      </c>
      <c r="G251" t="s">
        <v>645</v>
      </c>
      <c r="H251">
        <v>3</v>
      </c>
      <c r="I251">
        <v>0</v>
      </c>
      <c r="J251">
        <v>0</v>
      </c>
      <c r="K251" t="b">
        <v>0</v>
      </c>
    </row>
    <row r="252" spans="1:11" x14ac:dyDescent="0.2">
      <c r="A252">
        <v>351</v>
      </c>
      <c r="B252" t="s">
        <v>938</v>
      </c>
      <c r="C252" s="1">
        <v>43086</v>
      </c>
      <c r="D252" s="1">
        <v>43090</v>
      </c>
      <c r="E252">
        <v>4</v>
      </c>
      <c r="F252" t="s">
        <v>499</v>
      </c>
      <c r="G252" t="s">
        <v>939</v>
      </c>
      <c r="H252">
        <v>5</v>
      </c>
      <c r="I252">
        <v>0</v>
      </c>
      <c r="J252">
        <v>0</v>
      </c>
      <c r="K252" t="b">
        <v>0</v>
      </c>
    </row>
    <row r="253" spans="1:11" x14ac:dyDescent="0.2">
      <c r="A253">
        <v>352</v>
      </c>
      <c r="B253" t="s">
        <v>940</v>
      </c>
      <c r="C253" s="1">
        <v>42994</v>
      </c>
      <c r="D253" s="1">
        <v>42999</v>
      </c>
      <c r="E253">
        <v>4</v>
      </c>
      <c r="F253" t="s">
        <v>390</v>
      </c>
      <c r="G253" t="s">
        <v>941</v>
      </c>
      <c r="H253">
        <v>4</v>
      </c>
      <c r="I253">
        <v>1</v>
      </c>
      <c r="J253">
        <v>0.2</v>
      </c>
      <c r="K253" t="b">
        <v>1</v>
      </c>
    </row>
    <row r="254" spans="1:11" x14ac:dyDescent="0.2">
      <c r="A254">
        <v>353</v>
      </c>
      <c r="B254" t="s">
        <v>942</v>
      </c>
      <c r="C254" s="1">
        <v>43011</v>
      </c>
      <c r="D254" s="1">
        <v>43016</v>
      </c>
      <c r="E254">
        <v>4</v>
      </c>
      <c r="F254" t="s">
        <v>537</v>
      </c>
      <c r="G254" t="s">
        <v>943</v>
      </c>
      <c r="H254">
        <v>3</v>
      </c>
      <c r="I254">
        <v>1</v>
      </c>
      <c r="J254">
        <v>0.2</v>
      </c>
      <c r="K254" t="b">
        <v>0</v>
      </c>
    </row>
    <row r="255" spans="1:11" x14ac:dyDescent="0.2">
      <c r="A255">
        <v>354</v>
      </c>
      <c r="B255" t="s">
        <v>944</v>
      </c>
      <c r="C255" s="1">
        <v>42568</v>
      </c>
      <c r="D255" s="1">
        <v>42573</v>
      </c>
      <c r="E255">
        <v>4</v>
      </c>
      <c r="F255" t="s">
        <v>60</v>
      </c>
      <c r="G255" t="s">
        <v>945</v>
      </c>
      <c r="H255">
        <v>3</v>
      </c>
      <c r="I255">
        <v>0</v>
      </c>
      <c r="J255">
        <v>0</v>
      </c>
      <c r="K255" t="b">
        <v>0</v>
      </c>
    </row>
    <row r="256" spans="1:11" x14ac:dyDescent="0.2">
      <c r="A256">
        <v>355</v>
      </c>
      <c r="B256" t="s">
        <v>944</v>
      </c>
      <c r="C256" s="1">
        <v>42568</v>
      </c>
      <c r="D256" s="1">
        <v>42573</v>
      </c>
      <c r="E256">
        <v>4</v>
      </c>
      <c r="F256" t="s">
        <v>60</v>
      </c>
      <c r="G256" t="s">
        <v>946</v>
      </c>
      <c r="H256">
        <v>3</v>
      </c>
      <c r="I256">
        <v>0</v>
      </c>
      <c r="J256">
        <v>0</v>
      </c>
      <c r="K256" t="b">
        <v>0</v>
      </c>
    </row>
    <row r="257" spans="1:11" x14ac:dyDescent="0.2">
      <c r="A257">
        <v>356</v>
      </c>
      <c r="B257" t="s">
        <v>944</v>
      </c>
      <c r="C257" s="1">
        <v>42568</v>
      </c>
      <c r="D257" s="1">
        <v>42573</v>
      </c>
      <c r="E257">
        <v>4</v>
      </c>
      <c r="F257" t="s">
        <v>60</v>
      </c>
      <c r="G257" t="s">
        <v>947</v>
      </c>
      <c r="H257">
        <v>1</v>
      </c>
      <c r="I257">
        <v>0</v>
      </c>
      <c r="J257">
        <v>0</v>
      </c>
      <c r="K257" t="b">
        <v>0</v>
      </c>
    </row>
    <row r="258" spans="1:11" x14ac:dyDescent="0.2">
      <c r="A258">
        <v>357</v>
      </c>
      <c r="B258" t="s">
        <v>944</v>
      </c>
      <c r="C258" s="1">
        <v>42568</v>
      </c>
      <c r="D258" s="1">
        <v>42573</v>
      </c>
      <c r="E258">
        <v>4</v>
      </c>
      <c r="F258" t="s">
        <v>48</v>
      </c>
      <c r="G258" t="s">
        <v>948</v>
      </c>
      <c r="H258">
        <v>8</v>
      </c>
      <c r="I258">
        <v>0</v>
      </c>
      <c r="J258">
        <v>0</v>
      </c>
      <c r="K258" t="b">
        <v>0</v>
      </c>
    </row>
    <row r="259" spans="1:11" x14ac:dyDescent="0.2">
      <c r="A259">
        <v>358</v>
      </c>
      <c r="B259" t="s">
        <v>944</v>
      </c>
      <c r="C259" s="1">
        <v>42568</v>
      </c>
      <c r="D259" s="1">
        <v>42573</v>
      </c>
      <c r="E259">
        <v>4</v>
      </c>
      <c r="F259" t="s">
        <v>48</v>
      </c>
      <c r="G259" t="s">
        <v>949</v>
      </c>
      <c r="H259">
        <v>1</v>
      </c>
      <c r="I259">
        <v>0</v>
      </c>
      <c r="J259">
        <v>0</v>
      </c>
      <c r="K259" t="b">
        <v>0</v>
      </c>
    </row>
    <row r="260" spans="1:11" x14ac:dyDescent="0.2">
      <c r="A260">
        <v>359</v>
      </c>
      <c r="B260" t="s">
        <v>950</v>
      </c>
      <c r="C260" s="1">
        <v>42618</v>
      </c>
      <c r="D260" s="1">
        <v>42624</v>
      </c>
      <c r="E260">
        <v>4</v>
      </c>
      <c r="F260" t="s">
        <v>536</v>
      </c>
      <c r="G260" t="s">
        <v>951</v>
      </c>
      <c r="H260">
        <v>7</v>
      </c>
      <c r="I260">
        <v>1</v>
      </c>
      <c r="J260">
        <v>0.3</v>
      </c>
      <c r="K260" t="b">
        <v>0</v>
      </c>
    </row>
    <row r="261" spans="1:11" hidden="1" x14ac:dyDescent="0.2">
      <c r="A261">
        <v>360</v>
      </c>
      <c r="B261" t="s">
        <v>952</v>
      </c>
      <c r="C261" s="1">
        <v>41820</v>
      </c>
      <c r="D261" s="1">
        <v>41823</v>
      </c>
      <c r="E261">
        <v>3</v>
      </c>
      <c r="F261" t="s">
        <v>535</v>
      </c>
      <c r="G261" t="s">
        <v>953</v>
      </c>
      <c r="H261">
        <v>5</v>
      </c>
      <c r="I261">
        <v>0</v>
      </c>
      <c r="J261">
        <v>0</v>
      </c>
      <c r="K261" t="b">
        <v>0</v>
      </c>
    </row>
    <row r="262" spans="1:11" hidden="1" x14ac:dyDescent="0.2">
      <c r="A262">
        <v>361</v>
      </c>
      <c r="B262" t="s">
        <v>954</v>
      </c>
      <c r="C262" s="1">
        <v>43001</v>
      </c>
      <c r="D262" s="1">
        <v>43007</v>
      </c>
      <c r="E262">
        <v>1</v>
      </c>
      <c r="F262" t="s">
        <v>526</v>
      </c>
      <c r="G262" t="s">
        <v>955</v>
      </c>
      <c r="H262">
        <v>2</v>
      </c>
      <c r="I262">
        <v>1</v>
      </c>
      <c r="J262">
        <v>0.7</v>
      </c>
      <c r="K262" t="b">
        <v>0</v>
      </c>
    </row>
    <row r="263" spans="1:11" hidden="1" x14ac:dyDescent="0.2">
      <c r="A263">
        <v>362</v>
      </c>
      <c r="B263" t="s">
        <v>954</v>
      </c>
      <c r="C263" s="1">
        <v>43001</v>
      </c>
      <c r="D263" s="1">
        <v>43007</v>
      </c>
      <c r="E263">
        <v>1</v>
      </c>
      <c r="F263" t="s">
        <v>526</v>
      </c>
      <c r="G263" t="s">
        <v>956</v>
      </c>
      <c r="H263">
        <v>2</v>
      </c>
      <c r="I263">
        <v>1</v>
      </c>
      <c r="J263">
        <v>0.2</v>
      </c>
      <c r="K263" t="b">
        <v>0</v>
      </c>
    </row>
    <row r="264" spans="1:11" x14ac:dyDescent="0.2">
      <c r="A264">
        <v>363</v>
      </c>
      <c r="B264" t="s">
        <v>957</v>
      </c>
      <c r="C264" s="1">
        <v>43087</v>
      </c>
      <c r="D264" s="1">
        <v>43091</v>
      </c>
      <c r="E264">
        <v>4</v>
      </c>
      <c r="F264" t="s">
        <v>470</v>
      </c>
      <c r="G264" t="s">
        <v>958</v>
      </c>
      <c r="H264">
        <v>7</v>
      </c>
      <c r="I264">
        <v>1</v>
      </c>
      <c r="J264">
        <v>0.2</v>
      </c>
      <c r="K264" t="b">
        <v>1</v>
      </c>
    </row>
    <row r="265" spans="1:11" x14ac:dyDescent="0.2">
      <c r="A265">
        <v>364</v>
      </c>
      <c r="B265" t="s">
        <v>959</v>
      </c>
      <c r="C265" s="1">
        <v>41894</v>
      </c>
      <c r="D265" s="1">
        <v>41899</v>
      </c>
      <c r="E265">
        <v>4</v>
      </c>
      <c r="F265" t="s">
        <v>576</v>
      </c>
      <c r="G265" t="s">
        <v>960</v>
      </c>
      <c r="H265">
        <v>7</v>
      </c>
      <c r="I265">
        <v>1</v>
      </c>
      <c r="J265">
        <v>0.7</v>
      </c>
      <c r="K265" t="b">
        <v>0</v>
      </c>
    </row>
    <row r="266" spans="1:11" x14ac:dyDescent="0.2">
      <c r="A266">
        <v>365</v>
      </c>
      <c r="B266" t="s">
        <v>961</v>
      </c>
      <c r="C266" s="1">
        <v>42449</v>
      </c>
      <c r="D266" s="1">
        <v>42454</v>
      </c>
      <c r="E266">
        <v>4</v>
      </c>
      <c r="F266" t="s">
        <v>470</v>
      </c>
      <c r="G266" t="s">
        <v>962</v>
      </c>
      <c r="H266">
        <v>7</v>
      </c>
      <c r="I266">
        <v>0</v>
      </c>
      <c r="J266">
        <v>0</v>
      </c>
      <c r="K266" t="b">
        <v>0</v>
      </c>
    </row>
    <row r="267" spans="1:11" hidden="1" x14ac:dyDescent="0.2">
      <c r="A267">
        <v>366</v>
      </c>
      <c r="B267" t="s">
        <v>963</v>
      </c>
      <c r="C267" s="1">
        <v>43044</v>
      </c>
      <c r="D267" s="1">
        <v>43046</v>
      </c>
      <c r="E267">
        <v>3</v>
      </c>
      <c r="F267" t="s">
        <v>484</v>
      </c>
      <c r="G267" t="s">
        <v>713</v>
      </c>
      <c r="H267">
        <v>5</v>
      </c>
      <c r="I267">
        <v>1</v>
      </c>
      <c r="J267">
        <v>0.8</v>
      </c>
      <c r="K267" t="b">
        <v>0</v>
      </c>
    </row>
    <row r="268" spans="1:11" x14ac:dyDescent="0.2">
      <c r="A268">
        <v>367</v>
      </c>
      <c r="B268" t="s">
        <v>964</v>
      </c>
      <c r="C268" s="1">
        <v>42730</v>
      </c>
      <c r="D268" s="1">
        <v>42735</v>
      </c>
      <c r="E268">
        <v>4</v>
      </c>
      <c r="F268" t="s">
        <v>532</v>
      </c>
      <c r="G268" t="s">
        <v>956</v>
      </c>
      <c r="H268">
        <v>3</v>
      </c>
      <c r="I268">
        <v>0</v>
      </c>
      <c r="J268">
        <v>0</v>
      </c>
      <c r="K268" t="b">
        <v>0</v>
      </c>
    </row>
    <row r="269" spans="1:11" x14ac:dyDescent="0.2">
      <c r="A269">
        <v>368</v>
      </c>
      <c r="B269" t="s">
        <v>965</v>
      </c>
      <c r="C269" s="1">
        <v>42496</v>
      </c>
      <c r="D269" s="1">
        <v>42500</v>
      </c>
      <c r="E269">
        <v>4</v>
      </c>
      <c r="F269" t="s">
        <v>442</v>
      </c>
      <c r="G269" t="s">
        <v>657</v>
      </c>
      <c r="H269">
        <v>2</v>
      </c>
      <c r="I269">
        <v>1</v>
      </c>
      <c r="J269">
        <v>0.8</v>
      </c>
      <c r="K269" t="b">
        <v>1</v>
      </c>
    </row>
    <row r="270" spans="1:11" x14ac:dyDescent="0.2">
      <c r="A270">
        <v>369</v>
      </c>
      <c r="B270" t="s">
        <v>965</v>
      </c>
      <c r="C270" s="1">
        <v>42496</v>
      </c>
      <c r="D270" s="1">
        <v>42500</v>
      </c>
      <c r="E270">
        <v>4</v>
      </c>
      <c r="F270" t="s">
        <v>442</v>
      </c>
      <c r="G270" t="s">
        <v>966</v>
      </c>
      <c r="H270">
        <v>2</v>
      </c>
      <c r="I270">
        <v>1</v>
      </c>
      <c r="J270">
        <v>0.2</v>
      </c>
      <c r="K270" t="b">
        <v>0</v>
      </c>
    </row>
    <row r="271" spans="1:11" x14ac:dyDescent="0.2">
      <c r="A271">
        <v>370</v>
      </c>
      <c r="B271" t="s">
        <v>967</v>
      </c>
      <c r="C271" s="1">
        <v>43074</v>
      </c>
      <c r="D271" s="1">
        <v>43078</v>
      </c>
      <c r="E271">
        <v>4</v>
      </c>
      <c r="F271" t="s">
        <v>574</v>
      </c>
      <c r="G271" t="s">
        <v>968</v>
      </c>
      <c r="H271">
        <v>3</v>
      </c>
      <c r="I271">
        <v>1</v>
      </c>
      <c r="J271">
        <v>0.2</v>
      </c>
      <c r="K271" t="b">
        <v>0</v>
      </c>
    </row>
    <row r="272" spans="1:11" x14ac:dyDescent="0.2">
      <c r="A272">
        <v>371</v>
      </c>
      <c r="B272" t="s">
        <v>967</v>
      </c>
      <c r="C272" s="1">
        <v>43074</v>
      </c>
      <c r="D272" s="1">
        <v>43078</v>
      </c>
      <c r="E272">
        <v>4</v>
      </c>
      <c r="F272" t="s">
        <v>574</v>
      </c>
      <c r="G272" t="s">
        <v>969</v>
      </c>
      <c r="H272">
        <v>6</v>
      </c>
      <c r="I272">
        <v>1</v>
      </c>
      <c r="J272">
        <v>0.2</v>
      </c>
      <c r="K272" t="b">
        <v>0</v>
      </c>
    </row>
    <row r="273" spans="1:11" x14ac:dyDescent="0.2">
      <c r="A273">
        <v>372</v>
      </c>
      <c r="B273" t="s">
        <v>970</v>
      </c>
      <c r="C273" s="1">
        <v>42588</v>
      </c>
      <c r="D273" s="1">
        <v>42589</v>
      </c>
      <c r="E273">
        <v>4</v>
      </c>
      <c r="F273" t="s">
        <v>494</v>
      </c>
      <c r="G273" t="s">
        <v>971</v>
      </c>
      <c r="H273">
        <v>2</v>
      </c>
      <c r="I273">
        <v>0</v>
      </c>
      <c r="J273">
        <v>0</v>
      </c>
      <c r="K273" t="b">
        <v>0</v>
      </c>
    </row>
    <row r="274" spans="1:11" x14ac:dyDescent="0.2">
      <c r="A274">
        <v>373</v>
      </c>
      <c r="B274" t="s">
        <v>972</v>
      </c>
      <c r="C274" s="1">
        <v>42420</v>
      </c>
      <c r="D274" s="1">
        <v>42427</v>
      </c>
      <c r="E274">
        <v>4</v>
      </c>
      <c r="F274" t="s">
        <v>487</v>
      </c>
      <c r="G274" t="s">
        <v>973</v>
      </c>
      <c r="H274">
        <v>2</v>
      </c>
      <c r="I274">
        <v>1</v>
      </c>
      <c r="J274">
        <v>0.2</v>
      </c>
      <c r="K274" t="b">
        <v>0</v>
      </c>
    </row>
    <row r="275" spans="1:11" hidden="1" x14ac:dyDescent="0.2">
      <c r="A275">
        <v>374</v>
      </c>
      <c r="B275" t="s">
        <v>974</v>
      </c>
      <c r="C275" s="1">
        <v>42994</v>
      </c>
      <c r="D275" s="1">
        <v>42996</v>
      </c>
      <c r="E275">
        <v>2</v>
      </c>
      <c r="F275" t="s">
        <v>540</v>
      </c>
      <c r="G275" t="s">
        <v>975</v>
      </c>
      <c r="H275">
        <v>3</v>
      </c>
      <c r="I275">
        <v>1</v>
      </c>
      <c r="J275">
        <v>0.2</v>
      </c>
      <c r="K275" t="b">
        <v>1</v>
      </c>
    </row>
    <row r="276" spans="1:11" hidden="1" x14ac:dyDescent="0.2">
      <c r="A276">
        <v>375</v>
      </c>
      <c r="B276" t="s">
        <v>974</v>
      </c>
      <c r="C276" s="1">
        <v>42994</v>
      </c>
      <c r="D276" s="1">
        <v>42996</v>
      </c>
      <c r="E276">
        <v>2</v>
      </c>
      <c r="F276" t="s">
        <v>540</v>
      </c>
      <c r="G276" t="s">
        <v>976</v>
      </c>
      <c r="H276">
        <v>3</v>
      </c>
      <c r="I276">
        <v>1</v>
      </c>
      <c r="J276">
        <v>0.2</v>
      </c>
      <c r="K276" t="b">
        <v>0</v>
      </c>
    </row>
    <row r="277" spans="1:11" hidden="1" x14ac:dyDescent="0.2">
      <c r="A277">
        <v>376</v>
      </c>
      <c r="B277" t="s">
        <v>974</v>
      </c>
      <c r="C277" s="1">
        <v>42994</v>
      </c>
      <c r="D277" s="1">
        <v>42996</v>
      </c>
      <c r="E277">
        <v>2</v>
      </c>
      <c r="F277" t="s">
        <v>540</v>
      </c>
      <c r="G277" t="s">
        <v>831</v>
      </c>
      <c r="H277">
        <v>2</v>
      </c>
      <c r="I277">
        <v>1</v>
      </c>
      <c r="J277">
        <v>0.7</v>
      </c>
      <c r="K277" t="b">
        <v>0</v>
      </c>
    </row>
    <row r="278" spans="1:11" hidden="1" x14ac:dyDescent="0.2">
      <c r="A278">
        <v>377</v>
      </c>
      <c r="B278" t="s">
        <v>974</v>
      </c>
      <c r="C278" s="1">
        <v>42994</v>
      </c>
      <c r="D278" s="1">
        <v>42996</v>
      </c>
      <c r="E278">
        <v>2</v>
      </c>
      <c r="F278" t="s">
        <v>540</v>
      </c>
      <c r="G278" t="s">
        <v>808</v>
      </c>
      <c r="H278">
        <v>2</v>
      </c>
      <c r="I278">
        <v>1</v>
      </c>
      <c r="J278">
        <v>0.7</v>
      </c>
      <c r="K278" t="b">
        <v>0</v>
      </c>
    </row>
    <row r="279" spans="1:11" hidden="1" x14ac:dyDescent="0.2">
      <c r="A279">
        <v>378</v>
      </c>
      <c r="B279" t="s">
        <v>974</v>
      </c>
      <c r="C279" s="1">
        <v>42994</v>
      </c>
      <c r="D279" s="1">
        <v>42996</v>
      </c>
      <c r="E279">
        <v>2</v>
      </c>
      <c r="F279" t="s">
        <v>540</v>
      </c>
      <c r="G279" t="s">
        <v>977</v>
      </c>
      <c r="H279">
        <v>2</v>
      </c>
      <c r="I279">
        <v>1</v>
      </c>
      <c r="J279">
        <v>0.2</v>
      </c>
      <c r="K279" t="b">
        <v>0</v>
      </c>
    </row>
    <row r="280" spans="1:11" x14ac:dyDescent="0.2">
      <c r="A280">
        <v>379</v>
      </c>
      <c r="B280" t="s">
        <v>978</v>
      </c>
      <c r="C280" s="1">
        <v>42981</v>
      </c>
      <c r="D280" s="1">
        <v>42986</v>
      </c>
      <c r="E280">
        <v>4</v>
      </c>
      <c r="F280" t="s">
        <v>450</v>
      </c>
      <c r="G280" t="s">
        <v>979</v>
      </c>
      <c r="H280">
        <v>2</v>
      </c>
      <c r="I280">
        <v>0</v>
      </c>
      <c r="J280">
        <v>0</v>
      </c>
      <c r="K280" t="b">
        <v>0</v>
      </c>
    </row>
    <row r="281" spans="1:11" hidden="1" x14ac:dyDescent="0.2">
      <c r="A281">
        <v>380</v>
      </c>
      <c r="B281" t="s">
        <v>980</v>
      </c>
      <c r="C281" s="1">
        <v>43088</v>
      </c>
      <c r="D281" s="1">
        <v>43090</v>
      </c>
      <c r="E281">
        <v>2</v>
      </c>
      <c r="F281" t="s">
        <v>424</v>
      </c>
      <c r="G281" t="s">
        <v>981</v>
      </c>
      <c r="H281">
        <v>2</v>
      </c>
      <c r="I281">
        <v>0</v>
      </c>
      <c r="J281">
        <v>0</v>
      </c>
      <c r="K281" t="b">
        <v>0</v>
      </c>
    </row>
    <row r="282" spans="1:11" x14ac:dyDescent="0.2">
      <c r="A282">
        <v>381</v>
      </c>
      <c r="B282" t="s">
        <v>982</v>
      </c>
      <c r="C282" s="1">
        <v>42341</v>
      </c>
      <c r="D282" s="1">
        <v>42346</v>
      </c>
      <c r="E282">
        <v>4</v>
      </c>
      <c r="F282" t="s">
        <v>413</v>
      </c>
      <c r="G282" t="s">
        <v>983</v>
      </c>
      <c r="H282">
        <v>2</v>
      </c>
      <c r="I282">
        <v>1</v>
      </c>
      <c r="J282">
        <v>0.2</v>
      </c>
      <c r="K282" t="b">
        <v>0</v>
      </c>
    </row>
    <row r="283" spans="1:11" x14ac:dyDescent="0.2">
      <c r="A283">
        <v>382</v>
      </c>
      <c r="B283" t="s">
        <v>982</v>
      </c>
      <c r="C283" s="1">
        <v>42341</v>
      </c>
      <c r="D283" s="1">
        <v>42346</v>
      </c>
      <c r="E283">
        <v>4</v>
      </c>
      <c r="F283" t="s">
        <v>413</v>
      </c>
      <c r="G283" t="s">
        <v>764</v>
      </c>
      <c r="H283">
        <v>2</v>
      </c>
      <c r="I283">
        <v>1</v>
      </c>
      <c r="J283">
        <v>0.2</v>
      </c>
      <c r="K283" t="b">
        <v>0</v>
      </c>
    </row>
    <row r="284" spans="1:11" hidden="1" x14ac:dyDescent="0.2">
      <c r="A284">
        <v>383</v>
      </c>
      <c r="B284" t="s">
        <v>984</v>
      </c>
      <c r="C284" s="1">
        <v>42978</v>
      </c>
      <c r="D284" s="1">
        <v>42983</v>
      </c>
      <c r="E284">
        <v>3</v>
      </c>
      <c r="F284" t="s">
        <v>510</v>
      </c>
      <c r="G284" t="s">
        <v>985</v>
      </c>
      <c r="H284">
        <v>9</v>
      </c>
      <c r="I284">
        <v>0</v>
      </c>
      <c r="J284">
        <v>0</v>
      </c>
      <c r="K284" t="b">
        <v>0</v>
      </c>
    </row>
    <row r="285" spans="1:11" hidden="1" x14ac:dyDescent="0.2">
      <c r="A285">
        <v>384</v>
      </c>
      <c r="B285" t="s">
        <v>986</v>
      </c>
      <c r="C285" s="1">
        <v>43052</v>
      </c>
      <c r="D285" s="1">
        <v>43057</v>
      </c>
      <c r="E285">
        <v>3</v>
      </c>
      <c r="F285" t="s">
        <v>437</v>
      </c>
      <c r="G285" t="s">
        <v>987</v>
      </c>
      <c r="H285">
        <v>4</v>
      </c>
      <c r="I285">
        <v>0</v>
      </c>
      <c r="J285">
        <v>0</v>
      </c>
      <c r="K285" t="b">
        <v>0</v>
      </c>
    </row>
    <row r="286" spans="1:11" x14ac:dyDescent="0.2">
      <c r="A286">
        <v>385</v>
      </c>
      <c r="B286" t="s">
        <v>988</v>
      </c>
      <c r="C286" s="1">
        <v>43093</v>
      </c>
      <c r="D286" s="1">
        <v>43098</v>
      </c>
      <c r="E286">
        <v>4</v>
      </c>
      <c r="F286" t="s">
        <v>427</v>
      </c>
      <c r="G286" t="s">
        <v>989</v>
      </c>
      <c r="H286">
        <v>1</v>
      </c>
      <c r="I286">
        <v>0</v>
      </c>
      <c r="J286">
        <v>0</v>
      </c>
      <c r="K286" t="b">
        <v>0</v>
      </c>
    </row>
    <row r="287" spans="1:11" x14ac:dyDescent="0.2">
      <c r="A287">
        <v>386</v>
      </c>
      <c r="B287" t="s">
        <v>990</v>
      </c>
      <c r="C287" s="1">
        <v>42724</v>
      </c>
      <c r="D287" s="1">
        <v>42728</v>
      </c>
      <c r="E287">
        <v>4</v>
      </c>
      <c r="F287" t="s">
        <v>414</v>
      </c>
      <c r="G287" t="s">
        <v>991</v>
      </c>
      <c r="H287">
        <v>4</v>
      </c>
      <c r="I287">
        <v>0</v>
      </c>
      <c r="J287">
        <v>0</v>
      </c>
      <c r="K287" t="b">
        <v>0</v>
      </c>
    </row>
    <row r="288" spans="1:11" x14ac:dyDescent="0.2">
      <c r="A288">
        <v>387</v>
      </c>
      <c r="B288" t="s">
        <v>990</v>
      </c>
      <c r="C288" s="1">
        <v>42724</v>
      </c>
      <c r="D288" s="1">
        <v>42728</v>
      </c>
      <c r="E288">
        <v>4</v>
      </c>
      <c r="F288" t="s">
        <v>414</v>
      </c>
      <c r="G288" t="s">
        <v>992</v>
      </c>
      <c r="H288">
        <v>2</v>
      </c>
      <c r="I288">
        <v>0</v>
      </c>
      <c r="J288">
        <v>0</v>
      </c>
      <c r="K288" t="b">
        <v>0</v>
      </c>
    </row>
    <row r="289" spans="1:11" hidden="1" x14ac:dyDescent="0.2">
      <c r="A289">
        <v>388</v>
      </c>
      <c r="B289" t="s">
        <v>993</v>
      </c>
      <c r="C289" s="1">
        <v>41936</v>
      </c>
      <c r="D289" s="1">
        <v>41936</v>
      </c>
      <c r="E289">
        <v>1</v>
      </c>
      <c r="F289" t="s">
        <v>526</v>
      </c>
      <c r="G289" t="s">
        <v>994</v>
      </c>
      <c r="H289">
        <v>3</v>
      </c>
      <c r="I289">
        <v>0</v>
      </c>
      <c r="J289">
        <v>0</v>
      </c>
      <c r="K289" t="b">
        <v>0</v>
      </c>
    </row>
    <row r="290" spans="1:11" x14ac:dyDescent="0.2">
      <c r="A290">
        <v>389</v>
      </c>
      <c r="B290" t="s">
        <v>995</v>
      </c>
      <c r="C290" s="1">
        <v>42320</v>
      </c>
      <c r="D290" s="1">
        <v>42327</v>
      </c>
      <c r="E290">
        <v>4</v>
      </c>
      <c r="F290" t="s">
        <v>494</v>
      </c>
      <c r="G290" t="s">
        <v>662</v>
      </c>
      <c r="H290">
        <v>5</v>
      </c>
      <c r="I290">
        <v>1</v>
      </c>
      <c r="J290">
        <v>0.2</v>
      </c>
      <c r="K290" t="b">
        <v>0</v>
      </c>
    </row>
    <row r="291" spans="1:11" x14ac:dyDescent="0.2">
      <c r="A291">
        <v>390</v>
      </c>
      <c r="B291" t="s">
        <v>995</v>
      </c>
      <c r="C291" s="1">
        <v>42320</v>
      </c>
      <c r="D291" s="1">
        <v>42327</v>
      </c>
      <c r="E291">
        <v>4</v>
      </c>
      <c r="F291" t="s">
        <v>494</v>
      </c>
      <c r="G291" t="s">
        <v>996</v>
      </c>
      <c r="H291">
        <v>2</v>
      </c>
      <c r="I291">
        <v>1</v>
      </c>
      <c r="J291">
        <v>0.7</v>
      </c>
      <c r="K291" t="b">
        <v>0</v>
      </c>
    </row>
    <row r="292" spans="1:11" x14ac:dyDescent="0.2">
      <c r="A292">
        <v>391</v>
      </c>
      <c r="B292" t="s">
        <v>995</v>
      </c>
      <c r="C292" s="1">
        <v>42320</v>
      </c>
      <c r="D292" s="1">
        <v>42327</v>
      </c>
      <c r="E292">
        <v>4</v>
      </c>
      <c r="F292" t="s">
        <v>494</v>
      </c>
      <c r="G292" t="s">
        <v>997</v>
      </c>
      <c r="H292">
        <v>3</v>
      </c>
      <c r="I292">
        <v>1</v>
      </c>
      <c r="J292">
        <v>0.7</v>
      </c>
      <c r="K292" t="b">
        <v>0</v>
      </c>
    </row>
    <row r="293" spans="1:11" x14ac:dyDescent="0.2">
      <c r="A293">
        <v>392</v>
      </c>
      <c r="B293" t="s">
        <v>995</v>
      </c>
      <c r="C293" s="1">
        <v>42320</v>
      </c>
      <c r="D293" s="1">
        <v>42327</v>
      </c>
      <c r="E293">
        <v>4</v>
      </c>
      <c r="F293" t="s">
        <v>494</v>
      </c>
      <c r="G293" t="s">
        <v>998</v>
      </c>
      <c r="H293">
        <v>5</v>
      </c>
      <c r="I293">
        <v>1</v>
      </c>
      <c r="J293">
        <v>0.2</v>
      </c>
      <c r="K293" t="b">
        <v>0</v>
      </c>
    </row>
    <row r="294" spans="1:11" x14ac:dyDescent="0.2">
      <c r="A294">
        <v>393</v>
      </c>
      <c r="B294" t="s">
        <v>995</v>
      </c>
      <c r="C294" s="1">
        <v>42320</v>
      </c>
      <c r="D294" s="1">
        <v>42327</v>
      </c>
      <c r="E294">
        <v>4</v>
      </c>
      <c r="F294" t="s">
        <v>494</v>
      </c>
      <c r="G294" t="s">
        <v>999</v>
      </c>
      <c r="H294">
        <v>1</v>
      </c>
      <c r="I294">
        <v>1</v>
      </c>
      <c r="J294">
        <v>0.2</v>
      </c>
      <c r="K294" t="b">
        <v>0</v>
      </c>
    </row>
    <row r="295" spans="1:11" x14ac:dyDescent="0.2">
      <c r="A295">
        <v>394</v>
      </c>
      <c r="B295" t="s">
        <v>995</v>
      </c>
      <c r="C295" s="1">
        <v>42320</v>
      </c>
      <c r="D295" s="1">
        <v>42327</v>
      </c>
      <c r="E295">
        <v>4</v>
      </c>
      <c r="F295" t="s">
        <v>494</v>
      </c>
      <c r="G295" t="s">
        <v>1000</v>
      </c>
      <c r="H295">
        <v>3</v>
      </c>
      <c r="I295">
        <v>1</v>
      </c>
      <c r="J295">
        <v>0.2</v>
      </c>
      <c r="K295" t="b">
        <v>0</v>
      </c>
    </row>
    <row r="296" spans="1:11" x14ac:dyDescent="0.2">
      <c r="A296">
        <v>395</v>
      </c>
      <c r="B296" t="s">
        <v>1001</v>
      </c>
      <c r="C296" s="1">
        <v>43025</v>
      </c>
      <c r="D296" s="1">
        <v>43027</v>
      </c>
      <c r="E296">
        <v>4</v>
      </c>
      <c r="F296" t="s">
        <v>512</v>
      </c>
      <c r="G296" t="s">
        <v>1002</v>
      </c>
      <c r="H296">
        <v>4</v>
      </c>
      <c r="I296">
        <v>0</v>
      </c>
      <c r="J296">
        <v>0</v>
      </c>
      <c r="K296" t="b">
        <v>0</v>
      </c>
    </row>
    <row r="297" spans="1:11" hidden="1" x14ac:dyDescent="0.2">
      <c r="A297">
        <v>396</v>
      </c>
      <c r="B297" t="s">
        <v>1003</v>
      </c>
      <c r="C297" s="1">
        <v>42891</v>
      </c>
      <c r="D297" s="1">
        <v>42892</v>
      </c>
      <c r="E297">
        <v>2</v>
      </c>
      <c r="F297" t="s">
        <v>397</v>
      </c>
      <c r="G297" t="s">
        <v>1004</v>
      </c>
      <c r="H297">
        <v>3</v>
      </c>
      <c r="I297">
        <v>1</v>
      </c>
      <c r="J297">
        <v>0.2</v>
      </c>
      <c r="K297" t="b">
        <v>0</v>
      </c>
    </row>
    <row r="298" spans="1:11" x14ac:dyDescent="0.2">
      <c r="A298">
        <v>397</v>
      </c>
      <c r="B298" t="s">
        <v>1005</v>
      </c>
      <c r="C298" s="1">
        <v>42980</v>
      </c>
      <c r="D298" s="1">
        <v>42986</v>
      </c>
      <c r="E298">
        <v>4</v>
      </c>
      <c r="F298" t="s">
        <v>561</v>
      </c>
      <c r="G298" t="s">
        <v>1006</v>
      </c>
      <c r="H298">
        <v>5</v>
      </c>
      <c r="I298">
        <v>0</v>
      </c>
      <c r="J298">
        <v>0</v>
      </c>
      <c r="K298" t="b">
        <v>0</v>
      </c>
    </row>
    <row r="299" spans="1:11" x14ac:dyDescent="0.2">
      <c r="A299">
        <v>398</v>
      </c>
      <c r="B299" t="s">
        <v>1005</v>
      </c>
      <c r="C299" s="1">
        <v>42980</v>
      </c>
      <c r="D299" s="1">
        <v>42986</v>
      </c>
      <c r="E299">
        <v>4</v>
      </c>
      <c r="F299" t="s">
        <v>561</v>
      </c>
      <c r="G299" t="s">
        <v>1007</v>
      </c>
      <c r="H299">
        <v>5</v>
      </c>
      <c r="I299">
        <v>0</v>
      </c>
      <c r="J299">
        <v>0</v>
      </c>
      <c r="K299" t="b">
        <v>0</v>
      </c>
    </row>
    <row r="300" spans="1:11" x14ac:dyDescent="0.2">
      <c r="A300">
        <v>399</v>
      </c>
      <c r="B300" t="s">
        <v>1005</v>
      </c>
      <c r="C300" s="1">
        <v>42980</v>
      </c>
      <c r="D300" s="1">
        <v>42986</v>
      </c>
      <c r="E300">
        <v>4</v>
      </c>
      <c r="F300" t="s">
        <v>561</v>
      </c>
      <c r="G300" t="s">
        <v>1008</v>
      </c>
      <c r="H300">
        <v>2</v>
      </c>
      <c r="I300">
        <v>1</v>
      </c>
      <c r="J300">
        <v>0.2</v>
      </c>
      <c r="K300" t="b">
        <v>0</v>
      </c>
    </row>
    <row r="301" spans="1:11" x14ac:dyDescent="0.2">
      <c r="A301">
        <v>400</v>
      </c>
      <c r="B301" t="s">
        <v>1009</v>
      </c>
      <c r="C301" s="1">
        <v>43057</v>
      </c>
      <c r="D301" s="1">
        <v>43062</v>
      </c>
      <c r="E301">
        <v>4</v>
      </c>
      <c r="F301" t="s">
        <v>443</v>
      </c>
      <c r="G301" t="s">
        <v>1010</v>
      </c>
      <c r="H301">
        <v>1</v>
      </c>
      <c r="I301">
        <v>1</v>
      </c>
      <c r="J301">
        <v>0.2</v>
      </c>
      <c r="K301" t="b">
        <v>0</v>
      </c>
    </row>
    <row r="302" spans="1:11" x14ac:dyDescent="0.2">
      <c r="A302">
        <v>401</v>
      </c>
      <c r="B302" t="s">
        <v>1009</v>
      </c>
      <c r="C302" s="1">
        <v>43057</v>
      </c>
      <c r="D302" s="1">
        <v>43062</v>
      </c>
      <c r="E302">
        <v>4</v>
      </c>
      <c r="F302" t="s">
        <v>443</v>
      </c>
      <c r="G302" t="s">
        <v>922</v>
      </c>
      <c r="H302">
        <v>1</v>
      </c>
      <c r="I302">
        <v>1</v>
      </c>
      <c r="J302">
        <v>0.2</v>
      </c>
      <c r="K302" t="b">
        <v>0</v>
      </c>
    </row>
    <row r="303" spans="1:11" hidden="1" x14ac:dyDescent="0.2">
      <c r="A303">
        <v>402</v>
      </c>
      <c r="B303" t="s">
        <v>1011</v>
      </c>
      <c r="C303" s="1">
        <v>41968</v>
      </c>
      <c r="D303" s="1">
        <v>41970</v>
      </c>
      <c r="E303">
        <v>3</v>
      </c>
      <c r="F303" t="s">
        <v>533</v>
      </c>
      <c r="G303" t="s">
        <v>1012</v>
      </c>
      <c r="H303">
        <v>2</v>
      </c>
      <c r="I303">
        <v>0</v>
      </c>
      <c r="J303">
        <v>0</v>
      </c>
      <c r="K303" t="b">
        <v>0</v>
      </c>
    </row>
    <row r="304" spans="1:11" x14ac:dyDescent="0.2">
      <c r="A304">
        <v>403</v>
      </c>
      <c r="B304" t="s">
        <v>1013</v>
      </c>
      <c r="C304" s="1">
        <v>41812</v>
      </c>
      <c r="D304" s="1">
        <v>41817</v>
      </c>
      <c r="E304">
        <v>4</v>
      </c>
      <c r="F304" t="s">
        <v>64</v>
      </c>
      <c r="G304" t="s">
        <v>1014</v>
      </c>
      <c r="H304">
        <v>3</v>
      </c>
      <c r="I304">
        <v>1</v>
      </c>
      <c r="J304">
        <v>0.3</v>
      </c>
      <c r="K304" t="b">
        <v>0</v>
      </c>
    </row>
    <row r="305" spans="1:11" x14ac:dyDescent="0.2">
      <c r="A305">
        <v>404</v>
      </c>
      <c r="B305" t="s">
        <v>1013</v>
      </c>
      <c r="C305" s="1">
        <v>41812</v>
      </c>
      <c r="D305" s="1">
        <v>41817</v>
      </c>
      <c r="E305">
        <v>4</v>
      </c>
      <c r="F305" t="s">
        <v>64</v>
      </c>
      <c r="G305" t="s">
        <v>1015</v>
      </c>
      <c r="H305">
        <v>3</v>
      </c>
      <c r="I305">
        <v>1</v>
      </c>
      <c r="J305">
        <v>0.4</v>
      </c>
      <c r="K305" t="b">
        <v>1</v>
      </c>
    </row>
    <row r="306" spans="1:11" x14ac:dyDescent="0.2">
      <c r="A306">
        <v>405</v>
      </c>
      <c r="B306" t="s">
        <v>1013</v>
      </c>
      <c r="C306" s="1">
        <v>41812</v>
      </c>
      <c r="D306" s="1">
        <v>41817</v>
      </c>
      <c r="E306">
        <v>4</v>
      </c>
      <c r="F306" t="s">
        <v>64</v>
      </c>
      <c r="G306" t="s">
        <v>1016</v>
      </c>
      <c r="H306">
        <v>5</v>
      </c>
      <c r="I306">
        <v>1</v>
      </c>
      <c r="J306">
        <v>0.3</v>
      </c>
      <c r="K306" t="b">
        <v>0</v>
      </c>
    </row>
    <row r="307" spans="1:11" x14ac:dyDescent="0.2">
      <c r="A307">
        <v>406</v>
      </c>
      <c r="B307" t="s">
        <v>1017</v>
      </c>
      <c r="C307" s="1">
        <v>42002</v>
      </c>
      <c r="D307" s="1">
        <v>42006</v>
      </c>
      <c r="E307">
        <v>4</v>
      </c>
      <c r="F307" t="s">
        <v>507</v>
      </c>
      <c r="G307" t="s">
        <v>1018</v>
      </c>
      <c r="H307">
        <v>5</v>
      </c>
      <c r="I307">
        <v>0</v>
      </c>
      <c r="J307">
        <v>0</v>
      </c>
      <c r="K307" t="b">
        <v>0</v>
      </c>
    </row>
    <row r="308" spans="1:11" x14ac:dyDescent="0.2">
      <c r="A308">
        <v>407</v>
      </c>
      <c r="B308" t="s">
        <v>1017</v>
      </c>
      <c r="C308" s="1">
        <v>42002</v>
      </c>
      <c r="D308" s="1">
        <v>42006</v>
      </c>
      <c r="E308">
        <v>4</v>
      </c>
      <c r="F308" t="s">
        <v>507</v>
      </c>
      <c r="G308" t="s">
        <v>1019</v>
      </c>
      <c r="H308">
        <v>4</v>
      </c>
      <c r="I308">
        <v>0</v>
      </c>
      <c r="J308">
        <v>0</v>
      </c>
      <c r="K308" t="b">
        <v>0</v>
      </c>
    </row>
    <row r="309" spans="1:11" x14ac:dyDescent="0.2">
      <c r="A309">
        <v>408</v>
      </c>
      <c r="B309" t="s">
        <v>1017</v>
      </c>
      <c r="C309" s="1">
        <v>42002</v>
      </c>
      <c r="D309" s="1">
        <v>42006</v>
      </c>
      <c r="E309">
        <v>4</v>
      </c>
      <c r="F309" t="s">
        <v>507</v>
      </c>
      <c r="G309" t="s">
        <v>748</v>
      </c>
      <c r="H309">
        <v>6</v>
      </c>
      <c r="I309">
        <v>1</v>
      </c>
      <c r="J309">
        <v>0.2</v>
      </c>
      <c r="K309" t="b">
        <v>0</v>
      </c>
    </row>
    <row r="310" spans="1:11" x14ac:dyDescent="0.2">
      <c r="A310">
        <v>409</v>
      </c>
      <c r="B310" t="s">
        <v>1017</v>
      </c>
      <c r="C310" s="1">
        <v>42002</v>
      </c>
      <c r="D310" s="1">
        <v>42006</v>
      </c>
      <c r="E310">
        <v>4</v>
      </c>
      <c r="F310" t="s">
        <v>507</v>
      </c>
      <c r="G310" t="s">
        <v>1020</v>
      </c>
      <c r="H310">
        <v>3</v>
      </c>
      <c r="I310">
        <v>1</v>
      </c>
      <c r="J310">
        <v>0.2</v>
      </c>
      <c r="K310" t="b">
        <v>0</v>
      </c>
    </row>
    <row r="311" spans="1:11" x14ac:dyDescent="0.2">
      <c r="A311">
        <v>410</v>
      </c>
      <c r="B311" t="s">
        <v>1017</v>
      </c>
      <c r="C311" s="1">
        <v>42002</v>
      </c>
      <c r="D311" s="1">
        <v>42006</v>
      </c>
      <c r="E311">
        <v>4</v>
      </c>
      <c r="F311" t="s">
        <v>507</v>
      </c>
      <c r="G311" t="s">
        <v>1021</v>
      </c>
      <c r="H311">
        <v>3</v>
      </c>
      <c r="I311">
        <v>1</v>
      </c>
      <c r="J311">
        <v>0.2</v>
      </c>
      <c r="K311" t="b">
        <v>0</v>
      </c>
    </row>
    <row r="312" spans="1:11" x14ac:dyDescent="0.2">
      <c r="A312">
        <v>411</v>
      </c>
      <c r="B312" t="s">
        <v>1017</v>
      </c>
      <c r="C312" s="1">
        <v>42002</v>
      </c>
      <c r="D312" s="1">
        <v>42006</v>
      </c>
      <c r="E312">
        <v>4</v>
      </c>
      <c r="F312" t="s">
        <v>507</v>
      </c>
      <c r="G312" t="s">
        <v>1022</v>
      </c>
      <c r="H312">
        <v>9</v>
      </c>
      <c r="I312">
        <v>0</v>
      </c>
      <c r="J312">
        <v>0</v>
      </c>
      <c r="K312" t="b">
        <v>0</v>
      </c>
    </row>
    <row r="313" spans="1:11" x14ac:dyDescent="0.2">
      <c r="A313">
        <v>412</v>
      </c>
      <c r="B313" t="s">
        <v>1017</v>
      </c>
      <c r="C313" s="1">
        <v>42002</v>
      </c>
      <c r="D313" s="1">
        <v>42006</v>
      </c>
      <c r="E313">
        <v>4</v>
      </c>
      <c r="F313" t="s">
        <v>507</v>
      </c>
      <c r="G313" t="s">
        <v>1023</v>
      </c>
      <c r="H313">
        <v>6</v>
      </c>
      <c r="I313">
        <v>0</v>
      </c>
      <c r="J313">
        <v>0</v>
      </c>
      <c r="K313" t="b">
        <v>0</v>
      </c>
    </row>
    <row r="314" spans="1:11" hidden="1" x14ac:dyDescent="0.2">
      <c r="A314">
        <v>413</v>
      </c>
      <c r="B314" t="s">
        <v>1024</v>
      </c>
      <c r="C314" s="1">
        <v>42698</v>
      </c>
      <c r="D314" s="1">
        <v>42701</v>
      </c>
      <c r="E314">
        <v>2</v>
      </c>
      <c r="F314" t="s">
        <v>425</v>
      </c>
      <c r="G314" t="s">
        <v>1025</v>
      </c>
      <c r="H314">
        <v>5</v>
      </c>
      <c r="I314">
        <v>1</v>
      </c>
      <c r="J314">
        <v>0.2</v>
      </c>
      <c r="K314" t="b">
        <v>0</v>
      </c>
    </row>
    <row r="315" spans="1:11" x14ac:dyDescent="0.2">
      <c r="A315">
        <v>414</v>
      </c>
      <c r="B315" t="s">
        <v>1026</v>
      </c>
      <c r="C315" s="1">
        <v>41961</v>
      </c>
      <c r="D315" s="1">
        <v>41968</v>
      </c>
      <c r="E315">
        <v>4</v>
      </c>
      <c r="F315" t="s">
        <v>418</v>
      </c>
      <c r="G315" t="s">
        <v>1027</v>
      </c>
      <c r="H315">
        <v>5</v>
      </c>
      <c r="I315">
        <v>1</v>
      </c>
      <c r="J315">
        <v>0.8</v>
      </c>
      <c r="K315" t="b">
        <v>0</v>
      </c>
    </row>
    <row r="316" spans="1:11" hidden="1" x14ac:dyDescent="0.2">
      <c r="A316">
        <v>415</v>
      </c>
      <c r="B316" t="s">
        <v>1028</v>
      </c>
      <c r="C316" s="1">
        <v>42476</v>
      </c>
      <c r="D316" s="1">
        <v>42483</v>
      </c>
      <c r="E316">
        <v>1</v>
      </c>
      <c r="F316" t="s">
        <v>526</v>
      </c>
      <c r="G316" t="s">
        <v>1029</v>
      </c>
      <c r="H316">
        <v>3</v>
      </c>
      <c r="I316">
        <v>0</v>
      </c>
      <c r="J316">
        <v>0</v>
      </c>
      <c r="K316" t="b">
        <v>1</v>
      </c>
    </row>
    <row r="317" spans="1:11" x14ac:dyDescent="0.2">
      <c r="A317">
        <v>416</v>
      </c>
      <c r="B317" t="s">
        <v>1030</v>
      </c>
      <c r="C317" s="1">
        <v>42869</v>
      </c>
      <c r="D317" s="1">
        <v>42873</v>
      </c>
      <c r="E317">
        <v>4</v>
      </c>
      <c r="F317" t="s">
        <v>490</v>
      </c>
      <c r="G317" t="s">
        <v>1031</v>
      </c>
      <c r="H317">
        <v>3</v>
      </c>
      <c r="I317">
        <v>0</v>
      </c>
      <c r="J317">
        <v>0</v>
      </c>
      <c r="K317" t="b">
        <v>0</v>
      </c>
    </row>
    <row r="318" spans="1:11" x14ac:dyDescent="0.2">
      <c r="A318">
        <v>417</v>
      </c>
      <c r="B318" t="s">
        <v>1030</v>
      </c>
      <c r="C318" s="1">
        <v>42869</v>
      </c>
      <c r="D318" s="1">
        <v>42873</v>
      </c>
      <c r="E318">
        <v>4</v>
      </c>
      <c r="F318" t="s">
        <v>490</v>
      </c>
      <c r="G318" t="s">
        <v>1032</v>
      </c>
      <c r="H318">
        <v>2</v>
      </c>
      <c r="I318">
        <v>0</v>
      </c>
      <c r="J318">
        <v>0</v>
      </c>
      <c r="K318" t="b">
        <v>0</v>
      </c>
    </row>
    <row r="319" spans="1:11" hidden="1" x14ac:dyDescent="0.2">
      <c r="A319">
        <v>418</v>
      </c>
      <c r="B319" t="s">
        <v>1033</v>
      </c>
      <c r="C319" s="1">
        <v>42071</v>
      </c>
      <c r="D319" s="1">
        <v>42076</v>
      </c>
      <c r="E319">
        <v>3</v>
      </c>
      <c r="F319" t="s">
        <v>535</v>
      </c>
      <c r="G319" t="s">
        <v>1034</v>
      </c>
      <c r="H319">
        <v>3</v>
      </c>
      <c r="I319">
        <v>0</v>
      </c>
      <c r="J319">
        <v>0</v>
      </c>
      <c r="K319" t="b">
        <v>0</v>
      </c>
    </row>
    <row r="320" spans="1:11" hidden="1" x14ac:dyDescent="0.2">
      <c r="A320">
        <v>419</v>
      </c>
      <c r="B320" t="s">
        <v>1035</v>
      </c>
      <c r="C320" s="1">
        <v>42709</v>
      </c>
      <c r="D320" s="1">
        <v>42711</v>
      </c>
      <c r="E320">
        <v>2</v>
      </c>
      <c r="F320" t="s">
        <v>450</v>
      </c>
      <c r="G320" t="s">
        <v>1036</v>
      </c>
      <c r="H320">
        <v>1</v>
      </c>
      <c r="I320">
        <v>0</v>
      </c>
      <c r="J320">
        <v>0</v>
      </c>
      <c r="K320" t="b">
        <v>0</v>
      </c>
    </row>
    <row r="321" spans="1:11" hidden="1" x14ac:dyDescent="0.2">
      <c r="A321">
        <v>420</v>
      </c>
      <c r="B321" t="s">
        <v>1037</v>
      </c>
      <c r="C321" s="1">
        <v>41943</v>
      </c>
      <c r="D321" s="1">
        <v>41945</v>
      </c>
      <c r="E321">
        <v>3</v>
      </c>
      <c r="F321" t="s">
        <v>516</v>
      </c>
      <c r="G321" t="s">
        <v>1038</v>
      </c>
      <c r="H321">
        <v>5</v>
      </c>
      <c r="I321">
        <v>0</v>
      </c>
      <c r="J321">
        <v>0</v>
      </c>
      <c r="K321" t="b">
        <v>1</v>
      </c>
    </row>
    <row r="322" spans="1:11" hidden="1" x14ac:dyDescent="0.2">
      <c r="A322">
        <v>421</v>
      </c>
      <c r="B322" t="s">
        <v>1037</v>
      </c>
      <c r="C322" s="1">
        <v>41943</v>
      </c>
      <c r="D322" s="1">
        <v>41945</v>
      </c>
      <c r="E322">
        <v>3</v>
      </c>
      <c r="F322" t="s">
        <v>516</v>
      </c>
      <c r="G322" t="s">
        <v>1039</v>
      </c>
      <c r="H322">
        <v>2</v>
      </c>
      <c r="I322">
        <v>0</v>
      </c>
      <c r="J322">
        <v>0</v>
      </c>
      <c r="K322" t="b">
        <v>0</v>
      </c>
    </row>
    <row r="323" spans="1:11" hidden="1" x14ac:dyDescent="0.2">
      <c r="A323">
        <v>422</v>
      </c>
      <c r="B323" t="s">
        <v>1037</v>
      </c>
      <c r="C323" s="1">
        <v>41943</v>
      </c>
      <c r="D323" s="1">
        <v>41945</v>
      </c>
      <c r="E323">
        <v>3</v>
      </c>
      <c r="F323" t="s">
        <v>516</v>
      </c>
      <c r="G323" t="s">
        <v>1040</v>
      </c>
      <c r="H323">
        <v>2</v>
      </c>
      <c r="I323">
        <v>0</v>
      </c>
      <c r="J323">
        <v>0</v>
      </c>
      <c r="K323" t="b">
        <v>0</v>
      </c>
    </row>
    <row r="324" spans="1:11" hidden="1" x14ac:dyDescent="0.2">
      <c r="A324">
        <v>423</v>
      </c>
      <c r="B324" t="s">
        <v>1037</v>
      </c>
      <c r="C324" s="1">
        <v>41943</v>
      </c>
      <c r="D324" s="1">
        <v>41945</v>
      </c>
      <c r="E324">
        <v>3</v>
      </c>
      <c r="F324" t="s">
        <v>516</v>
      </c>
      <c r="G324" t="s">
        <v>1041</v>
      </c>
      <c r="H324">
        <v>2</v>
      </c>
      <c r="I324">
        <v>0</v>
      </c>
      <c r="J324">
        <v>0</v>
      </c>
      <c r="K324" t="b">
        <v>0</v>
      </c>
    </row>
    <row r="325" spans="1:11" hidden="1" x14ac:dyDescent="0.2">
      <c r="A325">
        <v>424</v>
      </c>
      <c r="B325" t="s">
        <v>1037</v>
      </c>
      <c r="C325" s="1">
        <v>41943</v>
      </c>
      <c r="D325" s="1">
        <v>41945</v>
      </c>
      <c r="E325">
        <v>3</v>
      </c>
      <c r="F325" t="s">
        <v>516</v>
      </c>
      <c r="G325" t="s">
        <v>1042</v>
      </c>
      <c r="H325">
        <v>3</v>
      </c>
      <c r="I325">
        <v>0</v>
      </c>
      <c r="J325">
        <v>0</v>
      </c>
      <c r="K325" t="b">
        <v>0</v>
      </c>
    </row>
    <row r="326" spans="1:11" hidden="1" x14ac:dyDescent="0.2">
      <c r="A326">
        <v>425</v>
      </c>
      <c r="B326" t="s">
        <v>1037</v>
      </c>
      <c r="C326" s="1">
        <v>41943</v>
      </c>
      <c r="D326" s="1">
        <v>41945</v>
      </c>
      <c r="E326">
        <v>3</v>
      </c>
      <c r="F326" t="s">
        <v>516</v>
      </c>
      <c r="G326" t="s">
        <v>1043</v>
      </c>
      <c r="H326">
        <v>5</v>
      </c>
      <c r="I326">
        <v>0</v>
      </c>
      <c r="J326">
        <v>0</v>
      </c>
      <c r="K326" t="b">
        <v>0</v>
      </c>
    </row>
    <row r="327" spans="1:11" hidden="1" x14ac:dyDescent="0.2">
      <c r="A327">
        <v>426</v>
      </c>
      <c r="B327" t="s">
        <v>1037</v>
      </c>
      <c r="C327" s="1">
        <v>41943</v>
      </c>
      <c r="D327" s="1">
        <v>41945</v>
      </c>
      <c r="E327">
        <v>3</v>
      </c>
      <c r="F327" t="s">
        <v>516</v>
      </c>
      <c r="G327" t="s">
        <v>1044</v>
      </c>
      <c r="H327">
        <v>1</v>
      </c>
      <c r="I327">
        <v>1</v>
      </c>
      <c r="J327">
        <v>0.3</v>
      </c>
      <c r="K327" t="b">
        <v>1</v>
      </c>
    </row>
    <row r="328" spans="1:11" x14ac:dyDescent="0.2">
      <c r="A328">
        <v>427</v>
      </c>
      <c r="B328" t="s">
        <v>1045</v>
      </c>
      <c r="C328" s="1">
        <v>43078</v>
      </c>
      <c r="D328" s="1">
        <v>43083</v>
      </c>
      <c r="E328">
        <v>4</v>
      </c>
      <c r="F328" t="s">
        <v>492</v>
      </c>
      <c r="G328" t="s">
        <v>1046</v>
      </c>
      <c r="H328">
        <v>2</v>
      </c>
      <c r="I328">
        <v>1</v>
      </c>
      <c r="J328">
        <v>0.2</v>
      </c>
      <c r="K328" t="b">
        <v>0</v>
      </c>
    </row>
    <row r="329" spans="1:11" x14ac:dyDescent="0.2">
      <c r="A329">
        <v>428</v>
      </c>
      <c r="B329" t="s">
        <v>1047</v>
      </c>
      <c r="C329" s="1">
        <v>42053</v>
      </c>
      <c r="D329" s="1">
        <v>42057</v>
      </c>
      <c r="E329">
        <v>4</v>
      </c>
      <c r="F329" t="s">
        <v>419</v>
      </c>
      <c r="G329" t="s">
        <v>1048</v>
      </c>
      <c r="H329">
        <v>3</v>
      </c>
      <c r="I329">
        <v>0</v>
      </c>
      <c r="J329">
        <v>0</v>
      </c>
      <c r="K329" t="b">
        <v>0</v>
      </c>
    </row>
    <row r="330" spans="1:11" hidden="1" x14ac:dyDescent="0.2">
      <c r="A330">
        <v>429</v>
      </c>
      <c r="B330" t="s">
        <v>1049</v>
      </c>
      <c r="C330" s="1">
        <v>42911</v>
      </c>
      <c r="D330" s="1">
        <v>42915</v>
      </c>
      <c r="E330">
        <v>3</v>
      </c>
      <c r="F330" t="s">
        <v>516</v>
      </c>
      <c r="G330" t="s">
        <v>1050</v>
      </c>
      <c r="H330">
        <v>4</v>
      </c>
      <c r="I330">
        <v>0</v>
      </c>
      <c r="J330">
        <v>0</v>
      </c>
      <c r="K330" t="b">
        <v>0</v>
      </c>
    </row>
    <row r="331" spans="1:11" x14ac:dyDescent="0.2">
      <c r="A331">
        <v>430</v>
      </c>
      <c r="B331" t="s">
        <v>1051</v>
      </c>
      <c r="C331" s="1">
        <v>42300</v>
      </c>
      <c r="D331" s="1">
        <v>42305</v>
      </c>
      <c r="E331">
        <v>4</v>
      </c>
      <c r="F331" t="s">
        <v>453</v>
      </c>
      <c r="G331" t="s">
        <v>1052</v>
      </c>
      <c r="H331">
        <v>1</v>
      </c>
      <c r="I331">
        <v>1</v>
      </c>
      <c r="J331">
        <v>0.2</v>
      </c>
      <c r="K331" t="b">
        <v>0</v>
      </c>
    </row>
    <row r="332" spans="1:11" hidden="1" x14ac:dyDescent="0.2">
      <c r="A332">
        <v>431</v>
      </c>
      <c r="B332" t="s">
        <v>1053</v>
      </c>
      <c r="C332" s="1">
        <v>41993</v>
      </c>
      <c r="D332" s="1">
        <v>41996</v>
      </c>
      <c r="E332">
        <v>2</v>
      </c>
      <c r="F332" t="s">
        <v>398</v>
      </c>
      <c r="G332" t="s">
        <v>1054</v>
      </c>
      <c r="H332">
        <v>1</v>
      </c>
      <c r="I332">
        <v>0</v>
      </c>
      <c r="J332">
        <v>0</v>
      </c>
      <c r="K332" t="b">
        <v>0</v>
      </c>
    </row>
    <row r="333" spans="1:11" hidden="1" x14ac:dyDescent="0.2">
      <c r="A333">
        <v>432</v>
      </c>
      <c r="B333" t="s">
        <v>1053</v>
      </c>
      <c r="C333" s="1">
        <v>41993</v>
      </c>
      <c r="D333" s="1">
        <v>41996</v>
      </c>
      <c r="E333">
        <v>2</v>
      </c>
      <c r="F333" t="s">
        <v>398</v>
      </c>
      <c r="G333" t="s">
        <v>1055</v>
      </c>
      <c r="H333">
        <v>3</v>
      </c>
      <c r="I333">
        <v>0</v>
      </c>
      <c r="J333">
        <v>0</v>
      </c>
      <c r="K333" t="b">
        <v>0</v>
      </c>
    </row>
    <row r="334" spans="1:11" hidden="1" x14ac:dyDescent="0.2">
      <c r="A334">
        <v>433</v>
      </c>
      <c r="B334" t="s">
        <v>1056</v>
      </c>
      <c r="C334" s="1">
        <v>43078</v>
      </c>
      <c r="D334" s="1">
        <v>43082</v>
      </c>
      <c r="E334">
        <v>3</v>
      </c>
      <c r="F334" t="s">
        <v>556</v>
      </c>
      <c r="G334" t="s">
        <v>1057</v>
      </c>
      <c r="H334">
        <v>2</v>
      </c>
      <c r="I334">
        <v>0</v>
      </c>
      <c r="J334">
        <v>0</v>
      </c>
      <c r="K334" t="b">
        <v>0</v>
      </c>
    </row>
    <row r="335" spans="1:11" hidden="1" x14ac:dyDescent="0.2">
      <c r="A335">
        <v>434</v>
      </c>
      <c r="B335" t="s">
        <v>1056</v>
      </c>
      <c r="C335" s="1">
        <v>43078</v>
      </c>
      <c r="D335" s="1">
        <v>43082</v>
      </c>
      <c r="E335">
        <v>3</v>
      </c>
      <c r="F335" t="s">
        <v>556</v>
      </c>
      <c r="G335" t="s">
        <v>883</v>
      </c>
      <c r="H335">
        <v>9</v>
      </c>
      <c r="I335">
        <v>1</v>
      </c>
      <c r="J335">
        <v>0.2</v>
      </c>
      <c r="K335" t="b">
        <v>0</v>
      </c>
    </row>
    <row r="336" spans="1:11" hidden="1" x14ac:dyDescent="0.2">
      <c r="A336">
        <v>435</v>
      </c>
      <c r="B336" t="s">
        <v>1056</v>
      </c>
      <c r="C336" s="1">
        <v>43078</v>
      </c>
      <c r="D336" s="1">
        <v>43082</v>
      </c>
      <c r="E336">
        <v>3</v>
      </c>
      <c r="F336" t="s">
        <v>556</v>
      </c>
      <c r="G336" t="s">
        <v>1058</v>
      </c>
      <c r="H336">
        <v>1</v>
      </c>
      <c r="I336">
        <v>0</v>
      </c>
      <c r="J336">
        <v>0</v>
      </c>
      <c r="K336" t="b">
        <v>0</v>
      </c>
    </row>
    <row r="337" spans="1:11" hidden="1" x14ac:dyDescent="0.2">
      <c r="A337">
        <v>436</v>
      </c>
      <c r="B337" t="s">
        <v>1059</v>
      </c>
      <c r="C337" s="1">
        <v>41938</v>
      </c>
      <c r="D337" s="1">
        <v>41942</v>
      </c>
      <c r="E337">
        <v>3</v>
      </c>
      <c r="F337" t="s">
        <v>493</v>
      </c>
      <c r="G337" t="s">
        <v>1060</v>
      </c>
      <c r="H337">
        <v>4</v>
      </c>
      <c r="I337">
        <v>0</v>
      </c>
      <c r="J337">
        <v>0</v>
      </c>
      <c r="K337" t="b">
        <v>0</v>
      </c>
    </row>
    <row r="338" spans="1:11" hidden="1" x14ac:dyDescent="0.2">
      <c r="A338">
        <v>437</v>
      </c>
      <c r="B338" t="s">
        <v>1059</v>
      </c>
      <c r="C338" s="1">
        <v>41938</v>
      </c>
      <c r="D338" s="1">
        <v>41942</v>
      </c>
      <c r="E338">
        <v>3</v>
      </c>
      <c r="F338" t="s">
        <v>493</v>
      </c>
      <c r="G338" t="s">
        <v>1061</v>
      </c>
      <c r="H338">
        <v>5</v>
      </c>
      <c r="I338">
        <v>1</v>
      </c>
      <c r="J338">
        <v>0.2</v>
      </c>
      <c r="K338" t="b">
        <v>0</v>
      </c>
    </row>
    <row r="339" spans="1:11" x14ac:dyDescent="0.2">
      <c r="A339">
        <v>438</v>
      </c>
      <c r="B339" t="s">
        <v>1062</v>
      </c>
      <c r="C339" s="1">
        <v>42180</v>
      </c>
      <c r="D339" s="1">
        <v>42186</v>
      </c>
      <c r="E339">
        <v>4</v>
      </c>
      <c r="F339" t="s">
        <v>574</v>
      </c>
      <c r="G339" t="s">
        <v>1063</v>
      </c>
      <c r="H339">
        <v>2</v>
      </c>
      <c r="I339">
        <v>0</v>
      </c>
      <c r="J339">
        <v>0</v>
      </c>
      <c r="K339" t="b">
        <v>0</v>
      </c>
    </row>
    <row r="340" spans="1:11" x14ac:dyDescent="0.2">
      <c r="A340">
        <v>439</v>
      </c>
      <c r="B340" t="s">
        <v>1062</v>
      </c>
      <c r="C340" s="1">
        <v>42180</v>
      </c>
      <c r="D340" s="1">
        <v>42186</v>
      </c>
      <c r="E340">
        <v>4</v>
      </c>
      <c r="F340" t="s">
        <v>574</v>
      </c>
      <c r="G340" t="s">
        <v>1064</v>
      </c>
      <c r="H340">
        <v>3</v>
      </c>
      <c r="I340">
        <v>1</v>
      </c>
      <c r="J340">
        <v>0.2</v>
      </c>
      <c r="K340" t="b">
        <v>0</v>
      </c>
    </row>
    <row r="341" spans="1:11" x14ac:dyDescent="0.2">
      <c r="A341">
        <v>440</v>
      </c>
      <c r="B341" t="s">
        <v>1062</v>
      </c>
      <c r="C341" s="1">
        <v>42180</v>
      </c>
      <c r="D341" s="1">
        <v>42186</v>
      </c>
      <c r="E341">
        <v>4</v>
      </c>
      <c r="F341" t="s">
        <v>574</v>
      </c>
      <c r="G341" t="s">
        <v>1065</v>
      </c>
      <c r="H341">
        <v>3</v>
      </c>
      <c r="I341">
        <v>0</v>
      </c>
      <c r="J341">
        <v>0</v>
      </c>
      <c r="K341" t="b">
        <v>0</v>
      </c>
    </row>
    <row r="342" spans="1:11" hidden="1" x14ac:dyDescent="0.2">
      <c r="A342">
        <v>441</v>
      </c>
      <c r="B342" t="s">
        <v>1066</v>
      </c>
      <c r="C342" s="1">
        <v>43079</v>
      </c>
      <c r="D342" s="1">
        <v>43081</v>
      </c>
      <c r="E342">
        <v>3</v>
      </c>
      <c r="F342" t="s">
        <v>579</v>
      </c>
      <c r="G342" t="s">
        <v>1067</v>
      </c>
      <c r="H342">
        <v>4</v>
      </c>
      <c r="I342">
        <v>1</v>
      </c>
      <c r="J342">
        <v>0.2</v>
      </c>
      <c r="K342" t="b">
        <v>0</v>
      </c>
    </row>
    <row r="343" spans="1:11" hidden="1" x14ac:dyDescent="0.2">
      <c r="A343">
        <v>442</v>
      </c>
      <c r="B343" t="s">
        <v>1066</v>
      </c>
      <c r="C343" s="1">
        <v>43079</v>
      </c>
      <c r="D343" s="1">
        <v>43081</v>
      </c>
      <c r="E343">
        <v>3</v>
      </c>
      <c r="F343" t="s">
        <v>579</v>
      </c>
      <c r="G343" t="s">
        <v>1068</v>
      </c>
      <c r="H343">
        <v>2</v>
      </c>
      <c r="I343">
        <v>0</v>
      </c>
      <c r="J343">
        <v>0</v>
      </c>
      <c r="K343" t="b">
        <v>0</v>
      </c>
    </row>
    <row r="344" spans="1:11" x14ac:dyDescent="0.2">
      <c r="A344">
        <v>443</v>
      </c>
      <c r="B344" t="s">
        <v>1069</v>
      </c>
      <c r="C344" s="1">
        <v>42689</v>
      </c>
      <c r="D344" s="1">
        <v>42693</v>
      </c>
      <c r="E344">
        <v>4</v>
      </c>
      <c r="F344" t="s">
        <v>495</v>
      </c>
      <c r="G344" t="s">
        <v>1070</v>
      </c>
      <c r="H344">
        <v>2</v>
      </c>
      <c r="I344">
        <v>1</v>
      </c>
      <c r="J344">
        <v>0.2</v>
      </c>
      <c r="K344" t="b">
        <v>0</v>
      </c>
    </row>
    <row r="345" spans="1:11" x14ac:dyDescent="0.2">
      <c r="A345">
        <v>444</v>
      </c>
      <c r="B345" t="s">
        <v>1071</v>
      </c>
      <c r="C345" s="1">
        <v>41972</v>
      </c>
      <c r="D345" s="1">
        <v>41979</v>
      </c>
      <c r="E345">
        <v>4</v>
      </c>
      <c r="F345" t="s">
        <v>487</v>
      </c>
      <c r="G345" t="s">
        <v>1072</v>
      </c>
      <c r="H345">
        <v>2</v>
      </c>
      <c r="I345">
        <v>1</v>
      </c>
      <c r="J345">
        <v>0.2</v>
      </c>
      <c r="K345" t="b">
        <v>0</v>
      </c>
    </row>
    <row r="346" spans="1:11" x14ac:dyDescent="0.2">
      <c r="A346">
        <v>445</v>
      </c>
      <c r="B346" t="s">
        <v>1071</v>
      </c>
      <c r="C346" s="1">
        <v>41972</v>
      </c>
      <c r="D346" s="1">
        <v>41979</v>
      </c>
      <c r="E346">
        <v>4</v>
      </c>
      <c r="F346" t="s">
        <v>487</v>
      </c>
      <c r="G346" t="s">
        <v>1073</v>
      </c>
      <c r="H346">
        <v>5</v>
      </c>
      <c r="I346">
        <v>0</v>
      </c>
      <c r="J346">
        <v>0</v>
      </c>
      <c r="K346" t="b">
        <v>0</v>
      </c>
    </row>
    <row r="347" spans="1:11" hidden="1" x14ac:dyDescent="0.2">
      <c r="A347">
        <v>446</v>
      </c>
      <c r="B347" t="s">
        <v>1074</v>
      </c>
      <c r="C347" s="1">
        <v>42677</v>
      </c>
      <c r="D347" s="1">
        <v>42682</v>
      </c>
      <c r="E347">
        <v>3</v>
      </c>
      <c r="F347" t="s">
        <v>527</v>
      </c>
      <c r="G347" t="s">
        <v>1075</v>
      </c>
      <c r="H347">
        <v>4</v>
      </c>
      <c r="I347">
        <v>0</v>
      </c>
      <c r="J347">
        <v>0</v>
      </c>
      <c r="K347" t="b">
        <v>0</v>
      </c>
    </row>
    <row r="348" spans="1:11" hidden="1" x14ac:dyDescent="0.2">
      <c r="A348">
        <v>447</v>
      </c>
      <c r="B348" t="s">
        <v>1074</v>
      </c>
      <c r="C348" s="1">
        <v>42677</v>
      </c>
      <c r="D348" s="1">
        <v>42682</v>
      </c>
      <c r="E348">
        <v>3</v>
      </c>
      <c r="F348" t="s">
        <v>527</v>
      </c>
      <c r="G348" t="s">
        <v>1002</v>
      </c>
      <c r="H348">
        <v>3</v>
      </c>
      <c r="I348">
        <v>0</v>
      </c>
      <c r="J348">
        <v>0</v>
      </c>
      <c r="K348" t="b">
        <v>0</v>
      </c>
    </row>
    <row r="349" spans="1:11" hidden="1" x14ac:dyDescent="0.2">
      <c r="A349">
        <v>448</v>
      </c>
      <c r="B349" t="s">
        <v>1074</v>
      </c>
      <c r="C349" s="1">
        <v>42677</v>
      </c>
      <c r="D349" s="1">
        <v>42682</v>
      </c>
      <c r="E349">
        <v>3</v>
      </c>
      <c r="F349" t="s">
        <v>527</v>
      </c>
      <c r="G349" t="s">
        <v>1076</v>
      </c>
      <c r="H349">
        <v>5</v>
      </c>
      <c r="I349">
        <v>0</v>
      </c>
      <c r="J349">
        <v>0</v>
      </c>
      <c r="K349" t="b">
        <v>0</v>
      </c>
    </row>
    <row r="350" spans="1:11" hidden="1" x14ac:dyDescent="0.2">
      <c r="A350">
        <v>449</v>
      </c>
      <c r="B350" t="s">
        <v>1074</v>
      </c>
      <c r="C350" s="1">
        <v>42677</v>
      </c>
      <c r="D350" s="1">
        <v>42682</v>
      </c>
      <c r="E350">
        <v>3</v>
      </c>
      <c r="F350" t="s">
        <v>527</v>
      </c>
      <c r="G350" t="s">
        <v>1077</v>
      </c>
      <c r="H350">
        <v>1</v>
      </c>
      <c r="I350">
        <v>0</v>
      </c>
      <c r="J350">
        <v>0</v>
      </c>
      <c r="K350" t="b">
        <v>0</v>
      </c>
    </row>
    <row r="351" spans="1:11" hidden="1" x14ac:dyDescent="0.2">
      <c r="A351">
        <v>450</v>
      </c>
      <c r="B351" t="s">
        <v>1074</v>
      </c>
      <c r="C351" s="1">
        <v>42677</v>
      </c>
      <c r="D351" s="1">
        <v>42682</v>
      </c>
      <c r="E351">
        <v>3</v>
      </c>
      <c r="F351" t="s">
        <v>527</v>
      </c>
      <c r="G351" t="s">
        <v>1078</v>
      </c>
      <c r="H351">
        <v>3</v>
      </c>
      <c r="I351">
        <v>0</v>
      </c>
      <c r="J351">
        <v>0</v>
      </c>
      <c r="K351" t="b">
        <v>0</v>
      </c>
    </row>
    <row r="352" spans="1:11" hidden="1" x14ac:dyDescent="0.2">
      <c r="A352">
        <v>451</v>
      </c>
      <c r="B352" t="s">
        <v>1079</v>
      </c>
      <c r="C352" s="1">
        <v>42555</v>
      </c>
      <c r="D352" s="1">
        <v>42557</v>
      </c>
      <c r="E352">
        <v>2</v>
      </c>
      <c r="F352" t="s">
        <v>68</v>
      </c>
      <c r="G352" t="s">
        <v>1080</v>
      </c>
      <c r="H352">
        <v>5</v>
      </c>
      <c r="I352">
        <v>0</v>
      </c>
      <c r="J352">
        <v>0</v>
      </c>
      <c r="K352" t="b">
        <v>0</v>
      </c>
    </row>
    <row r="353" spans="1:11" hidden="1" x14ac:dyDescent="0.2">
      <c r="A353">
        <v>452</v>
      </c>
      <c r="B353" t="s">
        <v>1079</v>
      </c>
      <c r="C353" s="1">
        <v>42555</v>
      </c>
      <c r="D353" s="1">
        <v>42557</v>
      </c>
      <c r="E353">
        <v>2</v>
      </c>
      <c r="F353" t="s">
        <v>68</v>
      </c>
      <c r="G353" t="s">
        <v>1081</v>
      </c>
      <c r="H353">
        <v>2</v>
      </c>
      <c r="I353">
        <v>0</v>
      </c>
      <c r="J353">
        <v>0</v>
      </c>
      <c r="K353" t="b">
        <v>0</v>
      </c>
    </row>
    <row r="354" spans="1:11" hidden="1" x14ac:dyDescent="0.2">
      <c r="A354">
        <v>453</v>
      </c>
      <c r="B354" t="s">
        <v>1079</v>
      </c>
      <c r="C354" s="1">
        <v>42555</v>
      </c>
      <c r="D354" s="1">
        <v>42557</v>
      </c>
      <c r="E354">
        <v>2</v>
      </c>
      <c r="F354" t="s">
        <v>68</v>
      </c>
      <c r="G354" t="s">
        <v>955</v>
      </c>
      <c r="H354">
        <v>5</v>
      </c>
      <c r="I354">
        <v>1</v>
      </c>
      <c r="J354">
        <v>0.15</v>
      </c>
      <c r="K354" t="b">
        <v>0</v>
      </c>
    </row>
    <row r="355" spans="1:11" hidden="1" x14ac:dyDescent="0.2">
      <c r="A355">
        <v>454</v>
      </c>
      <c r="B355" t="s">
        <v>1079</v>
      </c>
      <c r="C355" s="1">
        <v>42555</v>
      </c>
      <c r="D355" s="1">
        <v>42557</v>
      </c>
      <c r="E355">
        <v>2</v>
      </c>
      <c r="F355" t="s">
        <v>68</v>
      </c>
      <c r="G355" t="s">
        <v>1082</v>
      </c>
      <c r="H355">
        <v>4</v>
      </c>
      <c r="I355">
        <v>0</v>
      </c>
      <c r="J355">
        <v>0</v>
      </c>
      <c r="K355" t="b">
        <v>0</v>
      </c>
    </row>
    <row r="356" spans="1:11" x14ac:dyDescent="0.2">
      <c r="A356">
        <v>455</v>
      </c>
      <c r="B356" t="s">
        <v>1083</v>
      </c>
      <c r="C356" s="1">
        <v>42250</v>
      </c>
      <c r="D356" s="1">
        <v>42255</v>
      </c>
      <c r="E356">
        <v>4</v>
      </c>
      <c r="F356" t="s">
        <v>555</v>
      </c>
      <c r="G356" t="s">
        <v>842</v>
      </c>
      <c r="H356">
        <v>2</v>
      </c>
      <c r="I356">
        <v>1</v>
      </c>
      <c r="J356">
        <v>0.2</v>
      </c>
      <c r="K356" t="b">
        <v>0</v>
      </c>
    </row>
    <row r="357" spans="1:11" x14ac:dyDescent="0.2">
      <c r="A357">
        <v>456</v>
      </c>
      <c r="B357" t="s">
        <v>1083</v>
      </c>
      <c r="C357" s="1">
        <v>42250</v>
      </c>
      <c r="D357" s="1">
        <v>42255</v>
      </c>
      <c r="E357">
        <v>4</v>
      </c>
      <c r="F357" t="s">
        <v>555</v>
      </c>
      <c r="G357" t="s">
        <v>1084</v>
      </c>
      <c r="H357">
        <v>2</v>
      </c>
      <c r="I357">
        <v>1</v>
      </c>
      <c r="J357">
        <v>0.2</v>
      </c>
      <c r="K357" t="b">
        <v>1</v>
      </c>
    </row>
    <row r="358" spans="1:11" x14ac:dyDescent="0.2">
      <c r="A358">
        <v>457</v>
      </c>
      <c r="B358" t="s">
        <v>1085</v>
      </c>
      <c r="C358" s="1">
        <v>42933</v>
      </c>
      <c r="D358" s="1">
        <v>42937</v>
      </c>
      <c r="E358">
        <v>4</v>
      </c>
      <c r="F358" t="s">
        <v>415</v>
      </c>
      <c r="G358" t="s">
        <v>1086</v>
      </c>
      <c r="H358">
        <v>2</v>
      </c>
      <c r="I358">
        <v>1</v>
      </c>
      <c r="J358">
        <v>0.2</v>
      </c>
      <c r="K358" t="b">
        <v>0</v>
      </c>
    </row>
    <row r="359" spans="1:11" x14ac:dyDescent="0.2">
      <c r="A359">
        <v>458</v>
      </c>
      <c r="B359" t="s">
        <v>1087</v>
      </c>
      <c r="C359" s="1">
        <v>42164</v>
      </c>
      <c r="D359" s="1">
        <v>42170</v>
      </c>
      <c r="E359">
        <v>4</v>
      </c>
      <c r="F359" t="s">
        <v>463</v>
      </c>
      <c r="G359" t="s">
        <v>1088</v>
      </c>
      <c r="H359">
        <v>3</v>
      </c>
      <c r="I359">
        <v>0</v>
      </c>
      <c r="J359">
        <v>0</v>
      </c>
      <c r="K359" t="b">
        <v>0</v>
      </c>
    </row>
    <row r="360" spans="1:11" hidden="1" x14ac:dyDescent="0.2">
      <c r="A360">
        <v>459</v>
      </c>
      <c r="B360" t="s">
        <v>1089</v>
      </c>
      <c r="C360" s="1">
        <v>41847</v>
      </c>
      <c r="D360" s="1">
        <v>41853</v>
      </c>
      <c r="E360">
        <v>2</v>
      </c>
      <c r="F360" t="s">
        <v>538</v>
      </c>
      <c r="G360" t="s">
        <v>1090</v>
      </c>
      <c r="H360">
        <v>11</v>
      </c>
      <c r="I360">
        <v>0</v>
      </c>
      <c r="J360">
        <v>0</v>
      </c>
      <c r="K360" t="b">
        <v>0</v>
      </c>
    </row>
    <row r="361" spans="1:11" x14ac:dyDescent="0.2">
      <c r="A361">
        <v>460</v>
      </c>
      <c r="B361" t="s">
        <v>1091</v>
      </c>
      <c r="C361" s="1">
        <v>42216</v>
      </c>
      <c r="D361" s="1">
        <v>42222</v>
      </c>
      <c r="E361">
        <v>4</v>
      </c>
      <c r="F361" t="s">
        <v>531</v>
      </c>
      <c r="G361" t="s">
        <v>601</v>
      </c>
      <c r="H361">
        <v>6</v>
      </c>
      <c r="I361">
        <v>0</v>
      </c>
      <c r="J361">
        <v>0</v>
      </c>
      <c r="K361" t="b">
        <v>0</v>
      </c>
    </row>
    <row r="362" spans="1:11" x14ac:dyDescent="0.2">
      <c r="A362">
        <v>461</v>
      </c>
      <c r="B362" t="s">
        <v>1092</v>
      </c>
      <c r="C362" s="1">
        <v>42632</v>
      </c>
      <c r="D362" s="1">
        <v>42635</v>
      </c>
      <c r="E362">
        <v>4</v>
      </c>
      <c r="F362" t="s">
        <v>521</v>
      </c>
      <c r="G362" t="s">
        <v>1093</v>
      </c>
      <c r="H362">
        <v>3</v>
      </c>
      <c r="I362">
        <v>1</v>
      </c>
      <c r="J362">
        <v>0.2</v>
      </c>
      <c r="K362" t="b">
        <v>0</v>
      </c>
    </row>
    <row r="363" spans="1:11" hidden="1" x14ac:dyDescent="0.2">
      <c r="A363">
        <v>462</v>
      </c>
      <c r="B363" t="s">
        <v>1094</v>
      </c>
      <c r="C363" s="1">
        <v>42852</v>
      </c>
      <c r="D363" s="1">
        <v>42854</v>
      </c>
      <c r="E363">
        <v>2</v>
      </c>
      <c r="F363" t="s">
        <v>529</v>
      </c>
      <c r="G363" t="s">
        <v>775</v>
      </c>
      <c r="H363">
        <v>4</v>
      </c>
      <c r="I363">
        <v>0</v>
      </c>
      <c r="J363">
        <v>0</v>
      </c>
      <c r="K363" t="b">
        <v>0</v>
      </c>
    </row>
    <row r="364" spans="1:11" hidden="1" x14ac:dyDescent="0.2">
      <c r="A364">
        <v>463</v>
      </c>
      <c r="B364" t="s">
        <v>1094</v>
      </c>
      <c r="C364" s="1">
        <v>42852</v>
      </c>
      <c r="D364" s="1">
        <v>42854</v>
      </c>
      <c r="E364">
        <v>2</v>
      </c>
      <c r="F364" t="s">
        <v>529</v>
      </c>
      <c r="G364" t="s">
        <v>1095</v>
      </c>
      <c r="H364">
        <v>3</v>
      </c>
      <c r="I364">
        <v>0</v>
      </c>
      <c r="J364">
        <v>0</v>
      </c>
      <c r="K364" t="b">
        <v>0</v>
      </c>
    </row>
    <row r="365" spans="1:11" hidden="1" x14ac:dyDescent="0.2">
      <c r="A365">
        <v>464</v>
      </c>
      <c r="B365" t="s">
        <v>1094</v>
      </c>
      <c r="C365" s="1">
        <v>42852</v>
      </c>
      <c r="D365" s="1">
        <v>42854</v>
      </c>
      <c r="E365">
        <v>2</v>
      </c>
      <c r="F365" t="s">
        <v>529</v>
      </c>
      <c r="G365" t="s">
        <v>1096</v>
      </c>
      <c r="H365">
        <v>2</v>
      </c>
      <c r="I365">
        <v>0</v>
      </c>
      <c r="J365">
        <v>0</v>
      </c>
      <c r="K365" t="b">
        <v>0</v>
      </c>
    </row>
    <row r="366" spans="1:11" hidden="1" x14ac:dyDescent="0.2">
      <c r="A366">
        <v>465</v>
      </c>
      <c r="B366" t="s">
        <v>1097</v>
      </c>
      <c r="C366" s="1">
        <v>42833</v>
      </c>
      <c r="D366" s="1">
        <v>42837</v>
      </c>
      <c r="E366">
        <v>1</v>
      </c>
      <c r="F366" t="s">
        <v>480</v>
      </c>
      <c r="G366" t="s">
        <v>1098</v>
      </c>
      <c r="H366">
        <v>5</v>
      </c>
      <c r="I366">
        <v>0</v>
      </c>
      <c r="J366">
        <v>0</v>
      </c>
      <c r="K366" t="b">
        <v>1</v>
      </c>
    </row>
    <row r="367" spans="1:11" hidden="1" x14ac:dyDescent="0.2">
      <c r="A367">
        <v>466</v>
      </c>
      <c r="B367" t="s">
        <v>1097</v>
      </c>
      <c r="C367" s="1">
        <v>42833</v>
      </c>
      <c r="D367" s="1">
        <v>42837</v>
      </c>
      <c r="E367">
        <v>1</v>
      </c>
      <c r="F367" t="s">
        <v>480</v>
      </c>
      <c r="G367" t="s">
        <v>1099</v>
      </c>
      <c r="H367">
        <v>4</v>
      </c>
      <c r="I367">
        <v>0</v>
      </c>
      <c r="J367">
        <v>0</v>
      </c>
      <c r="K367" t="b">
        <v>0</v>
      </c>
    </row>
    <row r="368" spans="1:11" x14ac:dyDescent="0.2">
      <c r="A368">
        <v>467</v>
      </c>
      <c r="B368" t="s">
        <v>1100</v>
      </c>
      <c r="C368" s="1">
        <v>42635</v>
      </c>
      <c r="D368" s="1">
        <v>42639</v>
      </c>
      <c r="E368">
        <v>4</v>
      </c>
      <c r="F368" t="s">
        <v>426</v>
      </c>
      <c r="G368" t="s">
        <v>1101</v>
      </c>
      <c r="H368">
        <v>9</v>
      </c>
      <c r="I368">
        <v>1</v>
      </c>
      <c r="J368">
        <v>0.7</v>
      </c>
      <c r="K368" t="b">
        <v>0</v>
      </c>
    </row>
    <row r="369" spans="1:11" x14ac:dyDescent="0.2">
      <c r="A369">
        <v>468</v>
      </c>
      <c r="B369" t="s">
        <v>1100</v>
      </c>
      <c r="C369" s="1">
        <v>42635</v>
      </c>
      <c r="D369" s="1">
        <v>42639</v>
      </c>
      <c r="E369">
        <v>4</v>
      </c>
      <c r="F369" t="s">
        <v>426</v>
      </c>
      <c r="G369" t="s">
        <v>1102</v>
      </c>
      <c r="H369">
        <v>2</v>
      </c>
      <c r="I369">
        <v>1</v>
      </c>
      <c r="J369">
        <v>0.2</v>
      </c>
      <c r="K369" t="b">
        <v>0</v>
      </c>
    </row>
    <row r="370" spans="1:11" hidden="1" x14ac:dyDescent="0.2">
      <c r="A370">
        <v>469</v>
      </c>
      <c r="B370" t="s">
        <v>1103</v>
      </c>
      <c r="C370" s="1">
        <v>42821</v>
      </c>
      <c r="D370" s="1">
        <v>42823</v>
      </c>
      <c r="E370">
        <v>3</v>
      </c>
      <c r="F370" t="s">
        <v>446</v>
      </c>
      <c r="G370" t="s">
        <v>976</v>
      </c>
      <c r="H370">
        <v>2</v>
      </c>
      <c r="I370">
        <v>1</v>
      </c>
      <c r="J370">
        <v>0.2</v>
      </c>
      <c r="K370" t="b">
        <v>0</v>
      </c>
    </row>
    <row r="371" spans="1:11" hidden="1" x14ac:dyDescent="0.2">
      <c r="A371">
        <v>470</v>
      </c>
      <c r="B371" t="s">
        <v>1104</v>
      </c>
      <c r="C371" s="1">
        <v>42507</v>
      </c>
      <c r="D371" s="1">
        <v>42508</v>
      </c>
      <c r="E371">
        <v>2</v>
      </c>
      <c r="F371" t="s">
        <v>467</v>
      </c>
      <c r="G371" t="s">
        <v>730</v>
      </c>
      <c r="H371">
        <v>7</v>
      </c>
      <c r="I371">
        <v>0</v>
      </c>
      <c r="J371">
        <v>0</v>
      </c>
      <c r="K371" t="b">
        <v>0</v>
      </c>
    </row>
    <row r="372" spans="1:11" hidden="1" x14ac:dyDescent="0.2">
      <c r="A372">
        <v>471</v>
      </c>
      <c r="B372" t="s">
        <v>1104</v>
      </c>
      <c r="C372" s="1">
        <v>42507</v>
      </c>
      <c r="D372" s="1">
        <v>42508</v>
      </c>
      <c r="E372">
        <v>2</v>
      </c>
      <c r="F372" t="s">
        <v>467</v>
      </c>
      <c r="G372" t="s">
        <v>1105</v>
      </c>
      <c r="H372">
        <v>2</v>
      </c>
      <c r="I372">
        <v>0</v>
      </c>
      <c r="J372">
        <v>0</v>
      </c>
      <c r="K372" t="b">
        <v>0</v>
      </c>
    </row>
    <row r="373" spans="1:11" hidden="1" x14ac:dyDescent="0.2">
      <c r="A373">
        <v>472</v>
      </c>
      <c r="B373" t="s">
        <v>1104</v>
      </c>
      <c r="C373" s="1">
        <v>42507</v>
      </c>
      <c r="D373" s="1">
        <v>42508</v>
      </c>
      <c r="E373">
        <v>2</v>
      </c>
      <c r="F373" t="s">
        <v>467</v>
      </c>
      <c r="G373" t="s">
        <v>1106</v>
      </c>
      <c r="H373">
        <v>4</v>
      </c>
      <c r="I373">
        <v>0</v>
      </c>
      <c r="J373">
        <v>0</v>
      </c>
      <c r="K373" t="b">
        <v>0</v>
      </c>
    </row>
    <row r="374" spans="1:11" hidden="1" x14ac:dyDescent="0.2">
      <c r="A374">
        <v>473</v>
      </c>
      <c r="B374" t="s">
        <v>1107</v>
      </c>
      <c r="C374" s="1">
        <v>42873</v>
      </c>
      <c r="D374" s="1">
        <v>42875</v>
      </c>
      <c r="E374">
        <v>2</v>
      </c>
      <c r="F374" t="s">
        <v>399</v>
      </c>
      <c r="G374" t="s">
        <v>1108</v>
      </c>
      <c r="H374">
        <v>2</v>
      </c>
      <c r="I374">
        <v>1</v>
      </c>
      <c r="J374">
        <v>0.2</v>
      </c>
      <c r="K374" t="b">
        <v>0</v>
      </c>
    </row>
    <row r="375" spans="1:11" hidden="1" x14ac:dyDescent="0.2">
      <c r="A375">
        <v>474</v>
      </c>
      <c r="B375" t="s">
        <v>1109</v>
      </c>
      <c r="C375" s="1">
        <v>41943</v>
      </c>
      <c r="D375" s="1">
        <v>41946</v>
      </c>
      <c r="E375">
        <v>3</v>
      </c>
      <c r="F375" t="s">
        <v>426</v>
      </c>
      <c r="G375" t="s">
        <v>1110</v>
      </c>
      <c r="H375">
        <v>8</v>
      </c>
      <c r="I375">
        <v>1</v>
      </c>
      <c r="J375">
        <v>0.2</v>
      </c>
      <c r="K375" t="b">
        <v>0</v>
      </c>
    </row>
    <row r="376" spans="1:11" x14ac:dyDescent="0.2">
      <c r="A376">
        <v>475</v>
      </c>
      <c r="B376" t="s">
        <v>1111</v>
      </c>
      <c r="C376" s="1">
        <v>42802</v>
      </c>
      <c r="D376" s="1">
        <v>42809</v>
      </c>
      <c r="E376">
        <v>4</v>
      </c>
      <c r="F376" t="s">
        <v>488</v>
      </c>
      <c r="G376" t="s">
        <v>1112</v>
      </c>
      <c r="H376">
        <v>5</v>
      </c>
      <c r="I376">
        <v>1</v>
      </c>
      <c r="J376">
        <v>0.2</v>
      </c>
      <c r="K376" t="b">
        <v>0</v>
      </c>
    </row>
    <row r="377" spans="1:11" x14ac:dyDescent="0.2">
      <c r="A377">
        <v>476</v>
      </c>
      <c r="B377" t="s">
        <v>1111</v>
      </c>
      <c r="C377" s="1">
        <v>42802</v>
      </c>
      <c r="D377" s="1">
        <v>42809</v>
      </c>
      <c r="E377">
        <v>4</v>
      </c>
      <c r="F377" t="s">
        <v>488</v>
      </c>
      <c r="G377" t="s">
        <v>1113</v>
      </c>
      <c r="H377">
        <v>2</v>
      </c>
      <c r="I377">
        <v>0</v>
      </c>
      <c r="J377">
        <v>0</v>
      </c>
      <c r="K377" t="b">
        <v>0</v>
      </c>
    </row>
    <row r="378" spans="1:11" hidden="1" x14ac:dyDescent="0.2">
      <c r="A378">
        <v>477</v>
      </c>
      <c r="B378" t="s">
        <v>1114</v>
      </c>
      <c r="C378" s="1">
        <v>41927</v>
      </c>
      <c r="D378" s="1">
        <v>41929</v>
      </c>
      <c r="E378">
        <v>2</v>
      </c>
      <c r="F378" t="s">
        <v>431</v>
      </c>
      <c r="G378" t="s">
        <v>1115</v>
      </c>
      <c r="H378">
        <v>2</v>
      </c>
      <c r="I378">
        <v>1</v>
      </c>
      <c r="J378">
        <v>0.3</v>
      </c>
      <c r="K378" t="b">
        <v>0</v>
      </c>
    </row>
    <row r="379" spans="1:11" hidden="1" x14ac:dyDescent="0.2">
      <c r="A379">
        <v>478</v>
      </c>
      <c r="B379" t="s">
        <v>1114</v>
      </c>
      <c r="C379" s="1">
        <v>41927</v>
      </c>
      <c r="D379" s="1">
        <v>41929</v>
      </c>
      <c r="E379">
        <v>2</v>
      </c>
      <c r="F379" t="s">
        <v>431</v>
      </c>
      <c r="G379" t="s">
        <v>1116</v>
      </c>
      <c r="H379">
        <v>2</v>
      </c>
      <c r="I379">
        <v>1</v>
      </c>
      <c r="J379">
        <v>0.2</v>
      </c>
      <c r="K379" t="b">
        <v>0</v>
      </c>
    </row>
    <row r="380" spans="1:11" hidden="1" x14ac:dyDescent="0.2">
      <c r="A380">
        <v>479</v>
      </c>
      <c r="B380" t="s">
        <v>1117</v>
      </c>
      <c r="C380" s="1">
        <v>42988</v>
      </c>
      <c r="D380" s="1">
        <v>42991</v>
      </c>
      <c r="E380">
        <v>3</v>
      </c>
      <c r="F380" t="s">
        <v>530</v>
      </c>
      <c r="G380" t="s">
        <v>1118</v>
      </c>
      <c r="H380">
        <v>2</v>
      </c>
      <c r="I380">
        <v>0</v>
      </c>
      <c r="J380">
        <v>0</v>
      </c>
      <c r="K380" t="b">
        <v>0</v>
      </c>
    </row>
    <row r="381" spans="1:11" x14ac:dyDescent="0.2">
      <c r="A381">
        <v>480</v>
      </c>
      <c r="B381" t="s">
        <v>1119</v>
      </c>
      <c r="C381" s="1">
        <v>43070</v>
      </c>
      <c r="D381" s="1">
        <v>43075</v>
      </c>
      <c r="E381">
        <v>4</v>
      </c>
      <c r="F381" t="s">
        <v>437</v>
      </c>
      <c r="G381" t="s">
        <v>1120</v>
      </c>
      <c r="H381">
        <v>3</v>
      </c>
      <c r="I381">
        <v>0</v>
      </c>
      <c r="J381">
        <v>0</v>
      </c>
      <c r="K381" t="b">
        <v>0</v>
      </c>
    </row>
    <row r="382" spans="1:11" x14ac:dyDescent="0.2">
      <c r="A382">
        <v>481</v>
      </c>
      <c r="B382" t="s">
        <v>1119</v>
      </c>
      <c r="C382" s="1">
        <v>43070</v>
      </c>
      <c r="D382" s="1">
        <v>43075</v>
      </c>
      <c r="E382">
        <v>4</v>
      </c>
      <c r="F382" t="s">
        <v>437</v>
      </c>
      <c r="G382" t="s">
        <v>1121</v>
      </c>
      <c r="H382">
        <v>3</v>
      </c>
      <c r="I382">
        <v>0</v>
      </c>
      <c r="J382">
        <v>0</v>
      </c>
      <c r="K382" t="b">
        <v>0</v>
      </c>
    </row>
    <row r="383" spans="1:11" hidden="1" x14ac:dyDescent="0.2">
      <c r="A383">
        <v>482</v>
      </c>
      <c r="B383" t="s">
        <v>1122</v>
      </c>
      <c r="C383" s="1">
        <v>43077</v>
      </c>
      <c r="D383" s="1">
        <v>43081</v>
      </c>
      <c r="E383">
        <v>3</v>
      </c>
      <c r="F383" t="s">
        <v>546</v>
      </c>
      <c r="G383" t="s">
        <v>1123</v>
      </c>
      <c r="H383">
        <v>1</v>
      </c>
      <c r="I383">
        <v>0</v>
      </c>
      <c r="J383">
        <v>0</v>
      </c>
      <c r="K383" t="b">
        <v>0</v>
      </c>
    </row>
    <row r="384" spans="1:11" hidden="1" x14ac:dyDescent="0.2">
      <c r="A384">
        <v>483</v>
      </c>
      <c r="B384" t="s">
        <v>1124</v>
      </c>
      <c r="C384" s="1">
        <v>41705</v>
      </c>
      <c r="D384" s="1">
        <v>41706</v>
      </c>
      <c r="E384">
        <v>2</v>
      </c>
      <c r="F384" t="s">
        <v>384</v>
      </c>
      <c r="G384" t="s">
        <v>1000</v>
      </c>
      <c r="H384">
        <v>1</v>
      </c>
      <c r="I384">
        <v>1</v>
      </c>
      <c r="J384">
        <v>0.2</v>
      </c>
      <c r="K384" t="b">
        <v>0</v>
      </c>
    </row>
    <row r="385" spans="1:11" hidden="1" x14ac:dyDescent="0.2">
      <c r="A385">
        <v>484</v>
      </c>
      <c r="B385" t="s">
        <v>1124</v>
      </c>
      <c r="C385" s="1">
        <v>41705</v>
      </c>
      <c r="D385" s="1">
        <v>41706</v>
      </c>
      <c r="E385">
        <v>2</v>
      </c>
      <c r="F385" t="s">
        <v>384</v>
      </c>
      <c r="G385" t="s">
        <v>1125</v>
      </c>
      <c r="H385">
        <v>3</v>
      </c>
      <c r="I385">
        <v>0</v>
      </c>
      <c r="J385">
        <v>0</v>
      </c>
      <c r="K385" t="b">
        <v>0</v>
      </c>
    </row>
    <row r="386" spans="1:11" hidden="1" x14ac:dyDescent="0.2">
      <c r="A386">
        <v>485</v>
      </c>
      <c r="B386" t="s">
        <v>1124</v>
      </c>
      <c r="C386" s="1">
        <v>41705</v>
      </c>
      <c r="D386" s="1">
        <v>41706</v>
      </c>
      <c r="E386">
        <v>2</v>
      </c>
      <c r="F386" t="s">
        <v>384</v>
      </c>
      <c r="G386" t="s">
        <v>946</v>
      </c>
      <c r="H386">
        <v>3</v>
      </c>
      <c r="I386">
        <v>0</v>
      </c>
      <c r="J386">
        <v>0</v>
      </c>
      <c r="K386" t="b">
        <v>0</v>
      </c>
    </row>
    <row r="387" spans="1:11" hidden="1" x14ac:dyDescent="0.2">
      <c r="A387">
        <v>486</v>
      </c>
      <c r="B387" t="s">
        <v>1126</v>
      </c>
      <c r="C387" s="1">
        <v>42345</v>
      </c>
      <c r="D387" s="1">
        <v>42347</v>
      </c>
      <c r="E387">
        <v>2</v>
      </c>
      <c r="F387" t="s">
        <v>489</v>
      </c>
      <c r="G387" t="s">
        <v>1127</v>
      </c>
      <c r="H387">
        <v>5</v>
      </c>
      <c r="I387">
        <v>1</v>
      </c>
      <c r="J387">
        <v>0.2</v>
      </c>
      <c r="K387" t="b">
        <v>0</v>
      </c>
    </row>
    <row r="388" spans="1:11" hidden="1" x14ac:dyDescent="0.2">
      <c r="A388">
        <v>487</v>
      </c>
      <c r="B388" t="s">
        <v>1126</v>
      </c>
      <c r="C388" s="1">
        <v>42345</v>
      </c>
      <c r="D388" s="1">
        <v>42347</v>
      </c>
      <c r="E388">
        <v>2</v>
      </c>
      <c r="F388" t="s">
        <v>489</v>
      </c>
      <c r="G388" t="s">
        <v>1128</v>
      </c>
      <c r="H388">
        <v>2</v>
      </c>
      <c r="I388">
        <v>1</v>
      </c>
      <c r="J388">
        <v>0.2</v>
      </c>
      <c r="K388" t="b">
        <v>0</v>
      </c>
    </row>
    <row r="389" spans="1:11" hidden="1" x14ac:dyDescent="0.2">
      <c r="A389">
        <v>488</v>
      </c>
      <c r="B389" t="s">
        <v>1126</v>
      </c>
      <c r="C389" s="1">
        <v>42345</v>
      </c>
      <c r="D389" s="1">
        <v>42347</v>
      </c>
      <c r="E389">
        <v>2</v>
      </c>
      <c r="F389" t="s">
        <v>489</v>
      </c>
      <c r="G389" t="s">
        <v>887</v>
      </c>
      <c r="H389">
        <v>6</v>
      </c>
      <c r="I389">
        <v>0</v>
      </c>
      <c r="J389">
        <v>0</v>
      </c>
      <c r="K389" t="b">
        <v>0</v>
      </c>
    </row>
    <row r="390" spans="1:11" hidden="1" x14ac:dyDescent="0.2">
      <c r="A390">
        <v>489</v>
      </c>
      <c r="B390" t="s">
        <v>1129</v>
      </c>
      <c r="C390" s="1">
        <v>41959</v>
      </c>
      <c r="D390" s="1">
        <v>41965</v>
      </c>
      <c r="E390">
        <v>3</v>
      </c>
      <c r="F390" t="s">
        <v>476</v>
      </c>
      <c r="G390" t="s">
        <v>1130</v>
      </c>
      <c r="H390">
        <v>2</v>
      </c>
      <c r="I390">
        <v>0</v>
      </c>
      <c r="J390">
        <v>0</v>
      </c>
      <c r="K390" t="b">
        <v>0</v>
      </c>
    </row>
    <row r="391" spans="1:11" hidden="1" x14ac:dyDescent="0.2">
      <c r="A391">
        <v>490</v>
      </c>
      <c r="B391" t="s">
        <v>1131</v>
      </c>
      <c r="C391" s="1">
        <v>41885</v>
      </c>
      <c r="D391" s="1">
        <v>41885</v>
      </c>
      <c r="E391">
        <v>1</v>
      </c>
      <c r="F391" t="s">
        <v>451</v>
      </c>
      <c r="G391" t="s">
        <v>909</v>
      </c>
      <c r="H391">
        <v>5</v>
      </c>
      <c r="I391">
        <v>0</v>
      </c>
      <c r="J391">
        <v>0</v>
      </c>
      <c r="K391" t="b">
        <v>0</v>
      </c>
    </row>
    <row r="392" spans="1:11" hidden="1" x14ac:dyDescent="0.2">
      <c r="A392">
        <v>491</v>
      </c>
      <c r="B392" t="s">
        <v>1132</v>
      </c>
      <c r="C392" s="1">
        <v>42978</v>
      </c>
      <c r="D392" s="1">
        <v>42982</v>
      </c>
      <c r="E392">
        <v>2</v>
      </c>
      <c r="F392" t="s">
        <v>563</v>
      </c>
      <c r="G392" t="s">
        <v>1101</v>
      </c>
      <c r="H392">
        <v>3</v>
      </c>
      <c r="I392">
        <v>1</v>
      </c>
      <c r="J392">
        <v>0.2</v>
      </c>
      <c r="K392" t="b">
        <v>0</v>
      </c>
    </row>
    <row r="393" spans="1:11" hidden="1" x14ac:dyDescent="0.2">
      <c r="A393">
        <v>492</v>
      </c>
      <c r="B393" t="s">
        <v>1132</v>
      </c>
      <c r="C393" s="1">
        <v>42978</v>
      </c>
      <c r="D393" s="1">
        <v>42982</v>
      </c>
      <c r="E393">
        <v>2</v>
      </c>
      <c r="F393" t="s">
        <v>563</v>
      </c>
      <c r="G393" t="s">
        <v>1108</v>
      </c>
      <c r="H393">
        <v>4</v>
      </c>
      <c r="I393">
        <v>1</v>
      </c>
      <c r="J393">
        <v>0.2</v>
      </c>
      <c r="K393" t="b">
        <v>0</v>
      </c>
    </row>
    <row r="394" spans="1:11" x14ac:dyDescent="0.2">
      <c r="A394">
        <v>493</v>
      </c>
      <c r="B394" t="s">
        <v>1133</v>
      </c>
      <c r="C394" s="1">
        <v>42862</v>
      </c>
      <c r="D394" s="1">
        <v>42867</v>
      </c>
      <c r="E394">
        <v>4</v>
      </c>
      <c r="F394" t="s">
        <v>391</v>
      </c>
      <c r="G394" t="s">
        <v>1134</v>
      </c>
      <c r="H394">
        <v>1</v>
      </c>
      <c r="I394">
        <v>0</v>
      </c>
      <c r="J394">
        <v>0</v>
      </c>
      <c r="K394" t="b">
        <v>0</v>
      </c>
    </row>
    <row r="395" spans="1:11" hidden="1" x14ac:dyDescent="0.2">
      <c r="A395">
        <v>494</v>
      </c>
      <c r="B395" t="s">
        <v>1135</v>
      </c>
      <c r="C395" s="1">
        <v>42684</v>
      </c>
      <c r="D395" s="1">
        <v>42687</v>
      </c>
      <c r="E395">
        <v>3</v>
      </c>
      <c r="F395" t="s">
        <v>500</v>
      </c>
      <c r="G395" t="s">
        <v>1136</v>
      </c>
      <c r="H395">
        <v>3</v>
      </c>
      <c r="I395">
        <v>0</v>
      </c>
      <c r="J395">
        <v>0</v>
      </c>
      <c r="K395" t="b">
        <v>0</v>
      </c>
    </row>
    <row r="396" spans="1:11" hidden="1" x14ac:dyDescent="0.2">
      <c r="A396">
        <v>495</v>
      </c>
      <c r="B396" t="s">
        <v>1135</v>
      </c>
      <c r="C396" s="1">
        <v>42684</v>
      </c>
      <c r="D396" s="1">
        <v>42687</v>
      </c>
      <c r="E396">
        <v>3</v>
      </c>
      <c r="F396" t="s">
        <v>500</v>
      </c>
      <c r="G396" t="s">
        <v>1137</v>
      </c>
      <c r="H396">
        <v>4</v>
      </c>
      <c r="I396">
        <v>0</v>
      </c>
      <c r="J396">
        <v>0</v>
      </c>
      <c r="K396" t="b">
        <v>1</v>
      </c>
    </row>
    <row r="397" spans="1:11" hidden="1" x14ac:dyDescent="0.2">
      <c r="A397">
        <v>496</v>
      </c>
      <c r="B397" t="s">
        <v>1135</v>
      </c>
      <c r="C397" s="1">
        <v>42684</v>
      </c>
      <c r="D397" s="1">
        <v>42687</v>
      </c>
      <c r="E397">
        <v>3</v>
      </c>
      <c r="F397" t="s">
        <v>500</v>
      </c>
      <c r="G397" t="s">
        <v>696</v>
      </c>
      <c r="H397">
        <v>9</v>
      </c>
      <c r="I397">
        <v>0</v>
      </c>
      <c r="J397">
        <v>0</v>
      </c>
      <c r="K397" t="b">
        <v>0</v>
      </c>
    </row>
    <row r="398" spans="1:11" hidden="1" x14ac:dyDescent="0.2">
      <c r="A398">
        <v>497</v>
      </c>
      <c r="B398" t="s">
        <v>1135</v>
      </c>
      <c r="C398" s="1">
        <v>42684</v>
      </c>
      <c r="D398" s="1">
        <v>42687</v>
      </c>
      <c r="E398">
        <v>3</v>
      </c>
      <c r="F398" t="s">
        <v>500</v>
      </c>
      <c r="G398" t="s">
        <v>1138</v>
      </c>
      <c r="H398">
        <v>5</v>
      </c>
      <c r="I398">
        <v>0</v>
      </c>
      <c r="J398">
        <v>0</v>
      </c>
      <c r="K398" t="b">
        <v>0</v>
      </c>
    </row>
    <row r="399" spans="1:11" hidden="1" x14ac:dyDescent="0.2">
      <c r="A399">
        <v>498</v>
      </c>
      <c r="B399" t="s">
        <v>1135</v>
      </c>
      <c r="C399" s="1">
        <v>42684</v>
      </c>
      <c r="D399" s="1">
        <v>42687</v>
      </c>
      <c r="E399">
        <v>3</v>
      </c>
      <c r="F399" t="s">
        <v>500</v>
      </c>
      <c r="G399" t="s">
        <v>1139</v>
      </c>
      <c r="H399">
        <v>4</v>
      </c>
      <c r="I399">
        <v>0</v>
      </c>
      <c r="J399">
        <v>0</v>
      </c>
      <c r="K399" t="b">
        <v>0</v>
      </c>
    </row>
    <row r="400" spans="1:11" hidden="1" x14ac:dyDescent="0.2">
      <c r="A400">
        <v>499</v>
      </c>
      <c r="B400" t="s">
        <v>1135</v>
      </c>
      <c r="C400" s="1">
        <v>42684</v>
      </c>
      <c r="D400" s="1">
        <v>42687</v>
      </c>
      <c r="E400">
        <v>3</v>
      </c>
      <c r="F400" t="s">
        <v>500</v>
      </c>
      <c r="G400" t="s">
        <v>929</v>
      </c>
      <c r="H400">
        <v>3</v>
      </c>
      <c r="I400">
        <v>1</v>
      </c>
      <c r="J400">
        <v>0.2</v>
      </c>
      <c r="K400" t="b">
        <v>0</v>
      </c>
    </row>
    <row r="401" spans="1:11" hidden="1" x14ac:dyDescent="0.2">
      <c r="A401">
        <v>500</v>
      </c>
      <c r="B401" t="s">
        <v>1135</v>
      </c>
      <c r="C401" s="1">
        <v>42684</v>
      </c>
      <c r="D401" s="1">
        <v>42687</v>
      </c>
      <c r="E401">
        <v>3</v>
      </c>
      <c r="F401" t="s">
        <v>500</v>
      </c>
      <c r="G401" t="s">
        <v>1140</v>
      </c>
      <c r="H401">
        <v>5</v>
      </c>
      <c r="I401">
        <v>0</v>
      </c>
      <c r="J401">
        <v>0</v>
      </c>
      <c r="K401" t="b">
        <v>0</v>
      </c>
    </row>
    <row r="402" spans="1:11" x14ac:dyDescent="0.2">
      <c r="A402">
        <v>501</v>
      </c>
      <c r="B402" t="s">
        <v>1141</v>
      </c>
      <c r="C402" s="1">
        <v>42265</v>
      </c>
      <c r="D402" s="1">
        <v>42271</v>
      </c>
      <c r="E402">
        <v>4</v>
      </c>
      <c r="F402" t="s">
        <v>392</v>
      </c>
      <c r="G402" t="s">
        <v>1142</v>
      </c>
      <c r="H402">
        <v>2</v>
      </c>
      <c r="I402">
        <v>0</v>
      </c>
      <c r="J402">
        <v>0</v>
      </c>
      <c r="K402" t="b">
        <v>0</v>
      </c>
    </row>
    <row r="403" spans="1:11" hidden="1" x14ac:dyDescent="0.2">
      <c r="A403">
        <v>502</v>
      </c>
      <c r="B403" t="s">
        <v>1143</v>
      </c>
      <c r="C403" s="1">
        <v>42007</v>
      </c>
      <c r="D403" s="1">
        <v>42012</v>
      </c>
      <c r="E403">
        <v>3</v>
      </c>
      <c r="F403" t="s">
        <v>491</v>
      </c>
      <c r="G403" t="s">
        <v>1144</v>
      </c>
      <c r="H403">
        <v>5</v>
      </c>
      <c r="I403">
        <v>1</v>
      </c>
      <c r="J403">
        <v>0.2</v>
      </c>
      <c r="K403" t="b">
        <v>0</v>
      </c>
    </row>
    <row r="404" spans="1:11" hidden="1" x14ac:dyDescent="0.2">
      <c r="A404">
        <v>503</v>
      </c>
      <c r="B404" t="s">
        <v>1143</v>
      </c>
      <c r="C404" s="1">
        <v>42007</v>
      </c>
      <c r="D404" s="1">
        <v>42012</v>
      </c>
      <c r="E404">
        <v>3</v>
      </c>
      <c r="F404" t="s">
        <v>491</v>
      </c>
      <c r="G404" t="s">
        <v>662</v>
      </c>
      <c r="H404">
        <v>3</v>
      </c>
      <c r="I404">
        <v>1</v>
      </c>
      <c r="J404">
        <v>0.2</v>
      </c>
      <c r="K404" t="b">
        <v>0</v>
      </c>
    </row>
    <row r="405" spans="1:11" hidden="1" x14ac:dyDescent="0.2">
      <c r="A405">
        <v>504</v>
      </c>
      <c r="B405" t="s">
        <v>1143</v>
      </c>
      <c r="C405" s="1">
        <v>42007</v>
      </c>
      <c r="D405" s="1">
        <v>42012</v>
      </c>
      <c r="E405">
        <v>3</v>
      </c>
      <c r="F405" t="s">
        <v>491</v>
      </c>
      <c r="G405" t="s">
        <v>1145</v>
      </c>
      <c r="H405">
        <v>9</v>
      </c>
      <c r="I405">
        <v>1</v>
      </c>
      <c r="J405">
        <v>0.32</v>
      </c>
      <c r="K405" t="b">
        <v>0</v>
      </c>
    </row>
    <row r="406" spans="1:11" hidden="1" x14ac:dyDescent="0.2">
      <c r="A406">
        <v>505</v>
      </c>
      <c r="B406" t="s">
        <v>1146</v>
      </c>
      <c r="C406" s="1">
        <v>41715</v>
      </c>
      <c r="D406" s="1">
        <v>41715</v>
      </c>
      <c r="E406">
        <v>1</v>
      </c>
      <c r="F406" t="s">
        <v>569</v>
      </c>
      <c r="G406" t="s">
        <v>1147</v>
      </c>
      <c r="H406">
        <v>2</v>
      </c>
      <c r="I406">
        <v>1</v>
      </c>
      <c r="J406">
        <v>0.2</v>
      </c>
      <c r="K406" t="b">
        <v>0</v>
      </c>
    </row>
    <row r="407" spans="1:11" hidden="1" x14ac:dyDescent="0.2">
      <c r="A407">
        <v>506</v>
      </c>
      <c r="B407" t="s">
        <v>1146</v>
      </c>
      <c r="C407" s="1">
        <v>41715</v>
      </c>
      <c r="D407" s="1">
        <v>41715</v>
      </c>
      <c r="E407">
        <v>1</v>
      </c>
      <c r="F407" t="s">
        <v>569</v>
      </c>
      <c r="G407" t="s">
        <v>1039</v>
      </c>
      <c r="H407">
        <v>1</v>
      </c>
      <c r="I407">
        <v>1</v>
      </c>
      <c r="J407">
        <v>0.2</v>
      </c>
      <c r="K407" t="b">
        <v>1</v>
      </c>
    </row>
    <row r="408" spans="1:11" hidden="1" x14ac:dyDescent="0.2">
      <c r="A408">
        <v>507</v>
      </c>
      <c r="B408" t="s">
        <v>1146</v>
      </c>
      <c r="C408" s="1">
        <v>41715</v>
      </c>
      <c r="D408" s="1">
        <v>41715</v>
      </c>
      <c r="E408">
        <v>1</v>
      </c>
      <c r="F408" t="s">
        <v>569</v>
      </c>
      <c r="G408" t="s">
        <v>592</v>
      </c>
      <c r="H408">
        <v>3</v>
      </c>
      <c r="I408">
        <v>1</v>
      </c>
      <c r="J408">
        <v>0.2</v>
      </c>
      <c r="K408" t="b">
        <v>0</v>
      </c>
    </row>
    <row r="409" spans="1:11" hidden="1" x14ac:dyDescent="0.2">
      <c r="A409">
        <v>508</v>
      </c>
      <c r="B409" t="s">
        <v>1148</v>
      </c>
      <c r="C409" s="1">
        <v>42400</v>
      </c>
      <c r="D409" s="1">
        <v>42402</v>
      </c>
      <c r="E409">
        <v>3</v>
      </c>
      <c r="F409" t="s">
        <v>408</v>
      </c>
      <c r="G409" t="s">
        <v>1149</v>
      </c>
      <c r="H409">
        <v>3</v>
      </c>
      <c r="I409">
        <v>1</v>
      </c>
      <c r="J409">
        <v>0.2</v>
      </c>
      <c r="K409" t="b">
        <v>0</v>
      </c>
    </row>
    <row r="410" spans="1:11" x14ac:dyDescent="0.2">
      <c r="A410">
        <v>509</v>
      </c>
      <c r="B410" t="s">
        <v>1150</v>
      </c>
      <c r="C410" s="1">
        <v>42666</v>
      </c>
      <c r="D410" s="1">
        <v>42671</v>
      </c>
      <c r="E410">
        <v>4</v>
      </c>
      <c r="F410" t="s">
        <v>416</v>
      </c>
      <c r="G410" t="s">
        <v>1151</v>
      </c>
      <c r="H410">
        <v>5</v>
      </c>
      <c r="I410">
        <v>0</v>
      </c>
      <c r="J410">
        <v>0</v>
      </c>
      <c r="K410" t="b">
        <v>0</v>
      </c>
    </row>
    <row r="411" spans="1:11" hidden="1" x14ac:dyDescent="0.2">
      <c r="A411">
        <v>510</v>
      </c>
      <c r="B411" t="s">
        <v>1152</v>
      </c>
      <c r="C411" s="1">
        <v>42303</v>
      </c>
      <c r="D411" s="1">
        <v>42307</v>
      </c>
      <c r="E411">
        <v>3</v>
      </c>
      <c r="F411" t="s">
        <v>453</v>
      </c>
      <c r="G411" t="s">
        <v>1153</v>
      </c>
      <c r="H411">
        <v>2</v>
      </c>
      <c r="I411">
        <v>1</v>
      </c>
      <c r="J411">
        <v>0.2</v>
      </c>
      <c r="K411" t="b">
        <v>0</v>
      </c>
    </row>
    <row r="412" spans="1:11" hidden="1" x14ac:dyDescent="0.2">
      <c r="A412">
        <v>511</v>
      </c>
      <c r="B412" t="s">
        <v>1152</v>
      </c>
      <c r="C412" s="1">
        <v>42303</v>
      </c>
      <c r="D412" s="1">
        <v>42307</v>
      </c>
      <c r="E412">
        <v>3</v>
      </c>
      <c r="F412" t="s">
        <v>453</v>
      </c>
      <c r="G412" t="s">
        <v>1154</v>
      </c>
      <c r="H412">
        <v>2</v>
      </c>
      <c r="I412">
        <v>1</v>
      </c>
      <c r="J412">
        <v>0.2</v>
      </c>
      <c r="K412" t="b">
        <v>1</v>
      </c>
    </row>
    <row r="413" spans="1:11" x14ac:dyDescent="0.2">
      <c r="A413">
        <v>512</v>
      </c>
      <c r="B413" t="s">
        <v>1155</v>
      </c>
      <c r="C413" s="1">
        <v>42692</v>
      </c>
      <c r="D413" s="1">
        <v>42697</v>
      </c>
      <c r="E413">
        <v>4</v>
      </c>
      <c r="F413" t="s">
        <v>511</v>
      </c>
      <c r="G413" t="s">
        <v>1156</v>
      </c>
      <c r="H413">
        <v>2</v>
      </c>
      <c r="I413">
        <v>0</v>
      </c>
      <c r="J413">
        <v>0</v>
      </c>
      <c r="K413" t="b">
        <v>0</v>
      </c>
    </row>
    <row r="414" spans="1:11" hidden="1" x14ac:dyDescent="0.2">
      <c r="A414">
        <v>513</v>
      </c>
      <c r="B414" t="s">
        <v>1157</v>
      </c>
      <c r="C414" s="1">
        <v>42730</v>
      </c>
      <c r="D414" s="1">
        <v>42734</v>
      </c>
      <c r="E414">
        <v>3</v>
      </c>
      <c r="F414" t="s">
        <v>508</v>
      </c>
      <c r="G414" t="s">
        <v>1158</v>
      </c>
      <c r="H414">
        <v>3</v>
      </c>
      <c r="I414">
        <v>1</v>
      </c>
      <c r="J414">
        <v>0.2</v>
      </c>
      <c r="K414" t="b">
        <v>0</v>
      </c>
    </row>
    <row r="415" spans="1:11" hidden="1" x14ac:dyDescent="0.2">
      <c r="A415">
        <v>514</v>
      </c>
      <c r="B415" t="s">
        <v>1159</v>
      </c>
      <c r="C415" s="1">
        <v>43002</v>
      </c>
      <c r="D415" s="1">
        <v>43005</v>
      </c>
      <c r="E415">
        <v>2</v>
      </c>
      <c r="F415" t="s">
        <v>460</v>
      </c>
      <c r="G415" t="s">
        <v>1160</v>
      </c>
      <c r="H415">
        <v>3</v>
      </c>
      <c r="I415">
        <v>0</v>
      </c>
      <c r="J415">
        <v>0</v>
      </c>
      <c r="K415" t="b">
        <v>0</v>
      </c>
    </row>
    <row r="416" spans="1:11" hidden="1" x14ac:dyDescent="0.2">
      <c r="A416">
        <v>515</v>
      </c>
      <c r="B416" t="s">
        <v>1159</v>
      </c>
      <c r="C416" s="1">
        <v>43002</v>
      </c>
      <c r="D416" s="1">
        <v>43005</v>
      </c>
      <c r="E416">
        <v>2</v>
      </c>
      <c r="F416" t="s">
        <v>460</v>
      </c>
      <c r="G416" t="s">
        <v>1161</v>
      </c>
      <c r="H416">
        <v>7</v>
      </c>
      <c r="I416">
        <v>0</v>
      </c>
      <c r="J416">
        <v>0</v>
      </c>
      <c r="K416" t="b">
        <v>0</v>
      </c>
    </row>
    <row r="417" spans="1:11" x14ac:dyDescent="0.2">
      <c r="A417">
        <v>516</v>
      </c>
      <c r="B417" t="s">
        <v>1162</v>
      </c>
      <c r="C417" s="1">
        <v>41769</v>
      </c>
      <c r="D417" s="1">
        <v>41774</v>
      </c>
      <c r="E417">
        <v>4</v>
      </c>
      <c r="F417" t="s">
        <v>499</v>
      </c>
      <c r="G417" t="s">
        <v>1163</v>
      </c>
      <c r="H417">
        <v>3</v>
      </c>
      <c r="I417">
        <v>0</v>
      </c>
      <c r="J417">
        <v>0</v>
      </c>
      <c r="K417" t="b">
        <v>0</v>
      </c>
    </row>
    <row r="418" spans="1:11" x14ac:dyDescent="0.2">
      <c r="A418">
        <v>517</v>
      </c>
      <c r="B418" t="s">
        <v>1162</v>
      </c>
      <c r="C418" s="1">
        <v>41769</v>
      </c>
      <c r="D418" s="1">
        <v>41774</v>
      </c>
      <c r="E418">
        <v>4</v>
      </c>
      <c r="F418" t="s">
        <v>499</v>
      </c>
      <c r="G418" t="s">
        <v>1164</v>
      </c>
      <c r="H418">
        <v>5</v>
      </c>
      <c r="I418">
        <v>1</v>
      </c>
      <c r="J418">
        <v>0.2</v>
      </c>
      <c r="K418" t="b">
        <v>1</v>
      </c>
    </row>
    <row r="419" spans="1:11" x14ac:dyDescent="0.2">
      <c r="A419">
        <v>518</v>
      </c>
      <c r="B419" t="s">
        <v>1165</v>
      </c>
      <c r="C419" s="1">
        <v>42432</v>
      </c>
      <c r="D419" s="1">
        <v>42437</v>
      </c>
      <c r="E419">
        <v>4</v>
      </c>
      <c r="F419" t="s">
        <v>19</v>
      </c>
      <c r="G419" t="s">
        <v>1166</v>
      </c>
      <c r="H419">
        <v>3</v>
      </c>
      <c r="I419">
        <v>1</v>
      </c>
      <c r="J419">
        <v>0.2</v>
      </c>
      <c r="K419" t="b">
        <v>0</v>
      </c>
    </row>
    <row r="420" spans="1:11" x14ac:dyDescent="0.2">
      <c r="A420">
        <v>519</v>
      </c>
      <c r="B420" t="s">
        <v>1165</v>
      </c>
      <c r="C420" s="1">
        <v>42432</v>
      </c>
      <c r="D420" s="1">
        <v>42437</v>
      </c>
      <c r="E420">
        <v>4</v>
      </c>
      <c r="F420" t="s">
        <v>19</v>
      </c>
      <c r="G420" t="s">
        <v>1167</v>
      </c>
      <c r="H420">
        <v>1</v>
      </c>
      <c r="I420">
        <v>1</v>
      </c>
      <c r="J420">
        <v>0.2</v>
      </c>
      <c r="K420" t="b">
        <v>0</v>
      </c>
    </row>
    <row r="421" spans="1:11" x14ac:dyDescent="0.2">
      <c r="A421">
        <v>520</v>
      </c>
      <c r="B421" t="s">
        <v>1165</v>
      </c>
      <c r="C421" s="1">
        <v>42432</v>
      </c>
      <c r="D421" s="1">
        <v>42437</v>
      </c>
      <c r="E421">
        <v>4</v>
      </c>
      <c r="F421" t="s">
        <v>19</v>
      </c>
      <c r="G421" t="s">
        <v>1168</v>
      </c>
      <c r="H421">
        <v>3</v>
      </c>
      <c r="I421">
        <v>1</v>
      </c>
      <c r="J421">
        <v>0.2</v>
      </c>
      <c r="K421" t="b">
        <v>0</v>
      </c>
    </row>
    <row r="422" spans="1:11" x14ac:dyDescent="0.2">
      <c r="A422">
        <v>521</v>
      </c>
      <c r="B422" t="s">
        <v>1165</v>
      </c>
      <c r="C422" s="1">
        <v>42432</v>
      </c>
      <c r="D422" s="1">
        <v>42437</v>
      </c>
      <c r="E422">
        <v>4</v>
      </c>
      <c r="F422" t="s">
        <v>19</v>
      </c>
      <c r="G422" t="s">
        <v>1169</v>
      </c>
      <c r="H422">
        <v>7</v>
      </c>
      <c r="I422">
        <v>1</v>
      </c>
      <c r="J422">
        <v>0.2</v>
      </c>
      <c r="K422" t="b">
        <v>0</v>
      </c>
    </row>
    <row r="423" spans="1:11" hidden="1" x14ac:dyDescent="0.2">
      <c r="A423">
        <v>522</v>
      </c>
      <c r="B423" t="s">
        <v>1170</v>
      </c>
      <c r="C423" s="1">
        <v>42136</v>
      </c>
      <c r="D423" s="1">
        <v>42140</v>
      </c>
      <c r="E423">
        <v>3</v>
      </c>
      <c r="F423" t="s">
        <v>568</v>
      </c>
      <c r="G423" t="s">
        <v>1171</v>
      </c>
      <c r="H423">
        <v>3</v>
      </c>
      <c r="I423">
        <v>0</v>
      </c>
      <c r="J423">
        <v>0</v>
      </c>
      <c r="K423" t="b">
        <v>0</v>
      </c>
    </row>
    <row r="424" spans="1:11" x14ac:dyDescent="0.2">
      <c r="A424">
        <v>523</v>
      </c>
      <c r="B424" t="s">
        <v>1172</v>
      </c>
      <c r="C424" s="1">
        <v>42542</v>
      </c>
      <c r="D424" s="1">
        <v>42547</v>
      </c>
      <c r="E424">
        <v>4</v>
      </c>
      <c r="F424" t="s">
        <v>541</v>
      </c>
      <c r="G424" t="s">
        <v>1173</v>
      </c>
      <c r="H424">
        <v>5</v>
      </c>
      <c r="I424">
        <v>1</v>
      </c>
      <c r="J424">
        <v>0.2</v>
      </c>
      <c r="K424" t="b">
        <v>0</v>
      </c>
    </row>
    <row r="425" spans="1:11" x14ac:dyDescent="0.2">
      <c r="A425">
        <v>524</v>
      </c>
      <c r="B425" t="s">
        <v>1172</v>
      </c>
      <c r="C425" s="1">
        <v>42542</v>
      </c>
      <c r="D425" s="1">
        <v>42547</v>
      </c>
      <c r="E425">
        <v>4</v>
      </c>
      <c r="F425" t="s">
        <v>541</v>
      </c>
      <c r="G425" t="s">
        <v>1174</v>
      </c>
      <c r="H425">
        <v>6</v>
      </c>
      <c r="I425">
        <v>1</v>
      </c>
      <c r="J425">
        <v>0.2</v>
      </c>
      <c r="K425" t="b">
        <v>0</v>
      </c>
    </row>
    <row r="426" spans="1:11" x14ac:dyDescent="0.2">
      <c r="A426">
        <v>525</v>
      </c>
      <c r="B426" t="s">
        <v>1172</v>
      </c>
      <c r="C426" s="1">
        <v>42542</v>
      </c>
      <c r="D426" s="1">
        <v>42547</v>
      </c>
      <c r="E426">
        <v>4</v>
      </c>
      <c r="F426" t="s">
        <v>541</v>
      </c>
      <c r="G426" t="s">
        <v>1145</v>
      </c>
      <c r="H426">
        <v>2</v>
      </c>
      <c r="I426">
        <v>1</v>
      </c>
      <c r="J426">
        <v>0.2</v>
      </c>
      <c r="K426" t="b">
        <v>0</v>
      </c>
    </row>
    <row r="427" spans="1:11" hidden="1" x14ac:dyDescent="0.2">
      <c r="A427">
        <v>526</v>
      </c>
      <c r="B427" t="s">
        <v>1175</v>
      </c>
      <c r="C427" s="1">
        <v>42068</v>
      </c>
      <c r="D427" s="1">
        <v>42070</v>
      </c>
      <c r="E427">
        <v>3</v>
      </c>
      <c r="F427" t="s">
        <v>485</v>
      </c>
      <c r="G427" t="s">
        <v>951</v>
      </c>
      <c r="H427">
        <v>2</v>
      </c>
      <c r="I427">
        <v>1</v>
      </c>
      <c r="J427">
        <v>0.3</v>
      </c>
      <c r="K427" t="b">
        <v>0</v>
      </c>
    </row>
    <row r="428" spans="1:11" hidden="1" x14ac:dyDescent="0.2">
      <c r="A428">
        <v>527</v>
      </c>
      <c r="B428" t="s">
        <v>1175</v>
      </c>
      <c r="C428" s="1">
        <v>42068</v>
      </c>
      <c r="D428" s="1">
        <v>42070</v>
      </c>
      <c r="E428">
        <v>3</v>
      </c>
      <c r="F428" t="s">
        <v>485</v>
      </c>
      <c r="G428" t="s">
        <v>1176</v>
      </c>
      <c r="H428">
        <v>2</v>
      </c>
      <c r="I428">
        <v>1</v>
      </c>
      <c r="J428">
        <v>0.2</v>
      </c>
      <c r="K428" t="b">
        <v>0</v>
      </c>
    </row>
    <row r="429" spans="1:11" x14ac:dyDescent="0.2">
      <c r="A429">
        <v>528</v>
      </c>
      <c r="B429" t="s">
        <v>1177</v>
      </c>
      <c r="C429" s="1">
        <v>42985</v>
      </c>
      <c r="D429" s="1">
        <v>42989</v>
      </c>
      <c r="E429">
        <v>4</v>
      </c>
      <c r="F429" t="s">
        <v>461</v>
      </c>
      <c r="G429" t="s">
        <v>1178</v>
      </c>
      <c r="H429">
        <v>1</v>
      </c>
      <c r="I429">
        <v>0</v>
      </c>
      <c r="J429">
        <v>0</v>
      </c>
      <c r="K429" t="b">
        <v>0</v>
      </c>
    </row>
    <row r="430" spans="1:11" x14ac:dyDescent="0.2">
      <c r="A430">
        <v>529</v>
      </c>
      <c r="B430" t="s">
        <v>1179</v>
      </c>
      <c r="C430" s="1">
        <v>42855</v>
      </c>
      <c r="D430" s="1">
        <v>42860</v>
      </c>
      <c r="E430">
        <v>4</v>
      </c>
      <c r="F430" t="s">
        <v>438</v>
      </c>
      <c r="G430" t="s">
        <v>1180</v>
      </c>
      <c r="H430">
        <v>4</v>
      </c>
      <c r="I430">
        <v>0</v>
      </c>
      <c r="J430">
        <v>0</v>
      </c>
      <c r="K430" t="b">
        <v>0</v>
      </c>
    </row>
    <row r="431" spans="1:11" x14ac:dyDescent="0.2">
      <c r="A431">
        <v>530</v>
      </c>
      <c r="B431" t="s">
        <v>1181</v>
      </c>
      <c r="C431" s="1">
        <v>42520</v>
      </c>
      <c r="D431" s="1">
        <v>42524</v>
      </c>
      <c r="E431">
        <v>4</v>
      </c>
      <c r="F431" t="s">
        <v>496</v>
      </c>
      <c r="G431" t="s">
        <v>1182</v>
      </c>
      <c r="H431">
        <v>10</v>
      </c>
      <c r="I431">
        <v>0</v>
      </c>
      <c r="J431">
        <v>0</v>
      </c>
      <c r="K431" t="b">
        <v>0</v>
      </c>
    </row>
    <row r="432" spans="1:11" x14ac:dyDescent="0.2">
      <c r="A432">
        <v>531</v>
      </c>
      <c r="B432" t="s">
        <v>1181</v>
      </c>
      <c r="C432" s="1">
        <v>42520</v>
      </c>
      <c r="D432" s="1">
        <v>42524</v>
      </c>
      <c r="E432">
        <v>4</v>
      </c>
      <c r="F432" t="s">
        <v>496</v>
      </c>
      <c r="G432" t="s">
        <v>1183</v>
      </c>
      <c r="H432">
        <v>6</v>
      </c>
      <c r="I432">
        <v>0</v>
      </c>
      <c r="J432">
        <v>0</v>
      </c>
      <c r="K432" t="b">
        <v>0</v>
      </c>
    </row>
    <row r="433" spans="1:11" x14ac:dyDescent="0.2">
      <c r="A433">
        <v>532</v>
      </c>
      <c r="B433" t="s">
        <v>1181</v>
      </c>
      <c r="C433" s="1">
        <v>42520</v>
      </c>
      <c r="D433" s="1">
        <v>42524</v>
      </c>
      <c r="E433">
        <v>4</v>
      </c>
      <c r="F433" t="s">
        <v>496</v>
      </c>
      <c r="G433" t="s">
        <v>1184</v>
      </c>
      <c r="H433">
        <v>6</v>
      </c>
      <c r="I433">
        <v>0</v>
      </c>
      <c r="J433">
        <v>0</v>
      </c>
      <c r="K433" t="b">
        <v>0</v>
      </c>
    </row>
    <row r="434" spans="1:11" x14ac:dyDescent="0.2">
      <c r="A434">
        <v>533</v>
      </c>
      <c r="B434" t="s">
        <v>1185</v>
      </c>
      <c r="C434" s="1">
        <v>41959</v>
      </c>
      <c r="D434" s="1">
        <v>41963</v>
      </c>
      <c r="E434">
        <v>4</v>
      </c>
      <c r="F434" t="s">
        <v>574</v>
      </c>
      <c r="G434" t="s">
        <v>1186</v>
      </c>
      <c r="H434">
        <v>2</v>
      </c>
      <c r="I434">
        <v>1</v>
      </c>
      <c r="J434">
        <v>0.3</v>
      </c>
      <c r="K434" t="b">
        <v>0</v>
      </c>
    </row>
    <row r="435" spans="1:11" x14ac:dyDescent="0.2">
      <c r="A435">
        <v>534</v>
      </c>
      <c r="B435" t="s">
        <v>1187</v>
      </c>
      <c r="C435" s="1">
        <v>43024</v>
      </c>
      <c r="D435" s="1">
        <v>43029</v>
      </c>
      <c r="E435">
        <v>4</v>
      </c>
      <c r="F435" t="s">
        <v>503</v>
      </c>
      <c r="G435" t="s">
        <v>905</v>
      </c>
      <c r="H435">
        <v>7</v>
      </c>
      <c r="I435">
        <v>1</v>
      </c>
      <c r="J435">
        <v>0.2</v>
      </c>
      <c r="K435" t="b">
        <v>0</v>
      </c>
    </row>
    <row r="436" spans="1:11" x14ac:dyDescent="0.2">
      <c r="A436">
        <v>535</v>
      </c>
      <c r="B436" t="s">
        <v>1188</v>
      </c>
      <c r="C436" s="1">
        <v>41772</v>
      </c>
      <c r="D436" s="1">
        <v>41778</v>
      </c>
      <c r="E436">
        <v>4</v>
      </c>
      <c r="F436" t="s">
        <v>471</v>
      </c>
      <c r="G436" t="s">
        <v>880</v>
      </c>
      <c r="H436">
        <v>6</v>
      </c>
      <c r="I436">
        <v>1</v>
      </c>
      <c r="J436">
        <v>0.2</v>
      </c>
      <c r="K436" t="b">
        <v>0</v>
      </c>
    </row>
    <row r="437" spans="1:11" x14ac:dyDescent="0.2">
      <c r="A437">
        <v>536</v>
      </c>
      <c r="B437" t="s">
        <v>1188</v>
      </c>
      <c r="C437" s="1">
        <v>41772</v>
      </c>
      <c r="D437" s="1">
        <v>41778</v>
      </c>
      <c r="E437">
        <v>4</v>
      </c>
      <c r="F437" t="s">
        <v>471</v>
      </c>
      <c r="G437" t="s">
        <v>1189</v>
      </c>
      <c r="H437">
        <v>2</v>
      </c>
      <c r="I437">
        <v>0</v>
      </c>
      <c r="J437">
        <v>0</v>
      </c>
      <c r="K437" t="b">
        <v>0</v>
      </c>
    </row>
    <row r="438" spans="1:11" hidden="1" x14ac:dyDescent="0.2">
      <c r="A438">
        <v>537</v>
      </c>
      <c r="B438" t="s">
        <v>1190</v>
      </c>
      <c r="C438" s="1">
        <v>42642</v>
      </c>
      <c r="D438" s="1">
        <v>42646</v>
      </c>
      <c r="E438">
        <v>3</v>
      </c>
      <c r="F438" t="s">
        <v>533</v>
      </c>
      <c r="G438" t="s">
        <v>1191</v>
      </c>
      <c r="H438">
        <v>5</v>
      </c>
      <c r="I438">
        <v>1</v>
      </c>
      <c r="J438">
        <v>0.2</v>
      </c>
      <c r="K438" t="b">
        <v>0</v>
      </c>
    </row>
    <row r="439" spans="1:11" x14ac:dyDescent="0.2">
      <c r="A439">
        <v>538</v>
      </c>
      <c r="B439" t="s">
        <v>1192</v>
      </c>
      <c r="C439" s="1">
        <v>42301</v>
      </c>
      <c r="D439" s="1">
        <v>42307</v>
      </c>
      <c r="E439">
        <v>4</v>
      </c>
      <c r="F439" t="s">
        <v>454</v>
      </c>
      <c r="G439" t="s">
        <v>1193</v>
      </c>
      <c r="H439">
        <v>3</v>
      </c>
      <c r="I439">
        <v>1</v>
      </c>
      <c r="J439">
        <v>0.2</v>
      </c>
      <c r="K439" t="b">
        <v>0</v>
      </c>
    </row>
    <row r="440" spans="1:11" x14ac:dyDescent="0.2">
      <c r="A440">
        <v>539</v>
      </c>
      <c r="B440" t="s">
        <v>1192</v>
      </c>
      <c r="C440" s="1">
        <v>42301</v>
      </c>
      <c r="D440" s="1">
        <v>42307</v>
      </c>
      <c r="E440">
        <v>4</v>
      </c>
      <c r="F440" t="s">
        <v>454</v>
      </c>
      <c r="G440" t="s">
        <v>1194</v>
      </c>
      <c r="H440">
        <v>7</v>
      </c>
      <c r="I440">
        <v>1</v>
      </c>
      <c r="J440">
        <v>0.3</v>
      </c>
      <c r="K440" t="b">
        <v>0</v>
      </c>
    </row>
    <row r="441" spans="1:11" x14ac:dyDescent="0.2">
      <c r="A441">
        <v>540</v>
      </c>
      <c r="B441" t="s">
        <v>1192</v>
      </c>
      <c r="C441" s="1">
        <v>42301</v>
      </c>
      <c r="D441" s="1">
        <v>42307</v>
      </c>
      <c r="E441">
        <v>4</v>
      </c>
      <c r="F441" t="s">
        <v>454</v>
      </c>
      <c r="G441" t="s">
        <v>1195</v>
      </c>
      <c r="H441">
        <v>2</v>
      </c>
      <c r="I441">
        <v>1</v>
      </c>
      <c r="J441">
        <v>0.2</v>
      </c>
      <c r="K441" t="b">
        <v>0</v>
      </c>
    </row>
    <row r="442" spans="1:11" x14ac:dyDescent="0.2">
      <c r="A442">
        <v>541</v>
      </c>
      <c r="B442" t="s">
        <v>1196</v>
      </c>
      <c r="C442" s="1">
        <v>42971</v>
      </c>
      <c r="D442" s="1">
        <v>42976</v>
      </c>
      <c r="E442">
        <v>4</v>
      </c>
      <c r="F442" t="s">
        <v>486</v>
      </c>
      <c r="G442" t="s">
        <v>992</v>
      </c>
      <c r="H442">
        <v>4</v>
      </c>
      <c r="I442">
        <v>1</v>
      </c>
      <c r="J442">
        <v>0.2</v>
      </c>
      <c r="K442" t="b">
        <v>0</v>
      </c>
    </row>
    <row r="443" spans="1:11" x14ac:dyDescent="0.2">
      <c r="A443">
        <v>542</v>
      </c>
      <c r="B443" t="s">
        <v>1196</v>
      </c>
      <c r="C443" s="1">
        <v>42971</v>
      </c>
      <c r="D443" s="1">
        <v>42976</v>
      </c>
      <c r="E443">
        <v>4</v>
      </c>
      <c r="F443" t="s">
        <v>486</v>
      </c>
      <c r="G443" t="s">
        <v>1197</v>
      </c>
      <c r="H443">
        <v>1</v>
      </c>
      <c r="I443">
        <v>1</v>
      </c>
      <c r="J443">
        <v>0.2</v>
      </c>
      <c r="K443" t="b">
        <v>0</v>
      </c>
    </row>
    <row r="444" spans="1:11" x14ac:dyDescent="0.2">
      <c r="A444">
        <v>543</v>
      </c>
      <c r="B444" t="s">
        <v>1198</v>
      </c>
      <c r="C444" s="1">
        <v>41918</v>
      </c>
      <c r="D444" s="1">
        <v>41920</v>
      </c>
      <c r="E444">
        <v>4</v>
      </c>
      <c r="F444" t="s">
        <v>513</v>
      </c>
      <c r="G444" t="s">
        <v>1199</v>
      </c>
      <c r="H444">
        <v>2</v>
      </c>
      <c r="I444">
        <v>0</v>
      </c>
      <c r="J444">
        <v>0</v>
      </c>
      <c r="K444" t="b">
        <v>0</v>
      </c>
    </row>
    <row r="445" spans="1:11" x14ac:dyDescent="0.2">
      <c r="A445">
        <v>544</v>
      </c>
      <c r="B445" t="s">
        <v>1200</v>
      </c>
      <c r="C445" s="1">
        <v>42987</v>
      </c>
      <c r="D445" s="1">
        <v>42991</v>
      </c>
      <c r="E445">
        <v>4</v>
      </c>
      <c r="F445" t="s">
        <v>501</v>
      </c>
      <c r="G445" t="s">
        <v>1201</v>
      </c>
      <c r="H445">
        <v>2</v>
      </c>
      <c r="I445">
        <v>1</v>
      </c>
      <c r="J445">
        <v>0.2</v>
      </c>
      <c r="K445" t="b">
        <v>0</v>
      </c>
    </row>
    <row r="446" spans="1:11" hidden="1" x14ac:dyDescent="0.2">
      <c r="A446">
        <v>545</v>
      </c>
      <c r="B446" t="s">
        <v>1202</v>
      </c>
      <c r="C446" s="1">
        <v>42132</v>
      </c>
      <c r="D446" s="1">
        <v>42134</v>
      </c>
      <c r="E446">
        <v>2</v>
      </c>
      <c r="F446" t="s">
        <v>416</v>
      </c>
      <c r="G446" t="s">
        <v>1203</v>
      </c>
      <c r="H446">
        <v>2</v>
      </c>
      <c r="I446">
        <v>0</v>
      </c>
      <c r="J446">
        <v>0</v>
      </c>
      <c r="K446" t="b">
        <v>0</v>
      </c>
    </row>
    <row r="447" spans="1:11" x14ac:dyDescent="0.2">
      <c r="A447">
        <v>546</v>
      </c>
      <c r="B447" t="s">
        <v>1204</v>
      </c>
      <c r="C447" s="1">
        <v>42344</v>
      </c>
      <c r="D447" s="1">
        <v>42349</v>
      </c>
      <c r="E447">
        <v>4</v>
      </c>
      <c r="F447" t="s">
        <v>444</v>
      </c>
      <c r="G447" t="s">
        <v>1205</v>
      </c>
      <c r="H447">
        <v>2</v>
      </c>
      <c r="I447">
        <v>0</v>
      </c>
      <c r="J447">
        <v>0</v>
      </c>
      <c r="K447" t="b">
        <v>0</v>
      </c>
    </row>
    <row r="448" spans="1:11" x14ac:dyDescent="0.2">
      <c r="A448">
        <v>547</v>
      </c>
      <c r="B448" t="s">
        <v>1206</v>
      </c>
      <c r="C448" s="1">
        <v>42402</v>
      </c>
      <c r="D448" s="1">
        <v>42407</v>
      </c>
      <c r="E448">
        <v>4</v>
      </c>
      <c r="F448" t="s">
        <v>400</v>
      </c>
      <c r="G448" t="s">
        <v>1207</v>
      </c>
      <c r="H448">
        <v>2</v>
      </c>
      <c r="I448">
        <v>0</v>
      </c>
      <c r="J448">
        <v>0</v>
      </c>
      <c r="K448" t="b">
        <v>1</v>
      </c>
    </row>
    <row r="449" spans="1:11" hidden="1" x14ac:dyDescent="0.2">
      <c r="A449">
        <v>548</v>
      </c>
      <c r="B449" t="s">
        <v>1208</v>
      </c>
      <c r="C449" s="1">
        <v>42827</v>
      </c>
      <c r="D449" s="1">
        <v>42830</v>
      </c>
      <c r="E449">
        <v>3</v>
      </c>
      <c r="F449" t="s">
        <v>556</v>
      </c>
      <c r="G449" t="s">
        <v>1209</v>
      </c>
      <c r="H449">
        <v>4</v>
      </c>
      <c r="I449">
        <v>0</v>
      </c>
      <c r="J449">
        <v>0</v>
      </c>
      <c r="K449" t="b">
        <v>0</v>
      </c>
    </row>
    <row r="450" spans="1:11" x14ac:dyDescent="0.2">
      <c r="A450">
        <v>549</v>
      </c>
      <c r="B450" t="s">
        <v>1210</v>
      </c>
      <c r="C450" s="1">
        <v>42139</v>
      </c>
      <c r="D450" s="1">
        <v>42144</v>
      </c>
      <c r="E450">
        <v>4</v>
      </c>
      <c r="F450" t="s">
        <v>496</v>
      </c>
      <c r="G450" t="s">
        <v>1211</v>
      </c>
      <c r="H450">
        <v>3</v>
      </c>
      <c r="I450">
        <v>0</v>
      </c>
      <c r="J450">
        <v>0</v>
      </c>
      <c r="K450" t="b">
        <v>0</v>
      </c>
    </row>
    <row r="451" spans="1:11" x14ac:dyDescent="0.2">
      <c r="A451">
        <v>550</v>
      </c>
      <c r="B451" t="s">
        <v>1212</v>
      </c>
      <c r="C451" s="1">
        <v>42008</v>
      </c>
      <c r="D451" s="1">
        <v>42013</v>
      </c>
      <c r="E451">
        <v>4</v>
      </c>
      <c r="F451" t="s">
        <v>455</v>
      </c>
      <c r="G451" t="s">
        <v>755</v>
      </c>
      <c r="H451">
        <v>14</v>
      </c>
      <c r="I451">
        <v>0</v>
      </c>
      <c r="J451">
        <v>0</v>
      </c>
      <c r="K451" t="b">
        <v>0</v>
      </c>
    </row>
    <row r="452" spans="1:11" hidden="1" x14ac:dyDescent="0.2">
      <c r="A452">
        <v>551</v>
      </c>
      <c r="B452" t="s">
        <v>1213</v>
      </c>
      <c r="C452" s="1">
        <v>42933</v>
      </c>
      <c r="D452" s="1">
        <v>42935</v>
      </c>
      <c r="E452">
        <v>3</v>
      </c>
      <c r="F452" t="s">
        <v>508</v>
      </c>
      <c r="G452" t="s">
        <v>1214</v>
      </c>
      <c r="H452">
        <v>5</v>
      </c>
      <c r="I452">
        <v>0</v>
      </c>
      <c r="J452">
        <v>0</v>
      </c>
      <c r="K452" t="b">
        <v>0</v>
      </c>
    </row>
    <row r="453" spans="1:11" hidden="1" x14ac:dyDescent="0.2">
      <c r="A453">
        <v>552</v>
      </c>
      <c r="B453" t="s">
        <v>1213</v>
      </c>
      <c r="C453" s="1">
        <v>42933</v>
      </c>
      <c r="D453" s="1">
        <v>42935</v>
      </c>
      <c r="E453">
        <v>3</v>
      </c>
      <c r="F453" t="s">
        <v>508</v>
      </c>
      <c r="G453" t="s">
        <v>1215</v>
      </c>
      <c r="H453">
        <v>5</v>
      </c>
      <c r="I453">
        <v>0</v>
      </c>
      <c r="J453">
        <v>0</v>
      </c>
      <c r="K453" t="b">
        <v>0</v>
      </c>
    </row>
    <row r="454" spans="1:11" hidden="1" x14ac:dyDescent="0.2">
      <c r="A454">
        <v>553</v>
      </c>
      <c r="B454" t="s">
        <v>1213</v>
      </c>
      <c r="C454" s="1">
        <v>42933</v>
      </c>
      <c r="D454" s="1">
        <v>42935</v>
      </c>
      <c r="E454">
        <v>3</v>
      </c>
      <c r="F454" t="s">
        <v>508</v>
      </c>
      <c r="G454" t="s">
        <v>1216</v>
      </c>
      <c r="H454">
        <v>2</v>
      </c>
      <c r="I454">
        <v>0</v>
      </c>
      <c r="J454">
        <v>0</v>
      </c>
      <c r="K454" t="b">
        <v>0</v>
      </c>
    </row>
    <row r="455" spans="1:11" hidden="1" x14ac:dyDescent="0.2">
      <c r="A455">
        <v>554</v>
      </c>
      <c r="B455" t="s">
        <v>1213</v>
      </c>
      <c r="C455" s="1">
        <v>42933</v>
      </c>
      <c r="D455" s="1">
        <v>42935</v>
      </c>
      <c r="E455">
        <v>3</v>
      </c>
      <c r="F455" t="s">
        <v>508</v>
      </c>
      <c r="G455" t="s">
        <v>1217</v>
      </c>
      <c r="H455">
        <v>5</v>
      </c>
      <c r="I455">
        <v>1</v>
      </c>
      <c r="J455">
        <v>0.15</v>
      </c>
      <c r="K455" t="b">
        <v>0</v>
      </c>
    </row>
    <row r="456" spans="1:11" hidden="1" x14ac:dyDescent="0.2">
      <c r="A456">
        <v>555</v>
      </c>
      <c r="B456" t="s">
        <v>1218</v>
      </c>
      <c r="C456" s="1">
        <v>42722</v>
      </c>
      <c r="D456" s="1">
        <v>42725</v>
      </c>
      <c r="E456">
        <v>2</v>
      </c>
      <c r="F456" t="s">
        <v>481</v>
      </c>
      <c r="G456" t="s">
        <v>1088</v>
      </c>
      <c r="H456">
        <v>4</v>
      </c>
      <c r="I456">
        <v>1</v>
      </c>
      <c r="J456">
        <v>0.7</v>
      </c>
      <c r="K456" t="b">
        <v>0</v>
      </c>
    </row>
    <row r="457" spans="1:11" hidden="1" x14ac:dyDescent="0.2">
      <c r="A457">
        <v>556</v>
      </c>
      <c r="B457" t="s">
        <v>1218</v>
      </c>
      <c r="C457" s="1">
        <v>42722</v>
      </c>
      <c r="D457" s="1">
        <v>42725</v>
      </c>
      <c r="E457">
        <v>2</v>
      </c>
      <c r="F457" t="s">
        <v>481</v>
      </c>
      <c r="G457" t="s">
        <v>1219</v>
      </c>
      <c r="H457">
        <v>4</v>
      </c>
      <c r="I457">
        <v>1</v>
      </c>
      <c r="J457">
        <v>0.2</v>
      </c>
      <c r="K457" t="b">
        <v>0</v>
      </c>
    </row>
    <row r="458" spans="1:11" hidden="1" x14ac:dyDescent="0.2">
      <c r="A458">
        <v>557</v>
      </c>
      <c r="B458" t="s">
        <v>1218</v>
      </c>
      <c r="C458" s="1">
        <v>42722</v>
      </c>
      <c r="D458" s="1">
        <v>42725</v>
      </c>
      <c r="E458">
        <v>2</v>
      </c>
      <c r="F458" t="s">
        <v>481</v>
      </c>
      <c r="G458" t="s">
        <v>1220</v>
      </c>
      <c r="H458">
        <v>2</v>
      </c>
      <c r="I458">
        <v>1</v>
      </c>
      <c r="J458">
        <v>0.2</v>
      </c>
      <c r="K458" t="b">
        <v>0</v>
      </c>
    </row>
    <row r="459" spans="1:11" hidden="1" x14ac:dyDescent="0.2">
      <c r="A459">
        <v>558</v>
      </c>
      <c r="B459" t="s">
        <v>1218</v>
      </c>
      <c r="C459" s="1">
        <v>42722</v>
      </c>
      <c r="D459" s="1">
        <v>42725</v>
      </c>
      <c r="E459">
        <v>2</v>
      </c>
      <c r="F459" t="s">
        <v>481</v>
      </c>
      <c r="G459" t="s">
        <v>1221</v>
      </c>
      <c r="H459">
        <v>3</v>
      </c>
      <c r="I459">
        <v>1</v>
      </c>
      <c r="J459">
        <v>0.2</v>
      </c>
      <c r="K459" t="b">
        <v>1</v>
      </c>
    </row>
    <row r="460" spans="1:11" hidden="1" x14ac:dyDescent="0.2">
      <c r="A460">
        <v>559</v>
      </c>
      <c r="B460" t="s">
        <v>1218</v>
      </c>
      <c r="C460" s="1">
        <v>42722</v>
      </c>
      <c r="D460" s="1">
        <v>42725</v>
      </c>
      <c r="E460">
        <v>2</v>
      </c>
      <c r="F460" t="s">
        <v>481</v>
      </c>
      <c r="G460" t="s">
        <v>1222</v>
      </c>
      <c r="H460">
        <v>5</v>
      </c>
      <c r="I460">
        <v>1</v>
      </c>
      <c r="J460">
        <v>0.5</v>
      </c>
      <c r="K460" t="b">
        <v>0</v>
      </c>
    </row>
    <row r="461" spans="1:11" hidden="1" x14ac:dyDescent="0.2">
      <c r="A461">
        <v>560</v>
      </c>
      <c r="B461" t="s">
        <v>1218</v>
      </c>
      <c r="C461" s="1">
        <v>42722</v>
      </c>
      <c r="D461" s="1">
        <v>42725</v>
      </c>
      <c r="E461">
        <v>2</v>
      </c>
      <c r="F461" t="s">
        <v>481</v>
      </c>
      <c r="G461" t="s">
        <v>1223</v>
      </c>
      <c r="H461">
        <v>4</v>
      </c>
      <c r="I461">
        <v>1</v>
      </c>
      <c r="J461">
        <v>0.2</v>
      </c>
      <c r="K461" t="b">
        <v>0</v>
      </c>
    </row>
    <row r="462" spans="1:11" hidden="1" x14ac:dyDescent="0.2">
      <c r="A462">
        <v>561</v>
      </c>
      <c r="B462" t="s">
        <v>1218</v>
      </c>
      <c r="C462" s="1">
        <v>42722</v>
      </c>
      <c r="D462" s="1">
        <v>42725</v>
      </c>
      <c r="E462">
        <v>2</v>
      </c>
      <c r="F462" t="s">
        <v>481</v>
      </c>
      <c r="G462" t="s">
        <v>1224</v>
      </c>
      <c r="H462">
        <v>3</v>
      </c>
      <c r="I462">
        <v>1</v>
      </c>
      <c r="J462">
        <v>0.2</v>
      </c>
      <c r="K462" t="b">
        <v>0</v>
      </c>
    </row>
    <row r="463" spans="1:11" hidden="1" x14ac:dyDescent="0.2">
      <c r="A463">
        <v>562</v>
      </c>
      <c r="B463" t="s">
        <v>1225</v>
      </c>
      <c r="C463" s="1">
        <v>42495</v>
      </c>
      <c r="D463" s="1">
        <v>42497</v>
      </c>
      <c r="E463">
        <v>3</v>
      </c>
      <c r="F463" t="s">
        <v>491</v>
      </c>
      <c r="G463" t="s">
        <v>1226</v>
      </c>
      <c r="H463">
        <v>2</v>
      </c>
      <c r="I463">
        <v>1</v>
      </c>
      <c r="J463">
        <v>0.2</v>
      </c>
      <c r="K463" t="b">
        <v>0</v>
      </c>
    </row>
    <row r="464" spans="1:11" x14ac:dyDescent="0.2">
      <c r="A464">
        <v>563</v>
      </c>
      <c r="B464" t="s">
        <v>1227</v>
      </c>
      <c r="C464" s="1">
        <v>43022</v>
      </c>
      <c r="D464" s="1">
        <v>43026</v>
      </c>
      <c r="E464">
        <v>4</v>
      </c>
      <c r="F464" t="s">
        <v>464</v>
      </c>
      <c r="G464" t="s">
        <v>1228</v>
      </c>
      <c r="H464">
        <v>9</v>
      </c>
      <c r="I464">
        <v>1</v>
      </c>
      <c r="J464">
        <v>0.8</v>
      </c>
      <c r="K464" t="b">
        <v>1</v>
      </c>
    </row>
    <row r="465" spans="1:11" x14ac:dyDescent="0.2">
      <c r="A465">
        <v>564</v>
      </c>
      <c r="B465" t="s">
        <v>1227</v>
      </c>
      <c r="C465" s="1">
        <v>43022</v>
      </c>
      <c r="D465" s="1">
        <v>43026</v>
      </c>
      <c r="E465">
        <v>4</v>
      </c>
      <c r="F465" t="s">
        <v>464</v>
      </c>
      <c r="G465" t="s">
        <v>1229</v>
      </c>
      <c r="H465">
        <v>1</v>
      </c>
      <c r="I465">
        <v>1</v>
      </c>
      <c r="J465">
        <v>0.8</v>
      </c>
      <c r="K465" t="b">
        <v>0</v>
      </c>
    </row>
    <row r="466" spans="1:11" hidden="1" x14ac:dyDescent="0.2">
      <c r="A466">
        <v>565</v>
      </c>
      <c r="B466" t="s">
        <v>1230</v>
      </c>
      <c r="C466" s="1">
        <v>43003</v>
      </c>
      <c r="D466" s="1">
        <v>43007</v>
      </c>
      <c r="E466">
        <v>2</v>
      </c>
      <c r="F466" t="s">
        <v>467</v>
      </c>
      <c r="G466" t="s">
        <v>1231</v>
      </c>
      <c r="H466">
        <v>5</v>
      </c>
      <c r="I466">
        <v>0</v>
      </c>
      <c r="J466">
        <v>0</v>
      </c>
      <c r="K466" t="b">
        <v>0</v>
      </c>
    </row>
    <row r="467" spans="1:11" x14ac:dyDescent="0.2">
      <c r="A467">
        <v>566</v>
      </c>
      <c r="B467" t="s">
        <v>1232</v>
      </c>
      <c r="C467" s="1">
        <v>42128</v>
      </c>
      <c r="D467" s="1">
        <v>42132</v>
      </c>
      <c r="E467">
        <v>4</v>
      </c>
      <c r="F467" t="s">
        <v>497</v>
      </c>
      <c r="G467" t="s">
        <v>1233</v>
      </c>
      <c r="H467">
        <v>7</v>
      </c>
      <c r="I467">
        <v>1</v>
      </c>
      <c r="J467">
        <v>0.2</v>
      </c>
      <c r="K467" t="b">
        <v>0</v>
      </c>
    </row>
    <row r="468" spans="1:11" hidden="1" x14ac:dyDescent="0.2">
      <c r="A468">
        <v>567</v>
      </c>
      <c r="B468" t="s">
        <v>1234</v>
      </c>
      <c r="C468" s="1">
        <v>42092</v>
      </c>
      <c r="D468" s="1">
        <v>42097</v>
      </c>
      <c r="E468">
        <v>3</v>
      </c>
      <c r="F468" t="s">
        <v>549</v>
      </c>
      <c r="G468" t="s">
        <v>1147</v>
      </c>
      <c r="H468">
        <v>2</v>
      </c>
      <c r="I468">
        <v>0</v>
      </c>
      <c r="J468">
        <v>0</v>
      </c>
      <c r="K468" t="b">
        <v>0</v>
      </c>
    </row>
    <row r="469" spans="1:11" hidden="1" x14ac:dyDescent="0.2">
      <c r="A469">
        <v>568</v>
      </c>
      <c r="B469" t="s">
        <v>1235</v>
      </c>
      <c r="C469" s="1">
        <v>42986</v>
      </c>
      <c r="D469" s="1">
        <v>42990</v>
      </c>
      <c r="E469">
        <v>3</v>
      </c>
      <c r="F469" t="s">
        <v>530</v>
      </c>
      <c r="G469" t="s">
        <v>1236</v>
      </c>
      <c r="H469">
        <v>6</v>
      </c>
      <c r="I469">
        <v>1</v>
      </c>
      <c r="J469">
        <v>0.2</v>
      </c>
      <c r="K469" t="b">
        <v>0</v>
      </c>
    </row>
    <row r="470" spans="1:11" x14ac:dyDescent="0.2">
      <c r="A470">
        <v>569</v>
      </c>
      <c r="B470" t="s">
        <v>1237</v>
      </c>
      <c r="C470" s="1">
        <v>41954</v>
      </c>
      <c r="D470" s="1">
        <v>41961</v>
      </c>
      <c r="E470">
        <v>4</v>
      </c>
      <c r="F470" t="s">
        <v>529</v>
      </c>
      <c r="G470" t="s">
        <v>1238</v>
      </c>
      <c r="H470">
        <v>3</v>
      </c>
      <c r="I470">
        <v>0</v>
      </c>
      <c r="J470">
        <v>0</v>
      </c>
      <c r="K470" t="b">
        <v>1</v>
      </c>
    </row>
    <row r="471" spans="1:11" x14ac:dyDescent="0.2">
      <c r="A471">
        <v>570</v>
      </c>
      <c r="B471" t="s">
        <v>1237</v>
      </c>
      <c r="C471" s="1">
        <v>41954</v>
      </c>
      <c r="D471" s="1">
        <v>41961</v>
      </c>
      <c r="E471">
        <v>4</v>
      </c>
      <c r="F471" t="s">
        <v>529</v>
      </c>
      <c r="G471" t="s">
        <v>1239</v>
      </c>
      <c r="H471">
        <v>1</v>
      </c>
      <c r="I471">
        <v>1</v>
      </c>
      <c r="J471">
        <v>0.2</v>
      </c>
      <c r="K471" t="b">
        <v>0</v>
      </c>
    </row>
    <row r="472" spans="1:11" hidden="1" x14ac:dyDescent="0.2">
      <c r="A472">
        <v>571</v>
      </c>
      <c r="B472" t="s">
        <v>1240</v>
      </c>
      <c r="C472" s="1">
        <v>42170</v>
      </c>
      <c r="D472" s="1">
        <v>42172</v>
      </c>
      <c r="E472">
        <v>2</v>
      </c>
      <c r="F472" t="s">
        <v>426</v>
      </c>
      <c r="G472" t="s">
        <v>1241</v>
      </c>
      <c r="H472">
        <v>1</v>
      </c>
      <c r="I472">
        <v>1</v>
      </c>
      <c r="J472">
        <v>0.2</v>
      </c>
      <c r="K472" t="b">
        <v>0</v>
      </c>
    </row>
    <row r="473" spans="1:11" x14ac:dyDescent="0.2">
      <c r="A473">
        <v>572</v>
      </c>
      <c r="B473" t="s">
        <v>1242</v>
      </c>
      <c r="C473" s="1">
        <v>41761</v>
      </c>
      <c r="D473" s="1">
        <v>41761</v>
      </c>
      <c r="E473">
        <v>4</v>
      </c>
      <c r="F473" t="s">
        <v>532</v>
      </c>
      <c r="G473" t="s">
        <v>1243</v>
      </c>
      <c r="H473">
        <v>3</v>
      </c>
      <c r="I473">
        <v>1</v>
      </c>
      <c r="J473">
        <v>0.2</v>
      </c>
      <c r="K473" t="b">
        <v>0</v>
      </c>
    </row>
    <row r="474" spans="1:11" x14ac:dyDescent="0.2">
      <c r="A474">
        <v>573</v>
      </c>
      <c r="B474" t="s">
        <v>1244</v>
      </c>
      <c r="C474" s="1">
        <v>42221</v>
      </c>
      <c r="D474" s="1">
        <v>42227</v>
      </c>
      <c r="E474">
        <v>4</v>
      </c>
      <c r="F474" t="s">
        <v>497</v>
      </c>
      <c r="G474" t="s">
        <v>1245</v>
      </c>
      <c r="H474">
        <v>7</v>
      </c>
      <c r="I474">
        <v>1</v>
      </c>
      <c r="J474">
        <v>0.2</v>
      </c>
      <c r="K474" t="b">
        <v>0</v>
      </c>
    </row>
    <row r="475" spans="1:11" x14ac:dyDescent="0.2">
      <c r="A475">
        <v>574</v>
      </c>
      <c r="B475" t="s">
        <v>1244</v>
      </c>
      <c r="C475" s="1">
        <v>42221</v>
      </c>
      <c r="D475" s="1">
        <v>42227</v>
      </c>
      <c r="E475">
        <v>4</v>
      </c>
      <c r="F475" t="s">
        <v>497</v>
      </c>
      <c r="G475" t="s">
        <v>1246</v>
      </c>
      <c r="H475">
        <v>3</v>
      </c>
      <c r="I475">
        <v>1</v>
      </c>
      <c r="J475">
        <v>0.2</v>
      </c>
      <c r="K475" t="b">
        <v>0</v>
      </c>
    </row>
    <row r="476" spans="1:11" x14ac:dyDescent="0.2">
      <c r="A476">
        <v>575</v>
      </c>
      <c r="B476" t="s">
        <v>1244</v>
      </c>
      <c r="C476" s="1">
        <v>42221</v>
      </c>
      <c r="D476" s="1">
        <v>42227</v>
      </c>
      <c r="E476">
        <v>4</v>
      </c>
      <c r="F476" t="s">
        <v>497</v>
      </c>
      <c r="G476" t="s">
        <v>1191</v>
      </c>
      <c r="H476">
        <v>1</v>
      </c>
      <c r="I476">
        <v>1</v>
      </c>
      <c r="J476">
        <v>0.8</v>
      </c>
      <c r="K476" t="b">
        <v>0</v>
      </c>
    </row>
    <row r="477" spans="1:11" x14ac:dyDescent="0.2">
      <c r="A477">
        <v>576</v>
      </c>
      <c r="B477" t="s">
        <v>1244</v>
      </c>
      <c r="C477" s="1">
        <v>42221</v>
      </c>
      <c r="D477" s="1">
        <v>42227</v>
      </c>
      <c r="E477">
        <v>4</v>
      </c>
      <c r="F477" t="s">
        <v>497</v>
      </c>
      <c r="G477" t="s">
        <v>1040</v>
      </c>
      <c r="H477">
        <v>5</v>
      </c>
      <c r="I477">
        <v>1</v>
      </c>
      <c r="J477">
        <v>0.6</v>
      </c>
      <c r="K477" t="b">
        <v>0</v>
      </c>
    </row>
    <row r="478" spans="1:11" x14ac:dyDescent="0.2">
      <c r="A478">
        <v>577</v>
      </c>
      <c r="B478" t="s">
        <v>1247</v>
      </c>
      <c r="C478" s="1">
        <v>42985</v>
      </c>
      <c r="D478" s="1">
        <v>42989</v>
      </c>
      <c r="E478">
        <v>4</v>
      </c>
      <c r="F478" t="s">
        <v>451</v>
      </c>
      <c r="G478" t="s">
        <v>1248</v>
      </c>
      <c r="H478">
        <v>4</v>
      </c>
      <c r="I478">
        <v>0</v>
      </c>
      <c r="J478">
        <v>0</v>
      </c>
      <c r="K478" t="b">
        <v>0</v>
      </c>
    </row>
    <row r="479" spans="1:11" hidden="1" x14ac:dyDescent="0.2">
      <c r="A479">
        <v>578</v>
      </c>
      <c r="B479" t="s">
        <v>1249</v>
      </c>
      <c r="C479" s="1">
        <v>41735</v>
      </c>
      <c r="D479" s="1">
        <v>41741</v>
      </c>
      <c r="E479">
        <v>3</v>
      </c>
      <c r="F479" t="s">
        <v>566</v>
      </c>
      <c r="G479" t="s">
        <v>1250</v>
      </c>
      <c r="H479">
        <v>2</v>
      </c>
      <c r="I479">
        <v>0</v>
      </c>
      <c r="J479">
        <v>0</v>
      </c>
      <c r="K479" t="b">
        <v>0</v>
      </c>
    </row>
    <row r="480" spans="1:11" hidden="1" x14ac:dyDescent="0.2">
      <c r="A480">
        <v>579</v>
      </c>
      <c r="B480" t="s">
        <v>1249</v>
      </c>
      <c r="C480" s="1">
        <v>41735</v>
      </c>
      <c r="D480" s="1">
        <v>41741</v>
      </c>
      <c r="E480">
        <v>3</v>
      </c>
      <c r="F480" t="s">
        <v>566</v>
      </c>
      <c r="G480" t="s">
        <v>991</v>
      </c>
      <c r="H480">
        <v>7</v>
      </c>
      <c r="I480">
        <v>0</v>
      </c>
      <c r="J480">
        <v>0</v>
      </c>
      <c r="K480" t="b">
        <v>0</v>
      </c>
    </row>
    <row r="481" spans="1:11" hidden="1" x14ac:dyDescent="0.2">
      <c r="A481">
        <v>580</v>
      </c>
      <c r="B481" t="s">
        <v>1249</v>
      </c>
      <c r="C481" s="1">
        <v>41735</v>
      </c>
      <c r="D481" s="1">
        <v>41741</v>
      </c>
      <c r="E481">
        <v>3</v>
      </c>
      <c r="F481" t="s">
        <v>566</v>
      </c>
      <c r="G481" t="s">
        <v>1251</v>
      </c>
      <c r="H481">
        <v>3</v>
      </c>
      <c r="I481">
        <v>0</v>
      </c>
      <c r="J481">
        <v>0</v>
      </c>
      <c r="K481" t="b">
        <v>0</v>
      </c>
    </row>
    <row r="482" spans="1:11" hidden="1" x14ac:dyDescent="0.2">
      <c r="A482">
        <v>581</v>
      </c>
      <c r="B482" t="s">
        <v>1249</v>
      </c>
      <c r="C482" s="1">
        <v>41735</v>
      </c>
      <c r="D482" s="1">
        <v>41741</v>
      </c>
      <c r="E482">
        <v>3</v>
      </c>
      <c r="F482" t="s">
        <v>566</v>
      </c>
      <c r="G482" t="s">
        <v>1010</v>
      </c>
      <c r="H482">
        <v>1</v>
      </c>
      <c r="I482">
        <v>0</v>
      </c>
      <c r="J482">
        <v>0</v>
      </c>
      <c r="K482" t="b">
        <v>0</v>
      </c>
    </row>
    <row r="483" spans="1:11" x14ac:dyDescent="0.2">
      <c r="A483">
        <v>582</v>
      </c>
      <c r="B483" t="s">
        <v>1252</v>
      </c>
      <c r="C483" s="1">
        <v>42789</v>
      </c>
      <c r="D483" s="1">
        <v>42796</v>
      </c>
      <c r="E483">
        <v>4</v>
      </c>
      <c r="F483" t="s">
        <v>428</v>
      </c>
      <c r="G483" t="s">
        <v>1253</v>
      </c>
      <c r="H483">
        <v>5</v>
      </c>
      <c r="I483">
        <v>0</v>
      </c>
      <c r="J483">
        <v>0</v>
      </c>
      <c r="K483" t="b">
        <v>0</v>
      </c>
    </row>
    <row r="484" spans="1:11" x14ac:dyDescent="0.2">
      <c r="A484">
        <v>583</v>
      </c>
      <c r="B484" t="s">
        <v>1252</v>
      </c>
      <c r="C484" s="1">
        <v>42789</v>
      </c>
      <c r="D484" s="1">
        <v>42796</v>
      </c>
      <c r="E484">
        <v>4</v>
      </c>
      <c r="F484" t="s">
        <v>428</v>
      </c>
      <c r="G484" t="s">
        <v>1254</v>
      </c>
      <c r="H484">
        <v>5</v>
      </c>
      <c r="I484">
        <v>1</v>
      </c>
      <c r="J484">
        <v>0.2</v>
      </c>
      <c r="K484" t="b">
        <v>0</v>
      </c>
    </row>
    <row r="485" spans="1:11" hidden="1" x14ac:dyDescent="0.2">
      <c r="A485">
        <v>584</v>
      </c>
      <c r="B485" t="s">
        <v>1255</v>
      </c>
      <c r="C485" s="1">
        <v>42922</v>
      </c>
      <c r="D485" s="1">
        <v>42922</v>
      </c>
      <c r="E485">
        <v>3</v>
      </c>
      <c r="F485" t="s">
        <v>493</v>
      </c>
      <c r="G485" t="s">
        <v>1121</v>
      </c>
      <c r="H485">
        <v>1</v>
      </c>
      <c r="I485">
        <v>1</v>
      </c>
      <c r="J485">
        <v>0.2</v>
      </c>
      <c r="K485" t="b">
        <v>0</v>
      </c>
    </row>
    <row r="486" spans="1:11" x14ac:dyDescent="0.2">
      <c r="A486">
        <v>585</v>
      </c>
      <c r="B486" t="s">
        <v>1256</v>
      </c>
      <c r="C486" s="1">
        <v>42617</v>
      </c>
      <c r="D486" s="1">
        <v>42621</v>
      </c>
      <c r="E486">
        <v>4</v>
      </c>
      <c r="F486" t="s">
        <v>70</v>
      </c>
      <c r="G486" t="s">
        <v>685</v>
      </c>
      <c r="H486">
        <v>3</v>
      </c>
      <c r="I486">
        <v>0</v>
      </c>
      <c r="J486">
        <v>0</v>
      </c>
      <c r="K486" t="b">
        <v>0</v>
      </c>
    </row>
    <row r="487" spans="1:11" x14ac:dyDescent="0.2">
      <c r="A487">
        <v>586</v>
      </c>
      <c r="B487" t="s">
        <v>1256</v>
      </c>
      <c r="C487" s="1">
        <v>42617</v>
      </c>
      <c r="D487" s="1">
        <v>42621</v>
      </c>
      <c r="E487">
        <v>4</v>
      </c>
      <c r="F487" t="s">
        <v>70</v>
      </c>
      <c r="G487" t="s">
        <v>1257</v>
      </c>
      <c r="H487">
        <v>6</v>
      </c>
      <c r="I487">
        <v>0</v>
      </c>
      <c r="J487">
        <v>0</v>
      </c>
      <c r="K487" t="b">
        <v>0</v>
      </c>
    </row>
    <row r="488" spans="1:11" x14ac:dyDescent="0.2">
      <c r="A488">
        <v>587</v>
      </c>
      <c r="B488" t="s">
        <v>1256</v>
      </c>
      <c r="C488" s="1">
        <v>42617</v>
      </c>
      <c r="D488" s="1">
        <v>42621</v>
      </c>
      <c r="E488">
        <v>4</v>
      </c>
      <c r="F488" t="s">
        <v>70</v>
      </c>
      <c r="G488" t="s">
        <v>1258</v>
      </c>
      <c r="H488">
        <v>4</v>
      </c>
      <c r="I488">
        <v>0</v>
      </c>
      <c r="J488">
        <v>0</v>
      </c>
      <c r="K488" t="b">
        <v>0</v>
      </c>
    </row>
    <row r="489" spans="1:11" x14ac:dyDescent="0.2">
      <c r="A489">
        <v>588</v>
      </c>
      <c r="B489" t="s">
        <v>1256</v>
      </c>
      <c r="C489" s="1">
        <v>42617</v>
      </c>
      <c r="D489" s="1">
        <v>42621</v>
      </c>
      <c r="E489">
        <v>4</v>
      </c>
      <c r="F489" t="s">
        <v>70</v>
      </c>
      <c r="G489" t="s">
        <v>1259</v>
      </c>
      <c r="H489">
        <v>3</v>
      </c>
      <c r="I489">
        <v>0</v>
      </c>
      <c r="J489">
        <v>0</v>
      </c>
      <c r="K489" t="b">
        <v>0</v>
      </c>
    </row>
    <row r="490" spans="1:11" hidden="1" x14ac:dyDescent="0.2">
      <c r="A490">
        <v>589</v>
      </c>
      <c r="B490" t="s">
        <v>1260</v>
      </c>
      <c r="C490" s="1">
        <v>42874</v>
      </c>
      <c r="D490" s="1">
        <v>42879</v>
      </c>
      <c r="E490">
        <v>3</v>
      </c>
      <c r="F490" t="s">
        <v>476</v>
      </c>
      <c r="G490" t="s">
        <v>1261</v>
      </c>
      <c r="H490">
        <v>3</v>
      </c>
      <c r="I490">
        <v>1</v>
      </c>
      <c r="J490">
        <v>0.2</v>
      </c>
      <c r="K490" t="b">
        <v>0</v>
      </c>
    </row>
    <row r="491" spans="1:11" hidden="1" x14ac:dyDescent="0.2">
      <c r="A491">
        <v>590</v>
      </c>
      <c r="B491" t="s">
        <v>1260</v>
      </c>
      <c r="C491" s="1">
        <v>42874</v>
      </c>
      <c r="D491" s="1">
        <v>42879</v>
      </c>
      <c r="E491">
        <v>3</v>
      </c>
      <c r="F491" t="s">
        <v>476</v>
      </c>
      <c r="G491" t="s">
        <v>771</v>
      </c>
      <c r="H491">
        <v>7</v>
      </c>
      <c r="I491">
        <v>1</v>
      </c>
      <c r="J491">
        <v>0.2</v>
      </c>
      <c r="K491" t="b">
        <v>0</v>
      </c>
    </row>
    <row r="492" spans="1:11" x14ac:dyDescent="0.2">
      <c r="A492">
        <v>591</v>
      </c>
      <c r="B492" t="s">
        <v>1262</v>
      </c>
      <c r="C492" s="1">
        <v>42021</v>
      </c>
      <c r="D492" s="1">
        <v>42027</v>
      </c>
      <c r="E492">
        <v>4</v>
      </c>
      <c r="F492" t="s">
        <v>490</v>
      </c>
      <c r="G492" t="s">
        <v>1263</v>
      </c>
      <c r="H492">
        <v>8</v>
      </c>
      <c r="I492">
        <v>1</v>
      </c>
      <c r="J492">
        <v>0.2</v>
      </c>
      <c r="K492" t="b">
        <v>0</v>
      </c>
    </row>
    <row r="493" spans="1:11" x14ac:dyDescent="0.2">
      <c r="A493">
        <v>592</v>
      </c>
      <c r="B493" t="s">
        <v>1264</v>
      </c>
      <c r="C493" s="1">
        <v>42624</v>
      </c>
      <c r="D493" s="1">
        <v>42629</v>
      </c>
      <c r="E493">
        <v>4</v>
      </c>
      <c r="F493" t="s">
        <v>542</v>
      </c>
      <c r="G493" t="s">
        <v>1265</v>
      </c>
      <c r="H493">
        <v>2</v>
      </c>
      <c r="I493">
        <v>1</v>
      </c>
      <c r="J493">
        <v>0.2</v>
      </c>
      <c r="K493" t="b">
        <v>0</v>
      </c>
    </row>
    <row r="494" spans="1:11" x14ac:dyDescent="0.2">
      <c r="A494">
        <v>593</v>
      </c>
      <c r="B494" t="s">
        <v>1264</v>
      </c>
      <c r="C494" s="1">
        <v>42624</v>
      </c>
      <c r="D494" s="1">
        <v>42629</v>
      </c>
      <c r="E494">
        <v>4</v>
      </c>
      <c r="F494" t="s">
        <v>542</v>
      </c>
      <c r="G494" t="s">
        <v>1266</v>
      </c>
      <c r="H494">
        <v>3</v>
      </c>
      <c r="I494">
        <v>1</v>
      </c>
      <c r="J494">
        <v>0.8</v>
      </c>
      <c r="K494" t="b">
        <v>0</v>
      </c>
    </row>
    <row r="495" spans="1:11" hidden="1" x14ac:dyDescent="0.2">
      <c r="A495">
        <v>594</v>
      </c>
      <c r="B495" t="s">
        <v>1267</v>
      </c>
      <c r="C495" s="1">
        <v>41937</v>
      </c>
      <c r="D495" s="1">
        <v>41940</v>
      </c>
      <c r="E495">
        <v>2</v>
      </c>
      <c r="F495" t="s">
        <v>471</v>
      </c>
      <c r="G495" t="s">
        <v>1268</v>
      </c>
      <c r="H495">
        <v>4</v>
      </c>
      <c r="I495">
        <v>1</v>
      </c>
      <c r="J495">
        <v>0.2</v>
      </c>
      <c r="K495" t="b">
        <v>0</v>
      </c>
    </row>
    <row r="496" spans="1:11" x14ac:dyDescent="0.2">
      <c r="A496">
        <v>595</v>
      </c>
      <c r="B496" t="s">
        <v>1269</v>
      </c>
      <c r="C496" s="1">
        <v>42993</v>
      </c>
      <c r="D496" s="1">
        <v>42998</v>
      </c>
      <c r="E496">
        <v>4</v>
      </c>
      <c r="F496" t="s">
        <v>574</v>
      </c>
      <c r="G496" t="s">
        <v>1270</v>
      </c>
      <c r="H496">
        <v>5</v>
      </c>
      <c r="I496">
        <v>1</v>
      </c>
      <c r="J496">
        <v>0.2</v>
      </c>
      <c r="K496" t="b">
        <v>0</v>
      </c>
    </row>
    <row r="497" spans="1:11" hidden="1" x14ac:dyDescent="0.2">
      <c r="A497">
        <v>596</v>
      </c>
      <c r="B497" t="s">
        <v>1271</v>
      </c>
      <c r="C497" s="1">
        <v>42598</v>
      </c>
      <c r="D497" s="1">
        <v>42601</v>
      </c>
      <c r="E497">
        <v>2</v>
      </c>
      <c r="F497" t="s">
        <v>519</v>
      </c>
      <c r="G497" t="s">
        <v>1272</v>
      </c>
      <c r="H497">
        <v>2</v>
      </c>
      <c r="I497">
        <v>1</v>
      </c>
      <c r="J497">
        <v>0.2</v>
      </c>
      <c r="K497" t="b">
        <v>0</v>
      </c>
    </row>
    <row r="498" spans="1:11" hidden="1" x14ac:dyDescent="0.2">
      <c r="A498">
        <v>597</v>
      </c>
      <c r="B498" t="s">
        <v>1273</v>
      </c>
      <c r="C498" s="1">
        <v>42548</v>
      </c>
      <c r="D498" s="1">
        <v>42550</v>
      </c>
      <c r="E498">
        <v>3</v>
      </c>
      <c r="F498" t="s">
        <v>432</v>
      </c>
      <c r="G498" t="s">
        <v>1008</v>
      </c>
      <c r="H498">
        <v>2</v>
      </c>
      <c r="I498">
        <v>1</v>
      </c>
      <c r="J498">
        <v>0.2</v>
      </c>
      <c r="K498" t="b">
        <v>0</v>
      </c>
    </row>
    <row r="499" spans="1:11" hidden="1" x14ac:dyDescent="0.2">
      <c r="A499">
        <v>598</v>
      </c>
      <c r="B499" t="s">
        <v>1274</v>
      </c>
      <c r="C499" s="1">
        <v>42585</v>
      </c>
      <c r="D499" s="1">
        <v>42587</v>
      </c>
      <c r="E499">
        <v>3</v>
      </c>
      <c r="F499" t="s">
        <v>579</v>
      </c>
      <c r="G499" t="s">
        <v>1275</v>
      </c>
      <c r="H499">
        <v>3</v>
      </c>
      <c r="I499">
        <v>0</v>
      </c>
      <c r="J499">
        <v>0</v>
      </c>
      <c r="K499" t="b">
        <v>0</v>
      </c>
    </row>
    <row r="500" spans="1:11" hidden="1" x14ac:dyDescent="0.2">
      <c r="A500">
        <v>599</v>
      </c>
      <c r="B500" t="s">
        <v>1274</v>
      </c>
      <c r="C500" s="1">
        <v>42585</v>
      </c>
      <c r="D500" s="1">
        <v>42587</v>
      </c>
      <c r="E500">
        <v>3</v>
      </c>
      <c r="F500" t="s">
        <v>579</v>
      </c>
      <c r="G500" t="s">
        <v>1276</v>
      </c>
      <c r="H500">
        <v>12</v>
      </c>
      <c r="I500">
        <v>0</v>
      </c>
      <c r="J500">
        <v>0</v>
      </c>
      <c r="K500" t="b">
        <v>1</v>
      </c>
    </row>
    <row r="501" spans="1:11" x14ac:dyDescent="0.2">
      <c r="A501">
        <v>600</v>
      </c>
      <c r="B501" t="s">
        <v>1277</v>
      </c>
      <c r="C501" s="1">
        <v>42829</v>
      </c>
      <c r="D501" s="1">
        <v>42833</v>
      </c>
      <c r="E501">
        <v>4</v>
      </c>
      <c r="F501" t="s">
        <v>517</v>
      </c>
      <c r="G501" t="s">
        <v>1278</v>
      </c>
      <c r="H501">
        <v>4</v>
      </c>
      <c r="I501">
        <v>1</v>
      </c>
      <c r="J501">
        <v>0.2</v>
      </c>
      <c r="K501" t="b">
        <v>0</v>
      </c>
    </row>
    <row r="502" spans="1:11" x14ac:dyDescent="0.2">
      <c r="A502">
        <v>601</v>
      </c>
      <c r="B502" t="s">
        <v>1279</v>
      </c>
      <c r="C502" s="1">
        <v>43091</v>
      </c>
      <c r="D502" s="1">
        <v>43095</v>
      </c>
      <c r="E502">
        <v>4</v>
      </c>
      <c r="F502" t="s">
        <v>579</v>
      </c>
      <c r="G502" t="s">
        <v>1280</v>
      </c>
      <c r="H502">
        <v>5</v>
      </c>
      <c r="I502">
        <v>1</v>
      </c>
      <c r="J502">
        <v>0.2</v>
      </c>
      <c r="K502" t="b">
        <v>0</v>
      </c>
    </row>
    <row r="503" spans="1:11" x14ac:dyDescent="0.2">
      <c r="A503">
        <v>602</v>
      </c>
      <c r="B503" t="s">
        <v>1279</v>
      </c>
      <c r="C503" s="1">
        <v>43091</v>
      </c>
      <c r="D503" s="1">
        <v>43095</v>
      </c>
      <c r="E503">
        <v>4</v>
      </c>
      <c r="F503" t="s">
        <v>579</v>
      </c>
      <c r="G503" t="s">
        <v>726</v>
      </c>
      <c r="H503">
        <v>5</v>
      </c>
      <c r="I503">
        <v>1</v>
      </c>
      <c r="J503">
        <v>0.8</v>
      </c>
      <c r="K503" t="b">
        <v>0</v>
      </c>
    </row>
    <row r="504" spans="1:11" x14ac:dyDescent="0.2">
      <c r="A504">
        <v>603</v>
      </c>
      <c r="B504" t="s">
        <v>1279</v>
      </c>
      <c r="C504" s="1">
        <v>43091</v>
      </c>
      <c r="D504" s="1">
        <v>43095</v>
      </c>
      <c r="E504">
        <v>4</v>
      </c>
      <c r="F504" t="s">
        <v>579</v>
      </c>
      <c r="G504" t="s">
        <v>1281</v>
      </c>
      <c r="H504">
        <v>5</v>
      </c>
      <c r="I504">
        <v>1</v>
      </c>
      <c r="J504">
        <v>0.2</v>
      </c>
      <c r="K504" t="b">
        <v>0</v>
      </c>
    </row>
    <row r="505" spans="1:11" hidden="1" x14ac:dyDescent="0.2">
      <c r="A505">
        <v>604</v>
      </c>
      <c r="B505" t="s">
        <v>1282</v>
      </c>
      <c r="C505" s="1">
        <v>41923</v>
      </c>
      <c r="D505" s="1">
        <v>41927</v>
      </c>
      <c r="E505">
        <v>3</v>
      </c>
      <c r="F505" t="s">
        <v>549</v>
      </c>
      <c r="G505" t="s">
        <v>679</v>
      </c>
      <c r="H505">
        <v>1</v>
      </c>
      <c r="I505">
        <v>0</v>
      </c>
      <c r="J505">
        <v>0</v>
      </c>
      <c r="K505" t="b">
        <v>0</v>
      </c>
    </row>
    <row r="506" spans="1:11" x14ac:dyDescent="0.2">
      <c r="A506">
        <v>605</v>
      </c>
      <c r="B506" t="s">
        <v>1283</v>
      </c>
      <c r="C506" s="1">
        <v>42423</v>
      </c>
      <c r="D506" s="1">
        <v>42427</v>
      </c>
      <c r="E506">
        <v>4</v>
      </c>
      <c r="F506" t="s">
        <v>421</v>
      </c>
      <c r="G506" t="s">
        <v>1284</v>
      </c>
      <c r="H506">
        <v>3</v>
      </c>
      <c r="I506">
        <v>1</v>
      </c>
      <c r="J506">
        <v>0.2</v>
      </c>
      <c r="K506" t="b">
        <v>0</v>
      </c>
    </row>
    <row r="507" spans="1:11" hidden="1" x14ac:dyDescent="0.2">
      <c r="A507">
        <v>606</v>
      </c>
      <c r="B507" t="s">
        <v>1285</v>
      </c>
      <c r="C507" s="1">
        <v>42253</v>
      </c>
      <c r="D507" s="1">
        <v>42255</v>
      </c>
      <c r="E507">
        <v>3</v>
      </c>
      <c r="F507" t="s">
        <v>556</v>
      </c>
      <c r="G507" t="s">
        <v>1286</v>
      </c>
      <c r="H507">
        <v>1</v>
      </c>
      <c r="I507">
        <v>1</v>
      </c>
      <c r="J507">
        <v>0.7</v>
      </c>
      <c r="K507" t="b">
        <v>0</v>
      </c>
    </row>
    <row r="508" spans="1:11" hidden="1" x14ac:dyDescent="0.2">
      <c r="A508">
        <v>607</v>
      </c>
      <c r="B508" t="s">
        <v>1287</v>
      </c>
      <c r="C508" s="1">
        <v>43041</v>
      </c>
      <c r="D508" s="1">
        <v>43045</v>
      </c>
      <c r="E508">
        <v>3</v>
      </c>
      <c r="F508" t="s">
        <v>535</v>
      </c>
      <c r="G508" t="s">
        <v>610</v>
      </c>
      <c r="H508">
        <v>2</v>
      </c>
      <c r="I508">
        <v>1</v>
      </c>
      <c r="J508">
        <v>0.2</v>
      </c>
      <c r="K508" t="b">
        <v>0</v>
      </c>
    </row>
    <row r="509" spans="1:11" x14ac:dyDescent="0.2">
      <c r="A509">
        <v>608</v>
      </c>
      <c r="B509" t="s">
        <v>1288</v>
      </c>
      <c r="C509" s="1">
        <v>41946</v>
      </c>
      <c r="D509" s="1">
        <v>41951</v>
      </c>
      <c r="E509">
        <v>4</v>
      </c>
      <c r="F509" t="s">
        <v>557</v>
      </c>
      <c r="G509" t="s">
        <v>1289</v>
      </c>
      <c r="H509">
        <v>2</v>
      </c>
      <c r="I509">
        <v>1</v>
      </c>
      <c r="J509">
        <v>0.2</v>
      </c>
      <c r="K509" t="b">
        <v>1</v>
      </c>
    </row>
    <row r="510" spans="1:11" x14ac:dyDescent="0.2">
      <c r="A510">
        <v>609</v>
      </c>
      <c r="B510" t="s">
        <v>1288</v>
      </c>
      <c r="C510" s="1">
        <v>41946</v>
      </c>
      <c r="D510" s="1">
        <v>41951</v>
      </c>
      <c r="E510">
        <v>4</v>
      </c>
      <c r="F510" t="s">
        <v>557</v>
      </c>
      <c r="G510" t="s">
        <v>1290</v>
      </c>
      <c r="H510">
        <v>9</v>
      </c>
      <c r="I510">
        <v>1</v>
      </c>
      <c r="J510">
        <v>0.2</v>
      </c>
      <c r="K510" t="b">
        <v>0</v>
      </c>
    </row>
    <row r="511" spans="1:11" hidden="1" x14ac:dyDescent="0.2">
      <c r="A511">
        <v>610</v>
      </c>
      <c r="B511" t="s">
        <v>1291</v>
      </c>
      <c r="C511" s="1">
        <v>43080</v>
      </c>
      <c r="D511" s="1">
        <v>43081</v>
      </c>
      <c r="E511">
        <v>2</v>
      </c>
      <c r="F511" t="s">
        <v>551</v>
      </c>
      <c r="G511" t="s">
        <v>1292</v>
      </c>
      <c r="H511">
        <v>7</v>
      </c>
      <c r="I511">
        <v>1</v>
      </c>
      <c r="J511">
        <v>0.2</v>
      </c>
      <c r="K511" t="b">
        <v>0</v>
      </c>
    </row>
    <row r="512" spans="1:11" x14ac:dyDescent="0.2">
      <c r="A512">
        <v>611</v>
      </c>
      <c r="B512" t="s">
        <v>1293</v>
      </c>
      <c r="C512" s="1">
        <v>42116</v>
      </c>
      <c r="D512" s="1">
        <v>42120</v>
      </c>
      <c r="E512">
        <v>4</v>
      </c>
      <c r="F512" t="s">
        <v>570</v>
      </c>
      <c r="G512" t="s">
        <v>693</v>
      </c>
      <c r="H512">
        <v>3</v>
      </c>
      <c r="I512">
        <v>1</v>
      </c>
      <c r="J512">
        <v>0.2</v>
      </c>
      <c r="K512" t="b">
        <v>0</v>
      </c>
    </row>
    <row r="513" spans="1:11" x14ac:dyDescent="0.2">
      <c r="A513">
        <v>612</v>
      </c>
      <c r="B513" t="s">
        <v>1293</v>
      </c>
      <c r="C513" s="1">
        <v>42116</v>
      </c>
      <c r="D513" s="1">
        <v>42120</v>
      </c>
      <c r="E513">
        <v>4</v>
      </c>
      <c r="F513" t="s">
        <v>570</v>
      </c>
      <c r="G513" t="s">
        <v>1294</v>
      </c>
      <c r="H513">
        <v>3</v>
      </c>
      <c r="I513">
        <v>0</v>
      </c>
      <c r="J513">
        <v>0</v>
      </c>
      <c r="K513" t="b">
        <v>0</v>
      </c>
    </row>
    <row r="514" spans="1:11" hidden="1" x14ac:dyDescent="0.2">
      <c r="A514">
        <v>613</v>
      </c>
      <c r="B514" t="s">
        <v>1295</v>
      </c>
      <c r="C514" s="1">
        <v>42001</v>
      </c>
      <c r="D514" s="1">
        <v>42005</v>
      </c>
      <c r="E514">
        <v>3</v>
      </c>
      <c r="F514" t="s">
        <v>504</v>
      </c>
      <c r="G514" t="s">
        <v>1296</v>
      </c>
      <c r="H514">
        <v>6</v>
      </c>
      <c r="I514">
        <v>0</v>
      </c>
      <c r="J514">
        <v>0</v>
      </c>
      <c r="K514" t="b">
        <v>0</v>
      </c>
    </row>
    <row r="515" spans="1:11" hidden="1" x14ac:dyDescent="0.2">
      <c r="A515">
        <v>614</v>
      </c>
      <c r="B515" t="s">
        <v>1295</v>
      </c>
      <c r="C515" s="1">
        <v>42001</v>
      </c>
      <c r="D515" s="1">
        <v>42005</v>
      </c>
      <c r="E515">
        <v>3</v>
      </c>
      <c r="F515" t="s">
        <v>504</v>
      </c>
      <c r="G515" t="s">
        <v>1297</v>
      </c>
      <c r="H515">
        <v>5</v>
      </c>
      <c r="I515">
        <v>0</v>
      </c>
      <c r="J515">
        <v>0</v>
      </c>
      <c r="K515" t="b">
        <v>0</v>
      </c>
    </row>
    <row r="516" spans="1:11" hidden="1" x14ac:dyDescent="0.2">
      <c r="A516">
        <v>615</v>
      </c>
      <c r="B516" t="s">
        <v>1295</v>
      </c>
      <c r="C516" s="1">
        <v>42001</v>
      </c>
      <c r="D516" s="1">
        <v>42005</v>
      </c>
      <c r="E516">
        <v>3</v>
      </c>
      <c r="F516" t="s">
        <v>504</v>
      </c>
      <c r="G516" t="s">
        <v>1298</v>
      </c>
      <c r="H516">
        <v>4</v>
      </c>
      <c r="I516">
        <v>0</v>
      </c>
      <c r="J516">
        <v>0</v>
      </c>
      <c r="K516" t="b">
        <v>0</v>
      </c>
    </row>
    <row r="517" spans="1:11" hidden="1" x14ac:dyDescent="0.2">
      <c r="A517">
        <v>616</v>
      </c>
      <c r="B517" t="s">
        <v>1299</v>
      </c>
      <c r="C517" s="1">
        <v>43062</v>
      </c>
      <c r="D517" s="1">
        <v>43066</v>
      </c>
      <c r="E517">
        <v>2</v>
      </c>
      <c r="F517" t="s">
        <v>489</v>
      </c>
      <c r="G517" t="s">
        <v>1300</v>
      </c>
      <c r="H517">
        <v>5</v>
      </c>
      <c r="I517">
        <v>1</v>
      </c>
      <c r="J517">
        <v>0.2</v>
      </c>
      <c r="K517" t="b">
        <v>0</v>
      </c>
    </row>
    <row r="518" spans="1:11" x14ac:dyDescent="0.2">
      <c r="A518">
        <v>617</v>
      </c>
      <c r="B518" t="s">
        <v>1301</v>
      </c>
      <c r="C518" s="1">
        <v>42860</v>
      </c>
      <c r="D518" s="1">
        <v>42860</v>
      </c>
      <c r="E518">
        <v>4</v>
      </c>
      <c r="F518" t="s">
        <v>501</v>
      </c>
      <c r="G518" t="s">
        <v>1302</v>
      </c>
      <c r="H518">
        <v>1</v>
      </c>
      <c r="I518">
        <v>0</v>
      </c>
      <c r="J518">
        <v>0</v>
      </c>
      <c r="K518" t="b">
        <v>0</v>
      </c>
    </row>
    <row r="519" spans="1:11" hidden="1" x14ac:dyDescent="0.2">
      <c r="A519">
        <v>618</v>
      </c>
      <c r="B519" t="s">
        <v>1303</v>
      </c>
      <c r="C519" s="1">
        <v>42981</v>
      </c>
      <c r="D519" s="1">
        <v>42986</v>
      </c>
      <c r="E519">
        <v>2</v>
      </c>
      <c r="F519" t="s">
        <v>467</v>
      </c>
      <c r="G519" t="s">
        <v>1304</v>
      </c>
      <c r="H519">
        <v>5</v>
      </c>
      <c r="I519">
        <v>1</v>
      </c>
      <c r="J519">
        <v>0.6</v>
      </c>
      <c r="K519" t="b">
        <v>0</v>
      </c>
    </row>
    <row r="520" spans="1:11" hidden="1" x14ac:dyDescent="0.2">
      <c r="A520">
        <v>619</v>
      </c>
      <c r="B520" t="s">
        <v>1305</v>
      </c>
      <c r="C520" s="1">
        <v>42650</v>
      </c>
      <c r="D520" s="1">
        <v>42653</v>
      </c>
      <c r="E520">
        <v>2</v>
      </c>
      <c r="F520" t="s">
        <v>563</v>
      </c>
      <c r="G520" t="s">
        <v>1306</v>
      </c>
      <c r="H520">
        <v>2</v>
      </c>
      <c r="I520">
        <v>1</v>
      </c>
      <c r="J520">
        <v>0.2</v>
      </c>
      <c r="K520" t="b">
        <v>0</v>
      </c>
    </row>
    <row r="521" spans="1:11" x14ac:dyDescent="0.2">
      <c r="A521">
        <v>620</v>
      </c>
      <c r="B521" t="s">
        <v>1307</v>
      </c>
      <c r="C521" s="1">
        <v>43039</v>
      </c>
      <c r="D521" s="1">
        <v>43043</v>
      </c>
      <c r="E521">
        <v>4</v>
      </c>
      <c r="F521" t="s">
        <v>482</v>
      </c>
      <c r="G521" t="s">
        <v>1308</v>
      </c>
      <c r="H521">
        <v>2</v>
      </c>
      <c r="I521">
        <v>1</v>
      </c>
      <c r="J521">
        <v>0.2</v>
      </c>
      <c r="K521" t="b">
        <v>0</v>
      </c>
    </row>
    <row r="522" spans="1:11" x14ac:dyDescent="0.2">
      <c r="A522">
        <v>621</v>
      </c>
      <c r="B522" t="s">
        <v>1309</v>
      </c>
      <c r="C522" s="1">
        <v>42964</v>
      </c>
      <c r="D522" s="1">
        <v>42970</v>
      </c>
      <c r="E522">
        <v>4</v>
      </c>
      <c r="F522" t="s">
        <v>483</v>
      </c>
      <c r="G522" t="s">
        <v>1310</v>
      </c>
      <c r="H522">
        <v>3</v>
      </c>
      <c r="I522">
        <v>0</v>
      </c>
      <c r="J522">
        <v>0</v>
      </c>
      <c r="K522" t="b">
        <v>0</v>
      </c>
    </row>
    <row r="523" spans="1:11" x14ac:dyDescent="0.2">
      <c r="A523">
        <v>622</v>
      </c>
      <c r="B523" t="s">
        <v>1309</v>
      </c>
      <c r="C523" s="1">
        <v>42964</v>
      </c>
      <c r="D523" s="1">
        <v>42970</v>
      </c>
      <c r="E523">
        <v>4</v>
      </c>
      <c r="F523" t="s">
        <v>483</v>
      </c>
      <c r="G523" t="s">
        <v>966</v>
      </c>
      <c r="H523">
        <v>6</v>
      </c>
      <c r="I523">
        <v>0</v>
      </c>
      <c r="J523">
        <v>0</v>
      </c>
      <c r="K523" t="b">
        <v>0</v>
      </c>
    </row>
    <row r="524" spans="1:11" hidden="1" x14ac:dyDescent="0.2">
      <c r="A524">
        <v>623</v>
      </c>
      <c r="B524" t="s">
        <v>1311</v>
      </c>
      <c r="C524" s="1">
        <v>42869</v>
      </c>
      <c r="D524" s="1">
        <v>42872</v>
      </c>
      <c r="E524">
        <v>2</v>
      </c>
      <c r="F524" t="s">
        <v>505</v>
      </c>
      <c r="G524" t="s">
        <v>1006</v>
      </c>
      <c r="H524">
        <v>2</v>
      </c>
      <c r="I524">
        <v>0</v>
      </c>
      <c r="J524">
        <v>0</v>
      </c>
      <c r="K524" t="b">
        <v>0</v>
      </c>
    </row>
    <row r="525" spans="1:11" hidden="1" x14ac:dyDescent="0.2">
      <c r="A525">
        <v>624</v>
      </c>
      <c r="B525" t="s">
        <v>1311</v>
      </c>
      <c r="C525" s="1">
        <v>42869</v>
      </c>
      <c r="D525" s="1">
        <v>42872</v>
      </c>
      <c r="E525">
        <v>2</v>
      </c>
      <c r="F525" t="s">
        <v>505</v>
      </c>
      <c r="G525" t="s">
        <v>1312</v>
      </c>
      <c r="H525">
        <v>5</v>
      </c>
      <c r="I525">
        <v>0</v>
      </c>
      <c r="J525">
        <v>0</v>
      </c>
      <c r="K525" t="b">
        <v>0</v>
      </c>
    </row>
    <row r="526" spans="1:11" hidden="1" x14ac:dyDescent="0.2">
      <c r="A526">
        <v>625</v>
      </c>
      <c r="B526" t="s">
        <v>1311</v>
      </c>
      <c r="C526" s="1">
        <v>42869</v>
      </c>
      <c r="D526" s="1">
        <v>42872</v>
      </c>
      <c r="E526">
        <v>2</v>
      </c>
      <c r="F526" t="s">
        <v>505</v>
      </c>
      <c r="G526" t="s">
        <v>1118</v>
      </c>
      <c r="H526">
        <v>5</v>
      </c>
      <c r="I526">
        <v>0</v>
      </c>
      <c r="J526">
        <v>0</v>
      </c>
      <c r="K526" t="b">
        <v>0</v>
      </c>
    </row>
    <row r="527" spans="1:11" hidden="1" x14ac:dyDescent="0.2">
      <c r="A527">
        <v>626</v>
      </c>
      <c r="B527" t="s">
        <v>1311</v>
      </c>
      <c r="C527" s="1">
        <v>42869</v>
      </c>
      <c r="D527" s="1">
        <v>42872</v>
      </c>
      <c r="E527">
        <v>2</v>
      </c>
      <c r="F527" t="s">
        <v>505</v>
      </c>
      <c r="G527" t="s">
        <v>956</v>
      </c>
      <c r="H527">
        <v>3</v>
      </c>
      <c r="I527">
        <v>0</v>
      </c>
      <c r="J527">
        <v>0</v>
      </c>
      <c r="K527" t="b">
        <v>0</v>
      </c>
    </row>
    <row r="528" spans="1:11" hidden="1" x14ac:dyDescent="0.2">
      <c r="A528">
        <v>627</v>
      </c>
      <c r="B528" t="s">
        <v>1311</v>
      </c>
      <c r="C528" s="1">
        <v>42869</v>
      </c>
      <c r="D528" s="1">
        <v>42872</v>
      </c>
      <c r="E528">
        <v>2</v>
      </c>
      <c r="F528" t="s">
        <v>505</v>
      </c>
      <c r="G528" t="s">
        <v>998</v>
      </c>
      <c r="H528">
        <v>2</v>
      </c>
      <c r="I528">
        <v>0</v>
      </c>
      <c r="J528">
        <v>0</v>
      </c>
      <c r="K528" t="b">
        <v>0</v>
      </c>
    </row>
    <row r="529" spans="1:11" hidden="1" x14ac:dyDescent="0.2">
      <c r="A529">
        <v>628</v>
      </c>
      <c r="B529" t="s">
        <v>1311</v>
      </c>
      <c r="C529" s="1">
        <v>42869</v>
      </c>
      <c r="D529" s="1">
        <v>42872</v>
      </c>
      <c r="E529">
        <v>2</v>
      </c>
      <c r="F529" t="s">
        <v>505</v>
      </c>
      <c r="G529" t="s">
        <v>1007</v>
      </c>
      <c r="H529">
        <v>5</v>
      </c>
      <c r="I529">
        <v>0</v>
      </c>
      <c r="J529">
        <v>0</v>
      </c>
      <c r="K529" t="b">
        <v>0</v>
      </c>
    </row>
    <row r="530" spans="1:11" x14ac:dyDescent="0.2">
      <c r="A530">
        <v>629</v>
      </c>
      <c r="B530" t="s">
        <v>1313</v>
      </c>
      <c r="C530" s="1">
        <v>42635</v>
      </c>
      <c r="D530" s="1">
        <v>42641</v>
      </c>
      <c r="E530">
        <v>4</v>
      </c>
      <c r="F530" t="s">
        <v>555</v>
      </c>
      <c r="G530" t="s">
        <v>1314</v>
      </c>
      <c r="H530">
        <v>2</v>
      </c>
      <c r="I530">
        <v>0</v>
      </c>
      <c r="J530">
        <v>0</v>
      </c>
      <c r="K530" t="b">
        <v>0</v>
      </c>
    </row>
    <row r="531" spans="1:11" x14ac:dyDescent="0.2">
      <c r="A531">
        <v>630</v>
      </c>
      <c r="B531" t="s">
        <v>1315</v>
      </c>
      <c r="C531" s="1">
        <v>42321</v>
      </c>
      <c r="D531" s="1">
        <v>42325</v>
      </c>
      <c r="E531">
        <v>4</v>
      </c>
      <c r="F531" t="s">
        <v>51</v>
      </c>
      <c r="G531" t="s">
        <v>1316</v>
      </c>
      <c r="H531">
        <v>6</v>
      </c>
      <c r="I531">
        <v>1</v>
      </c>
      <c r="J531">
        <v>0.2</v>
      </c>
      <c r="K531" t="b">
        <v>0</v>
      </c>
    </row>
    <row r="532" spans="1:11" hidden="1" x14ac:dyDescent="0.2">
      <c r="A532">
        <v>631</v>
      </c>
      <c r="B532" t="s">
        <v>1317</v>
      </c>
      <c r="C532" s="1">
        <v>42751</v>
      </c>
      <c r="D532" s="1">
        <v>42753</v>
      </c>
      <c r="E532">
        <v>3</v>
      </c>
      <c r="F532" t="s">
        <v>533</v>
      </c>
      <c r="G532" t="s">
        <v>623</v>
      </c>
      <c r="H532">
        <v>4</v>
      </c>
      <c r="I532">
        <v>0</v>
      </c>
      <c r="J532">
        <v>0</v>
      </c>
      <c r="K532" t="b">
        <v>0</v>
      </c>
    </row>
    <row r="533" spans="1:11" hidden="1" x14ac:dyDescent="0.2">
      <c r="A533">
        <v>632</v>
      </c>
      <c r="B533" t="s">
        <v>1317</v>
      </c>
      <c r="C533" s="1">
        <v>42751</v>
      </c>
      <c r="D533" s="1">
        <v>42753</v>
      </c>
      <c r="E533">
        <v>3</v>
      </c>
      <c r="F533" t="s">
        <v>533</v>
      </c>
      <c r="G533" t="s">
        <v>1318</v>
      </c>
      <c r="H533">
        <v>3</v>
      </c>
      <c r="I533">
        <v>0</v>
      </c>
      <c r="J533">
        <v>0</v>
      </c>
      <c r="K533" t="b">
        <v>0</v>
      </c>
    </row>
    <row r="534" spans="1:11" hidden="1" x14ac:dyDescent="0.2">
      <c r="A534">
        <v>633</v>
      </c>
      <c r="B534" t="s">
        <v>1317</v>
      </c>
      <c r="C534" s="1">
        <v>42751</v>
      </c>
      <c r="D534" s="1">
        <v>42753</v>
      </c>
      <c r="E534">
        <v>3</v>
      </c>
      <c r="F534" t="s">
        <v>533</v>
      </c>
      <c r="G534" t="s">
        <v>1319</v>
      </c>
      <c r="H534">
        <v>7</v>
      </c>
      <c r="I534">
        <v>0</v>
      </c>
      <c r="J534">
        <v>0</v>
      </c>
      <c r="K534" t="b">
        <v>0</v>
      </c>
    </row>
    <row r="535" spans="1:11" x14ac:dyDescent="0.2">
      <c r="A535">
        <v>634</v>
      </c>
      <c r="B535" t="s">
        <v>1320</v>
      </c>
      <c r="C535" s="1">
        <v>42937</v>
      </c>
      <c r="D535" s="1">
        <v>42943</v>
      </c>
      <c r="E535">
        <v>4</v>
      </c>
      <c r="F535" t="s">
        <v>518</v>
      </c>
      <c r="G535" t="s">
        <v>1321</v>
      </c>
      <c r="H535">
        <v>6</v>
      </c>
      <c r="I535">
        <v>0</v>
      </c>
      <c r="J535">
        <v>0</v>
      </c>
      <c r="K535" t="b">
        <v>0</v>
      </c>
    </row>
    <row r="536" spans="1:11" x14ac:dyDescent="0.2">
      <c r="A536">
        <v>635</v>
      </c>
      <c r="B536" t="s">
        <v>1320</v>
      </c>
      <c r="C536" s="1">
        <v>42937</v>
      </c>
      <c r="D536" s="1">
        <v>42943</v>
      </c>
      <c r="E536">
        <v>4</v>
      </c>
      <c r="F536" t="s">
        <v>518</v>
      </c>
      <c r="G536" t="s">
        <v>1322</v>
      </c>
      <c r="H536">
        <v>4</v>
      </c>
      <c r="I536">
        <v>0</v>
      </c>
      <c r="J536">
        <v>0</v>
      </c>
      <c r="K536" t="b">
        <v>0</v>
      </c>
    </row>
    <row r="537" spans="1:11" x14ac:dyDescent="0.2">
      <c r="A537">
        <v>636</v>
      </c>
      <c r="B537" t="s">
        <v>1320</v>
      </c>
      <c r="C537" s="1">
        <v>42937</v>
      </c>
      <c r="D537" s="1">
        <v>42943</v>
      </c>
      <c r="E537">
        <v>4</v>
      </c>
      <c r="F537" t="s">
        <v>518</v>
      </c>
      <c r="G537" t="s">
        <v>1323</v>
      </c>
      <c r="H537">
        <v>5</v>
      </c>
      <c r="I537">
        <v>0</v>
      </c>
      <c r="J537">
        <v>0</v>
      </c>
      <c r="K537" t="b">
        <v>0</v>
      </c>
    </row>
    <row r="538" spans="1:11" x14ac:dyDescent="0.2">
      <c r="A538">
        <v>637</v>
      </c>
      <c r="B538" t="s">
        <v>1320</v>
      </c>
      <c r="C538" s="1">
        <v>42937</v>
      </c>
      <c r="D538" s="1">
        <v>42943</v>
      </c>
      <c r="E538">
        <v>4</v>
      </c>
      <c r="F538" t="s">
        <v>518</v>
      </c>
      <c r="G538" t="s">
        <v>1324</v>
      </c>
      <c r="H538">
        <v>6</v>
      </c>
      <c r="I538">
        <v>0</v>
      </c>
      <c r="J538">
        <v>0</v>
      </c>
      <c r="K538" t="b">
        <v>0</v>
      </c>
    </row>
    <row r="539" spans="1:11" x14ac:dyDescent="0.2">
      <c r="A539">
        <v>638</v>
      </c>
      <c r="B539" t="s">
        <v>1320</v>
      </c>
      <c r="C539" s="1">
        <v>42937</v>
      </c>
      <c r="D539" s="1">
        <v>42943</v>
      </c>
      <c r="E539">
        <v>4</v>
      </c>
      <c r="F539" t="s">
        <v>518</v>
      </c>
      <c r="G539" t="s">
        <v>1325</v>
      </c>
      <c r="H539">
        <v>3</v>
      </c>
      <c r="I539">
        <v>0</v>
      </c>
      <c r="J539">
        <v>0</v>
      </c>
      <c r="K539" t="b">
        <v>1</v>
      </c>
    </row>
    <row r="540" spans="1:11" x14ac:dyDescent="0.2">
      <c r="A540">
        <v>639</v>
      </c>
      <c r="B540" t="s">
        <v>1320</v>
      </c>
      <c r="C540" s="1">
        <v>42937</v>
      </c>
      <c r="D540" s="1">
        <v>42943</v>
      </c>
      <c r="E540">
        <v>4</v>
      </c>
      <c r="F540" t="s">
        <v>518</v>
      </c>
      <c r="G540" t="s">
        <v>1326</v>
      </c>
      <c r="H540">
        <v>3</v>
      </c>
      <c r="I540">
        <v>0</v>
      </c>
      <c r="J540">
        <v>0</v>
      </c>
      <c r="K540" t="b">
        <v>0</v>
      </c>
    </row>
    <row r="541" spans="1:11" x14ac:dyDescent="0.2">
      <c r="A541">
        <v>640</v>
      </c>
      <c r="B541" t="s">
        <v>1320</v>
      </c>
      <c r="C541" s="1">
        <v>42937</v>
      </c>
      <c r="D541" s="1">
        <v>42943</v>
      </c>
      <c r="E541">
        <v>4</v>
      </c>
      <c r="F541" t="s">
        <v>518</v>
      </c>
      <c r="G541" t="s">
        <v>1327</v>
      </c>
      <c r="H541">
        <v>2</v>
      </c>
      <c r="I541">
        <v>0</v>
      </c>
      <c r="J541">
        <v>0</v>
      </c>
      <c r="K541" t="b">
        <v>0</v>
      </c>
    </row>
    <row r="542" spans="1:11" hidden="1" x14ac:dyDescent="0.2">
      <c r="A542">
        <v>641</v>
      </c>
      <c r="B542" t="s">
        <v>1328</v>
      </c>
      <c r="C542" s="1">
        <v>42663</v>
      </c>
      <c r="D542" s="1">
        <v>42665</v>
      </c>
      <c r="E542">
        <v>2</v>
      </c>
      <c r="F542" t="s">
        <v>455</v>
      </c>
      <c r="G542" t="s">
        <v>1329</v>
      </c>
      <c r="H542">
        <v>3</v>
      </c>
      <c r="I542">
        <v>1</v>
      </c>
      <c r="J542">
        <v>0.2</v>
      </c>
      <c r="K542" t="b">
        <v>0</v>
      </c>
    </row>
    <row r="543" spans="1:11" x14ac:dyDescent="0.2">
      <c r="A543">
        <v>642</v>
      </c>
      <c r="B543" t="s">
        <v>1330</v>
      </c>
      <c r="C543" s="1">
        <v>41943</v>
      </c>
      <c r="D543" s="1">
        <v>41945</v>
      </c>
      <c r="E543">
        <v>4</v>
      </c>
      <c r="F543" t="s">
        <v>503</v>
      </c>
      <c r="G543" t="s">
        <v>1331</v>
      </c>
      <c r="H543">
        <v>8</v>
      </c>
      <c r="I543">
        <v>1</v>
      </c>
      <c r="J543">
        <v>0.4</v>
      </c>
      <c r="K543" t="b">
        <v>0</v>
      </c>
    </row>
    <row r="544" spans="1:11" x14ac:dyDescent="0.2">
      <c r="A544">
        <v>643</v>
      </c>
      <c r="B544" t="s">
        <v>1332</v>
      </c>
      <c r="C544" s="1">
        <v>43080</v>
      </c>
      <c r="D544" s="1">
        <v>43084</v>
      </c>
      <c r="E544">
        <v>4</v>
      </c>
      <c r="F544" t="s">
        <v>54</v>
      </c>
      <c r="G544" t="s">
        <v>1333</v>
      </c>
      <c r="H544">
        <v>1</v>
      </c>
      <c r="I544">
        <v>1</v>
      </c>
      <c r="J544">
        <v>0.2</v>
      </c>
      <c r="K544" t="b">
        <v>0</v>
      </c>
    </row>
    <row r="545" spans="1:11" x14ac:dyDescent="0.2">
      <c r="A545">
        <v>644</v>
      </c>
      <c r="B545" t="s">
        <v>1332</v>
      </c>
      <c r="C545" s="1">
        <v>43080</v>
      </c>
      <c r="D545" s="1">
        <v>43084</v>
      </c>
      <c r="E545">
        <v>4</v>
      </c>
      <c r="F545" t="s">
        <v>54</v>
      </c>
      <c r="G545" t="s">
        <v>1334</v>
      </c>
      <c r="H545">
        <v>3</v>
      </c>
      <c r="I545">
        <v>0</v>
      </c>
      <c r="J545">
        <v>0</v>
      </c>
      <c r="K545" t="b">
        <v>0</v>
      </c>
    </row>
    <row r="546" spans="1:11" x14ac:dyDescent="0.2">
      <c r="A546">
        <v>645</v>
      </c>
      <c r="B546" t="s">
        <v>1332</v>
      </c>
      <c r="C546" s="1">
        <v>43080</v>
      </c>
      <c r="D546" s="1">
        <v>43084</v>
      </c>
      <c r="E546">
        <v>4</v>
      </c>
      <c r="F546" t="s">
        <v>54</v>
      </c>
      <c r="G546" t="s">
        <v>1335</v>
      </c>
      <c r="H546">
        <v>2</v>
      </c>
      <c r="I546">
        <v>0</v>
      </c>
      <c r="J546">
        <v>0</v>
      </c>
      <c r="K546" t="b">
        <v>0</v>
      </c>
    </row>
    <row r="547" spans="1:11" x14ac:dyDescent="0.2">
      <c r="A547">
        <v>646</v>
      </c>
      <c r="B547" t="s">
        <v>1336</v>
      </c>
      <c r="C547" s="1">
        <v>42625</v>
      </c>
      <c r="D547" s="1">
        <v>42630</v>
      </c>
      <c r="E547">
        <v>4</v>
      </c>
      <c r="F547" t="s">
        <v>509</v>
      </c>
      <c r="G547" t="s">
        <v>1337</v>
      </c>
      <c r="H547">
        <v>3</v>
      </c>
      <c r="I547">
        <v>0</v>
      </c>
      <c r="J547">
        <v>0</v>
      </c>
      <c r="K547" t="b">
        <v>0</v>
      </c>
    </row>
    <row r="548" spans="1:11" x14ac:dyDescent="0.2">
      <c r="A548">
        <v>647</v>
      </c>
      <c r="B548" t="s">
        <v>1336</v>
      </c>
      <c r="C548" s="1">
        <v>42625</v>
      </c>
      <c r="D548" s="1">
        <v>42630</v>
      </c>
      <c r="E548">
        <v>4</v>
      </c>
      <c r="F548" t="s">
        <v>509</v>
      </c>
      <c r="G548" t="s">
        <v>1338</v>
      </c>
      <c r="H548">
        <v>3</v>
      </c>
      <c r="I548">
        <v>0</v>
      </c>
      <c r="J548">
        <v>0</v>
      </c>
      <c r="K548" t="b">
        <v>0</v>
      </c>
    </row>
    <row r="549" spans="1:11" x14ac:dyDescent="0.2">
      <c r="A549">
        <v>648</v>
      </c>
      <c r="B549" t="s">
        <v>1336</v>
      </c>
      <c r="C549" s="1">
        <v>42625</v>
      </c>
      <c r="D549" s="1">
        <v>42630</v>
      </c>
      <c r="E549">
        <v>4</v>
      </c>
      <c r="F549" t="s">
        <v>509</v>
      </c>
      <c r="G549" t="s">
        <v>1339</v>
      </c>
      <c r="H549">
        <v>5</v>
      </c>
      <c r="I549">
        <v>0</v>
      </c>
      <c r="J549">
        <v>0</v>
      </c>
      <c r="K549" t="b">
        <v>0</v>
      </c>
    </row>
    <row r="550" spans="1:11" x14ac:dyDescent="0.2">
      <c r="A550">
        <v>649</v>
      </c>
      <c r="B550" t="s">
        <v>1336</v>
      </c>
      <c r="C550" s="1">
        <v>42625</v>
      </c>
      <c r="D550" s="1">
        <v>42630</v>
      </c>
      <c r="E550">
        <v>4</v>
      </c>
      <c r="F550" t="s">
        <v>509</v>
      </c>
      <c r="G550" t="s">
        <v>1340</v>
      </c>
      <c r="H550">
        <v>4</v>
      </c>
      <c r="I550">
        <v>0</v>
      </c>
      <c r="J550">
        <v>0</v>
      </c>
      <c r="K550" t="b">
        <v>1</v>
      </c>
    </row>
    <row r="551" spans="1:11" x14ac:dyDescent="0.2">
      <c r="A551">
        <v>650</v>
      </c>
      <c r="B551" t="s">
        <v>1341</v>
      </c>
      <c r="C551" s="1">
        <v>42875</v>
      </c>
      <c r="D551" s="1">
        <v>42875</v>
      </c>
      <c r="E551">
        <v>4</v>
      </c>
      <c r="F551" t="s">
        <v>531</v>
      </c>
      <c r="G551" t="s">
        <v>633</v>
      </c>
      <c r="H551">
        <v>2</v>
      </c>
      <c r="I551">
        <v>0</v>
      </c>
      <c r="J551">
        <v>0</v>
      </c>
      <c r="K551" t="b">
        <v>0</v>
      </c>
    </row>
    <row r="552" spans="1:11" hidden="1" x14ac:dyDescent="0.2">
      <c r="A552">
        <v>651</v>
      </c>
      <c r="B552" t="s">
        <v>1342</v>
      </c>
      <c r="C552" s="1">
        <v>43058</v>
      </c>
      <c r="D552" s="1">
        <v>43058</v>
      </c>
      <c r="E552">
        <v>1</v>
      </c>
      <c r="F552" t="s">
        <v>522</v>
      </c>
      <c r="G552" t="s">
        <v>1343</v>
      </c>
      <c r="H552">
        <v>7</v>
      </c>
      <c r="I552">
        <v>1</v>
      </c>
      <c r="J552">
        <v>0.2</v>
      </c>
      <c r="K552" t="b">
        <v>0</v>
      </c>
    </row>
    <row r="553" spans="1:11" hidden="1" x14ac:dyDescent="0.2">
      <c r="A553">
        <v>652</v>
      </c>
      <c r="B553" t="s">
        <v>1342</v>
      </c>
      <c r="C553" s="1">
        <v>43058</v>
      </c>
      <c r="D553" s="1">
        <v>43058</v>
      </c>
      <c r="E553">
        <v>1</v>
      </c>
      <c r="F553" t="s">
        <v>522</v>
      </c>
      <c r="G553" t="s">
        <v>1226</v>
      </c>
      <c r="H553">
        <v>3</v>
      </c>
      <c r="I553">
        <v>1</v>
      </c>
      <c r="J553">
        <v>0.4</v>
      </c>
      <c r="K553" t="b">
        <v>0</v>
      </c>
    </row>
    <row r="554" spans="1:11" x14ac:dyDescent="0.2">
      <c r="A554">
        <v>653</v>
      </c>
      <c r="B554" t="s">
        <v>1344</v>
      </c>
      <c r="C554" s="1">
        <v>42565</v>
      </c>
      <c r="D554" s="1">
        <v>42570</v>
      </c>
      <c r="E554">
        <v>4</v>
      </c>
      <c r="F554" t="s">
        <v>534</v>
      </c>
      <c r="G554" t="s">
        <v>1345</v>
      </c>
      <c r="H554">
        <v>5</v>
      </c>
      <c r="I554">
        <v>0</v>
      </c>
      <c r="J554">
        <v>0</v>
      </c>
      <c r="K554" t="b">
        <v>0</v>
      </c>
    </row>
    <row r="555" spans="1:11" x14ac:dyDescent="0.2">
      <c r="A555">
        <v>654</v>
      </c>
      <c r="B555" t="s">
        <v>1344</v>
      </c>
      <c r="C555" s="1">
        <v>42565</v>
      </c>
      <c r="D555" s="1">
        <v>42570</v>
      </c>
      <c r="E555">
        <v>4</v>
      </c>
      <c r="F555" t="s">
        <v>534</v>
      </c>
      <c r="G555" t="s">
        <v>1346</v>
      </c>
      <c r="H555">
        <v>1</v>
      </c>
      <c r="I555">
        <v>0</v>
      </c>
      <c r="J555">
        <v>0</v>
      </c>
      <c r="K555" t="b">
        <v>1</v>
      </c>
    </row>
    <row r="556" spans="1:11" x14ac:dyDescent="0.2">
      <c r="A556">
        <v>655</v>
      </c>
      <c r="B556" t="s">
        <v>1347</v>
      </c>
      <c r="C556" s="1">
        <v>42997</v>
      </c>
      <c r="D556" s="1">
        <v>43003</v>
      </c>
      <c r="E556">
        <v>4</v>
      </c>
      <c r="F556" t="s">
        <v>401</v>
      </c>
      <c r="G556" t="s">
        <v>1348</v>
      </c>
      <c r="H556">
        <v>2</v>
      </c>
      <c r="I556">
        <v>1</v>
      </c>
      <c r="J556">
        <v>0.2</v>
      </c>
      <c r="K556" t="b">
        <v>0</v>
      </c>
    </row>
    <row r="557" spans="1:11" x14ac:dyDescent="0.2">
      <c r="A557">
        <v>656</v>
      </c>
      <c r="B557" t="s">
        <v>1347</v>
      </c>
      <c r="C557" s="1">
        <v>42997</v>
      </c>
      <c r="D557" s="1">
        <v>43003</v>
      </c>
      <c r="E557">
        <v>4</v>
      </c>
      <c r="F557" t="s">
        <v>401</v>
      </c>
      <c r="G557" t="s">
        <v>822</v>
      </c>
      <c r="H557">
        <v>2</v>
      </c>
      <c r="I557">
        <v>1</v>
      </c>
      <c r="J557">
        <v>0.2</v>
      </c>
      <c r="K557" t="b">
        <v>0</v>
      </c>
    </row>
    <row r="558" spans="1:11" x14ac:dyDescent="0.2">
      <c r="A558">
        <v>657</v>
      </c>
      <c r="B558" t="s">
        <v>1347</v>
      </c>
      <c r="C558" s="1">
        <v>42997</v>
      </c>
      <c r="D558" s="1">
        <v>43003</v>
      </c>
      <c r="E558">
        <v>4</v>
      </c>
      <c r="F558" t="s">
        <v>401</v>
      </c>
      <c r="G558" t="s">
        <v>1349</v>
      </c>
      <c r="H558">
        <v>2</v>
      </c>
      <c r="I558">
        <v>1</v>
      </c>
      <c r="J558">
        <v>0.2</v>
      </c>
      <c r="K558" t="b">
        <v>0</v>
      </c>
    </row>
    <row r="559" spans="1:11" x14ac:dyDescent="0.2">
      <c r="A559">
        <v>658</v>
      </c>
      <c r="B559" t="s">
        <v>1347</v>
      </c>
      <c r="C559" s="1">
        <v>42997</v>
      </c>
      <c r="D559" s="1">
        <v>43003</v>
      </c>
      <c r="E559">
        <v>4</v>
      </c>
      <c r="F559" t="s">
        <v>401</v>
      </c>
      <c r="G559" t="s">
        <v>1350</v>
      </c>
      <c r="H559">
        <v>4</v>
      </c>
      <c r="I559">
        <v>1</v>
      </c>
      <c r="J559">
        <v>0.7</v>
      </c>
      <c r="K559" t="b">
        <v>0</v>
      </c>
    </row>
    <row r="560" spans="1:11" x14ac:dyDescent="0.2">
      <c r="A560">
        <v>659</v>
      </c>
      <c r="B560" t="s">
        <v>1351</v>
      </c>
      <c r="C560" s="1">
        <v>42327</v>
      </c>
      <c r="D560" s="1">
        <v>42334</v>
      </c>
      <c r="E560">
        <v>4</v>
      </c>
      <c r="F560" t="s">
        <v>450</v>
      </c>
      <c r="G560" t="s">
        <v>1352</v>
      </c>
      <c r="H560">
        <v>4</v>
      </c>
      <c r="I560">
        <v>0</v>
      </c>
      <c r="J560">
        <v>0</v>
      </c>
      <c r="K560" t="b">
        <v>0</v>
      </c>
    </row>
    <row r="561" spans="1:11" x14ac:dyDescent="0.2">
      <c r="A561">
        <v>660</v>
      </c>
      <c r="B561" t="s">
        <v>1353</v>
      </c>
      <c r="C561" s="1">
        <v>41874</v>
      </c>
      <c r="D561" s="1">
        <v>41878</v>
      </c>
      <c r="E561">
        <v>4</v>
      </c>
      <c r="F561" t="s">
        <v>528</v>
      </c>
      <c r="G561" t="s">
        <v>1354</v>
      </c>
      <c r="H561">
        <v>3</v>
      </c>
      <c r="I561">
        <v>1</v>
      </c>
      <c r="J561">
        <v>0.2</v>
      </c>
      <c r="K561" t="b">
        <v>1</v>
      </c>
    </row>
    <row r="562" spans="1:11" x14ac:dyDescent="0.2">
      <c r="A562">
        <v>661</v>
      </c>
      <c r="B562" t="s">
        <v>1353</v>
      </c>
      <c r="C562" s="1">
        <v>41874</v>
      </c>
      <c r="D562" s="1">
        <v>41878</v>
      </c>
      <c r="E562">
        <v>4</v>
      </c>
      <c r="F562" t="s">
        <v>528</v>
      </c>
      <c r="G562" t="s">
        <v>1355</v>
      </c>
      <c r="H562">
        <v>1</v>
      </c>
      <c r="I562">
        <v>1</v>
      </c>
      <c r="J562">
        <v>0.2</v>
      </c>
      <c r="K562" t="b">
        <v>0</v>
      </c>
    </row>
    <row r="563" spans="1:11" x14ac:dyDescent="0.2">
      <c r="A563">
        <v>662</v>
      </c>
      <c r="B563" t="s">
        <v>1353</v>
      </c>
      <c r="C563" s="1">
        <v>41874</v>
      </c>
      <c r="D563" s="1">
        <v>41878</v>
      </c>
      <c r="E563">
        <v>4</v>
      </c>
      <c r="F563" t="s">
        <v>528</v>
      </c>
      <c r="G563" t="s">
        <v>1323</v>
      </c>
      <c r="H563">
        <v>3</v>
      </c>
      <c r="I563">
        <v>1</v>
      </c>
      <c r="J563">
        <v>0.2</v>
      </c>
      <c r="K563" t="b">
        <v>0</v>
      </c>
    </row>
    <row r="564" spans="1:11" x14ac:dyDescent="0.2">
      <c r="A564">
        <v>663</v>
      </c>
      <c r="B564" t="s">
        <v>1353</v>
      </c>
      <c r="C564" s="1">
        <v>41874</v>
      </c>
      <c r="D564" s="1">
        <v>41878</v>
      </c>
      <c r="E564">
        <v>4</v>
      </c>
      <c r="F564" t="s">
        <v>528</v>
      </c>
      <c r="G564" t="s">
        <v>1356</v>
      </c>
      <c r="H564">
        <v>9</v>
      </c>
      <c r="I564">
        <v>1</v>
      </c>
      <c r="J564">
        <v>0.2</v>
      </c>
      <c r="K564" t="b">
        <v>0</v>
      </c>
    </row>
    <row r="565" spans="1:11" x14ac:dyDescent="0.2">
      <c r="A565">
        <v>664</v>
      </c>
      <c r="B565" t="s">
        <v>1353</v>
      </c>
      <c r="C565" s="1">
        <v>41874</v>
      </c>
      <c r="D565" s="1">
        <v>41878</v>
      </c>
      <c r="E565">
        <v>4</v>
      </c>
      <c r="F565" t="s">
        <v>528</v>
      </c>
      <c r="G565" t="s">
        <v>1280</v>
      </c>
      <c r="H565">
        <v>6</v>
      </c>
      <c r="I565">
        <v>1</v>
      </c>
      <c r="J565">
        <v>0.2</v>
      </c>
      <c r="K565" t="b">
        <v>0</v>
      </c>
    </row>
    <row r="566" spans="1:11" x14ac:dyDescent="0.2">
      <c r="A566">
        <v>665</v>
      </c>
      <c r="B566" t="s">
        <v>1353</v>
      </c>
      <c r="C566" s="1">
        <v>41874</v>
      </c>
      <c r="D566" s="1">
        <v>41878</v>
      </c>
      <c r="E566">
        <v>4</v>
      </c>
      <c r="F566" t="s">
        <v>528</v>
      </c>
      <c r="G566" t="s">
        <v>851</v>
      </c>
      <c r="H566">
        <v>9</v>
      </c>
      <c r="I566">
        <v>1</v>
      </c>
      <c r="J566">
        <v>0.2</v>
      </c>
      <c r="K566" t="b">
        <v>0</v>
      </c>
    </row>
    <row r="567" spans="1:11" x14ac:dyDescent="0.2">
      <c r="A567">
        <v>666</v>
      </c>
      <c r="B567" t="s">
        <v>1357</v>
      </c>
      <c r="C567" s="1">
        <v>43086</v>
      </c>
      <c r="D567" s="1">
        <v>43092</v>
      </c>
      <c r="E567">
        <v>4</v>
      </c>
      <c r="F567" t="s">
        <v>558</v>
      </c>
      <c r="G567" t="s">
        <v>1358</v>
      </c>
      <c r="H567">
        <v>2</v>
      </c>
      <c r="I567">
        <v>0</v>
      </c>
      <c r="J567">
        <v>0</v>
      </c>
      <c r="K567" t="b">
        <v>0</v>
      </c>
    </row>
    <row r="568" spans="1:11" x14ac:dyDescent="0.2">
      <c r="A568">
        <v>667</v>
      </c>
      <c r="B568" t="s">
        <v>1357</v>
      </c>
      <c r="C568" s="1">
        <v>43086</v>
      </c>
      <c r="D568" s="1">
        <v>43092</v>
      </c>
      <c r="E568">
        <v>4</v>
      </c>
      <c r="F568" t="s">
        <v>558</v>
      </c>
      <c r="G568" t="s">
        <v>968</v>
      </c>
      <c r="H568">
        <v>3</v>
      </c>
      <c r="I568">
        <v>1</v>
      </c>
      <c r="J568">
        <v>0.2</v>
      </c>
      <c r="K568" t="b">
        <v>0</v>
      </c>
    </row>
    <row r="569" spans="1:11" x14ac:dyDescent="0.2">
      <c r="A569">
        <v>668</v>
      </c>
      <c r="B569" t="s">
        <v>1357</v>
      </c>
      <c r="C569" s="1">
        <v>43086</v>
      </c>
      <c r="D569" s="1">
        <v>43092</v>
      </c>
      <c r="E569">
        <v>4</v>
      </c>
      <c r="F569" t="s">
        <v>558</v>
      </c>
      <c r="G569" t="s">
        <v>1359</v>
      </c>
      <c r="H569">
        <v>2</v>
      </c>
      <c r="I569">
        <v>0</v>
      </c>
      <c r="J569">
        <v>0</v>
      </c>
      <c r="K569" t="b">
        <v>0</v>
      </c>
    </row>
    <row r="570" spans="1:11" hidden="1" x14ac:dyDescent="0.2">
      <c r="A570">
        <v>669</v>
      </c>
      <c r="B570" t="s">
        <v>1360</v>
      </c>
      <c r="C570" s="1">
        <v>42511</v>
      </c>
      <c r="D570" s="1">
        <v>42516</v>
      </c>
      <c r="E570">
        <v>2</v>
      </c>
      <c r="F570" t="s">
        <v>551</v>
      </c>
      <c r="G570" t="s">
        <v>1361</v>
      </c>
      <c r="H570">
        <v>2</v>
      </c>
      <c r="I570">
        <v>1</v>
      </c>
      <c r="J570">
        <v>0.8</v>
      </c>
      <c r="K570" t="b">
        <v>0</v>
      </c>
    </row>
    <row r="571" spans="1:11" hidden="1" x14ac:dyDescent="0.2">
      <c r="A571">
        <v>670</v>
      </c>
      <c r="B571" t="s">
        <v>1360</v>
      </c>
      <c r="C571" s="1">
        <v>42511</v>
      </c>
      <c r="D571" s="1">
        <v>42516</v>
      </c>
      <c r="E571">
        <v>2</v>
      </c>
      <c r="F571" t="s">
        <v>551</v>
      </c>
      <c r="G571" t="s">
        <v>1362</v>
      </c>
      <c r="H571">
        <v>9</v>
      </c>
      <c r="I571">
        <v>1</v>
      </c>
      <c r="J571">
        <v>0.2</v>
      </c>
      <c r="K571" t="b">
        <v>0</v>
      </c>
    </row>
    <row r="572" spans="1:11" hidden="1" x14ac:dyDescent="0.2">
      <c r="A572">
        <v>671</v>
      </c>
      <c r="B572" t="s">
        <v>1363</v>
      </c>
      <c r="C572" s="1">
        <v>42937</v>
      </c>
      <c r="D572" s="1">
        <v>42941</v>
      </c>
      <c r="E572">
        <v>3</v>
      </c>
      <c r="F572" t="s">
        <v>535</v>
      </c>
      <c r="G572" t="s">
        <v>1259</v>
      </c>
      <c r="H572">
        <v>2</v>
      </c>
      <c r="I572">
        <v>0</v>
      </c>
      <c r="J572">
        <v>0</v>
      </c>
      <c r="K572" t="b">
        <v>0</v>
      </c>
    </row>
    <row r="573" spans="1:11" hidden="1" x14ac:dyDescent="0.2">
      <c r="A573">
        <v>672</v>
      </c>
      <c r="B573" t="s">
        <v>1363</v>
      </c>
      <c r="C573" s="1">
        <v>42937</v>
      </c>
      <c r="D573" s="1">
        <v>42941</v>
      </c>
      <c r="E573">
        <v>3</v>
      </c>
      <c r="F573" t="s">
        <v>535</v>
      </c>
      <c r="G573" t="s">
        <v>1070</v>
      </c>
      <c r="H573">
        <v>9</v>
      </c>
      <c r="I573">
        <v>1</v>
      </c>
      <c r="J573">
        <v>0.2</v>
      </c>
      <c r="K573" t="b">
        <v>0</v>
      </c>
    </row>
    <row r="574" spans="1:11" hidden="1" x14ac:dyDescent="0.2">
      <c r="A574">
        <v>673</v>
      </c>
      <c r="B574" t="s">
        <v>1364</v>
      </c>
      <c r="C574" s="1">
        <v>43003</v>
      </c>
      <c r="D574" s="1">
        <v>43006</v>
      </c>
      <c r="E574">
        <v>2</v>
      </c>
      <c r="F574" t="s">
        <v>477</v>
      </c>
      <c r="G574" t="s">
        <v>1365</v>
      </c>
      <c r="H574">
        <v>5</v>
      </c>
      <c r="I574">
        <v>1</v>
      </c>
      <c r="J574">
        <v>0.7</v>
      </c>
      <c r="K574" t="b">
        <v>0</v>
      </c>
    </row>
    <row r="575" spans="1:11" hidden="1" x14ac:dyDescent="0.2">
      <c r="A575">
        <v>674</v>
      </c>
      <c r="B575" t="s">
        <v>1364</v>
      </c>
      <c r="C575" s="1">
        <v>43003</v>
      </c>
      <c r="D575" s="1">
        <v>43006</v>
      </c>
      <c r="E575">
        <v>2</v>
      </c>
      <c r="F575" t="s">
        <v>477</v>
      </c>
      <c r="G575" t="s">
        <v>1366</v>
      </c>
      <c r="H575">
        <v>2</v>
      </c>
      <c r="I575">
        <v>1</v>
      </c>
      <c r="J575">
        <v>0.2</v>
      </c>
      <c r="K575" t="b">
        <v>0</v>
      </c>
    </row>
    <row r="576" spans="1:11" hidden="1" x14ac:dyDescent="0.2">
      <c r="A576">
        <v>675</v>
      </c>
      <c r="B576" t="s">
        <v>1367</v>
      </c>
      <c r="C576" s="1">
        <v>43091</v>
      </c>
      <c r="D576" s="1">
        <v>43094</v>
      </c>
      <c r="E576">
        <v>3</v>
      </c>
      <c r="F576" t="s">
        <v>579</v>
      </c>
      <c r="G576" t="s">
        <v>1368</v>
      </c>
      <c r="H576">
        <v>2</v>
      </c>
      <c r="I576">
        <v>1</v>
      </c>
      <c r="J576">
        <v>0.5</v>
      </c>
      <c r="K576" t="b">
        <v>0</v>
      </c>
    </row>
    <row r="577" spans="1:11" hidden="1" x14ac:dyDescent="0.2">
      <c r="A577">
        <v>676</v>
      </c>
      <c r="B577" t="s">
        <v>1369</v>
      </c>
      <c r="C577" s="1">
        <v>41751</v>
      </c>
      <c r="D577" s="1">
        <v>41753</v>
      </c>
      <c r="E577">
        <v>3</v>
      </c>
      <c r="F577" t="s">
        <v>472</v>
      </c>
      <c r="G577" t="s">
        <v>1370</v>
      </c>
      <c r="H577">
        <v>8</v>
      </c>
      <c r="I577">
        <v>0</v>
      </c>
      <c r="J577">
        <v>0</v>
      </c>
      <c r="K577" t="b">
        <v>0</v>
      </c>
    </row>
    <row r="578" spans="1:11" hidden="1" x14ac:dyDescent="0.2">
      <c r="A578">
        <v>677</v>
      </c>
      <c r="B578" t="s">
        <v>1369</v>
      </c>
      <c r="C578" s="1">
        <v>41751</v>
      </c>
      <c r="D578" s="1">
        <v>41753</v>
      </c>
      <c r="E578">
        <v>3</v>
      </c>
      <c r="F578" t="s">
        <v>472</v>
      </c>
      <c r="G578" t="s">
        <v>816</v>
      </c>
      <c r="H578">
        <v>3</v>
      </c>
      <c r="I578">
        <v>1</v>
      </c>
      <c r="J578">
        <v>0.2</v>
      </c>
      <c r="K578" t="b">
        <v>0</v>
      </c>
    </row>
    <row r="579" spans="1:11" x14ac:dyDescent="0.2">
      <c r="A579">
        <v>678</v>
      </c>
      <c r="B579" t="s">
        <v>1371</v>
      </c>
      <c r="C579" s="1">
        <v>42383</v>
      </c>
      <c r="D579" s="1">
        <v>42389</v>
      </c>
      <c r="E579">
        <v>4</v>
      </c>
      <c r="F579" t="s">
        <v>460</v>
      </c>
      <c r="G579" t="s">
        <v>1372</v>
      </c>
      <c r="H579">
        <v>2</v>
      </c>
      <c r="I579">
        <v>1</v>
      </c>
      <c r="J579">
        <v>0.2</v>
      </c>
      <c r="K579" t="b">
        <v>0</v>
      </c>
    </row>
    <row r="580" spans="1:11" x14ac:dyDescent="0.2">
      <c r="A580">
        <v>679</v>
      </c>
      <c r="B580" t="s">
        <v>1371</v>
      </c>
      <c r="C580" s="1">
        <v>42383</v>
      </c>
      <c r="D580" s="1">
        <v>42389</v>
      </c>
      <c r="E580">
        <v>4</v>
      </c>
      <c r="F580" t="s">
        <v>460</v>
      </c>
      <c r="G580" t="s">
        <v>1373</v>
      </c>
      <c r="H580">
        <v>8</v>
      </c>
      <c r="I580">
        <v>1</v>
      </c>
      <c r="J580">
        <v>0.2</v>
      </c>
      <c r="K580" t="b">
        <v>0</v>
      </c>
    </row>
    <row r="581" spans="1:11" x14ac:dyDescent="0.2">
      <c r="A581">
        <v>680</v>
      </c>
      <c r="B581" t="s">
        <v>1374</v>
      </c>
      <c r="C581" s="1">
        <v>42321</v>
      </c>
      <c r="D581" s="1">
        <v>42325</v>
      </c>
      <c r="E581">
        <v>4</v>
      </c>
      <c r="F581" t="s">
        <v>564</v>
      </c>
      <c r="G581" t="s">
        <v>1375</v>
      </c>
      <c r="H581">
        <v>5</v>
      </c>
      <c r="I581">
        <v>1</v>
      </c>
      <c r="J581">
        <v>0.2</v>
      </c>
      <c r="K581" t="b">
        <v>0</v>
      </c>
    </row>
    <row r="582" spans="1:11" x14ac:dyDescent="0.2">
      <c r="A582">
        <v>681</v>
      </c>
      <c r="B582" t="s">
        <v>1374</v>
      </c>
      <c r="C582" s="1">
        <v>42321</v>
      </c>
      <c r="D582" s="1">
        <v>42325</v>
      </c>
      <c r="E582">
        <v>4</v>
      </c>
      <c r="F582" t="s">
        <v>564</v>
      </c>
      <c r="G582" t="s">
        <v>1376</v>
      </c>
      <c r="H582">
        <v>7</v>
      </c>
      <c r="I582">
        <v>0</v>
      </c>
      <c r="J582">
        <v>0</v>
      </c>
      <c r="K582" t="b">
        <v>0</v>
      </c>
    </row>
    <row r="583" spans="1:11" x14ac:dyDescent="0.2">
      <c r="A583">
        <v>682</v>
      </c>
      <c r="B583" t="s">
        <v>1377</v>
      </c>
      <c r="C583" s="1">
        <v>41884</v>
      </c>
      <c r="D583" s="1">
        <v>41889</v>
      </c>
      <c r="E583">
        <v>4</v>
      </c>
      <c r="F583" t="s">
        <v>572</v>
      </c>
      <c r="G583" t="s">
        <v>1378</v>
      </c>
      <c r="H583">
        <v>3</v>
      </c>
      <c r="I583">
        <v>1</v>
      </c>
      <c r="J583">
        <v>0.4</v>
      </c>
      <c r="K583" t="b">
        <v>0</v>
      </c>
    </row>
    <row r="584" spans="1:11" hidden="1" x14ac:dyDescent="0.2">
      <c r="A584">
        <v>683</v>
      </c>
      <c r="B584" t="s">
        <v>1379</v>
      </c>
      <c r="C584" s="1">
        <v>42369</v>
      </c>
      <c r="D584" s="1">
        <v>42371</v>
      </c>
      <c r="E584">
        <v>3</v>
      </c>
      <c r="F584" t="s">
        <v>498</v>
      </c>
      <c r="G584" t="s">
        <v>1380</v>
      </c>
      <c r="H584">
        <v>8</v>
      </c>
      <c r="I584">
        <v>0</v>
      </c>
      <c r="J584">
        <v>0</v>
      </c>
      <c r="K584" t="b">
        <v>0</v>
      </c>
    </row>
    <row r="585" spans="1:11" hidden="1" x14ac:dyDescent="0.2">
      <c r="A585">
        <v>684</v>
      </c>
      <c r="B585" t="s">
        <v>1381</v>
      </c>
      <c r="C585" s="1">
        <v>42003</v>
      </c>
      <c r="D585" s="1">
        <v>42007</v>
      </c>
      <c r="E585">
        <v>3</v>
      </c>
      <c r="F585" t="s">
        <v>530</v>
      </c>
      <c r="G585" t="s">
        <v>1382</v>
      </c>
      <c r="H585">
        <v>6</v>
      </c>
      <c r="I585">
        <v>1</v>
      </c>
      <c r="J585">
        <v>0.4</v>
      </c>
      <c r="K585" t="b">
        <v>0</v>
      </c>
    </row>
    <row r="586" spans="1:11" hidden="1" x14ac:dyDescent="0.2">
      <c r="A586">
        <v>685</v>
      </c>
      <c r="B586" t="s">
        <v>1381</v>
      </c>
      <c r="C586" s="1">
        <v>42003</v>
      </c>
      <c r="D586" s="1">
        <v>42007</v>
      </c>
      <c r="E586">
        <v>3</v>
      </c>
      <c r="F586" t="s">
        <v>530</v>
      </c>
      <c r="G586" t="s">
        <v>618</v>
      </c>
      <c r="H586">
        <v>3</v>
      </c>
      <c r="I586">
        <v>1</v>
      </c>
      <c r="J586">
        <v>0.4</v>
      </c>
      <c r="K586" t="b">
        <v>0</v>
      </c>
    </row>
    <row r="587" spans="1:11" x14ac:dyDescent="0.2">
      <c r="A587">
        <v>686</v>
      </c>
      <c r="B587" t="s">
        <v>1383</v>
      </c>
      <c r="C587" s="1">
        <v>42626</v>
      </c>
      <c r="D587" s="1">
        <v>42631</v>
      </c>
      <c r="E587">
        <v>4</v>
      </c>
      <c r="F587" t="s">
        <v>447</v>
      </c>
      <c r="G587" t="s">
        <v>1339</v>
      </c>
      <c r="H587">
        <v>3</v>
      </c>
      <c r="I587">
        <v>0</v>
      </c>
      <c r="J587">
        <v>0</v>
      </c>
      <c r="K587" t="b">
        <v>0</v>
      </c>
    </row>
    <row r="588" spans="1:11" x14ac:dyDescent="0.2">
      <c r="A588">
        <v>687</v>
      </c>
      <c r="B588" t="s">
        <v>1383</v>
      </c>
      <c r="C588" s="1">
        <v>42626</v>
      </c>
      <c r="D588" s="1">
        <v>42631</v>
      </c>
      <c r="E588">
        <v>4</v>
      </c>
      <c r="F588" t="s">
        <v>447</v>
      </c>
      <c r="G588" t="s">
        <v>1384</v>
      </c>
      <c r="H588">
        <v>5</v>
      </c>
      <c r="I588">
        <v>0</v>
      </c>
      <c r="J588">
        <v>0</v>
      </c>
      <c r="K588" t="b">
        <v>0</v>
      </c>
    </row>
    <row r="589" spans="1:11" x14ac:dyDescent="0.2">
      <c r="A589">
        <v>688</v>
      </c>
      <c r="B589" t="s">
        <v>1383</v>
      </c>
      <c r="C589" s="1">
        <v>42626</v>
      </c>
      <c r="D589" s="1">
        <v>42631</v>
      </c>
      <c r="E589">
        <v>4</v>
      </c>
      <c r="F589" t="s">
        <v>447</v>
      </c>
      <c r="G589" t="s">
        <v>1385</v>
      </c>
      <c r="H589">
        <v>5</v>
      </c>
      <c r="I589">
        <v>0</v>
      </c>
      <c r="J589">
        <v>0</v>
      </c>
      <c r="K589" t="b">
        <v>0</v>
      </c>
    </row>
    <row r="590" spans="1:11" x14ac:dyDescent="0.2">
      <c r="A590">
        <v>689</v>
      </c>
      <c r="B590" t="s">
        <v>1383</v>
      </c>
      <c r="C590" s="1">
        <v>42626</v>
      </c>
      <c r="D590" s="1">
        <v>42631</v>
      </c>
      <c r="E590">
        <v>4</v>
      </c>
      <c r="F590" t="s">
        <v>447</v>
      </c>
      <c r="G590" t="s">
        <v>1386</v>
      </c>
      <c r="H590">
        <v>2</v>
      </c>
      <c r="I590">
        <v>0</v>
      </c>
      <c r="J590">
        <v>0</v>
      </c>
      <c r="K590" t="b">
        <v>0</v>
      </c>
    </row>
    <row r="591" spans="1:11" x14ac:dyDescent="0.2">
      <c r="A591">
        <v>690</v>
      </c>
      <c r="B591" t="s">
        <v>1383</v>
      </c>
      <c r="C591" s="1">
        <v>42626</v>
      </c>
      <c r="D591" s="1">
        <v>42631</v>
      </c>
      <c r="E591">
        <v>4</v>
      </c>
      <c r="F591" t="s">
        <v>447</v>
      </c>
      <c r="G591" t="s">
        <v>1387</v>
      </c>
      <c r="H591">
        <v>3</v>
      </c>
      <c r="I591">
        <v>0</v>
      </c>
      <c r="J591">
        <v>0</v>
      </c>
      <c r="K591" t="b">
        <v>1</v>
      </c>
    </row>
    <row r="592" spans="1:11" x14ac:dyDescent="0.2">
      <c r="A592">
        <v>691</v>
      </c>
      <c r="B592" t="s">
        <v>1383</v>
      </c>
      <c r="C592" s="1">
        <v>42626</v>
      </c>
      <c r="D592" s="1">
        <v>42631</v>
      </c>
      <c r="E592">
        <v>4</v>
      </c>
      <c r="F592" t="s">
        <v>447</v>
      </c>
      <c r="G592" t="s">
        <v>1058</v>
      </c>
      <c r="H592">
        <v>2</v>
      </c>
      <c r="I592">
        <v>0</v>
      </c>
      <c r="J592">
        <v>0</v>
      </c>
      <c r="K592" t="b">
        <v>0</v>
      </c>
    </row>
    <row r="593" spans="1:11" x14ac:dyDescent="0.2">
      <c r="A593">
        <v>692</v>
      </c>
      <c r="B593" t="s">
        <v>1383</v>
      </c>
      <c r="C593" s="1">
        <v>42626</v>
      </c>
      <c r="D593" s="1">
        <v>42631</v>
      </c>
      <c r="E593">
        <v>4</v>
      </c>
      <c r="F593" t="s">
        <v>447</v>
      </c>
      <c r="G593" t="s">
        <v>1388</v>
      </c>
      <c r="H593">
        <v>3</v>
      </c>
      <c r="I593">
        <v>0</v>
      </c>
      <c r="J593">
        <v>0</v>
      </c>
      <c r="K593" t="b">
        <v>0</v>
      </c>
    </row>
    <row r="594" spans="1:11" x14ac:dyDescent="0.2">
      <c r="A594">
        <v>693</v>
      </c>
      <c r="B594" t="s">
        <v>1383</v>
      </c>
      <c r="C594" s="1">
        <v>42626</v>
      </c>
      <c r="D594" s="1">
        <v>42631</v>
      </c>
      <c r="E594">
        <v>4</v>
      </c>
      <c r="F594" t="s">
        <v>447</v>
      </c>
      <c r="G594" t="s">
        <v>719</v>
      </c>
      <c r="H594">
        <v>6</v>
      </c>
      <c r="I594">
        <v>0</v>
      </c>
      <c r="J594">
        <v>0</v>
      </c>
      <c r="K594" t="b">
        <v>0</v>
      </c>
    </row>
    <row r="595" spans="1:11" x14ac:dyDescent="0.2">
      <c r="A595">
        <v>694</v>
      </c>
      <c r="B595" t="s">
        <v>1383</v>
      </c>
      <c r="C595" s="1">
        <v>42626</v>
      </c>
      <c r="D595" s="1">
        <v>42631</v>
      </c>
      <c r="E595">
        <v>4</v>
      </c>
      <c r="F595" t="s">
        <v>447</v>
      </c>
      <c r="G595" t="s">
        <v>1389</v>
      </c>
      <c r="H595">
        <v>14</v>
      </c>
      <c r="I595">
        <v>0</v>
      </c>
      <c r="J595">
        <v>0</v>
      </c>
      <c r="K595" t="b">
        <v>0</v>
      </c>
    </row>
    <row r="596" spans="1:11" x14ac:dyDescent="0.2">
      <c r="A596">
        <v>695</v>
      </c>
      <c r="B596" t="s">
        <v>1383</v>
      </c>
      <c r="C596" s="1">
        <v>42626</v>
      </c>
      <c r="D596" s="1">
        <v>42631</v>
      </c>
      <c r="E596">
        <v>4</v>
      </c>
      <c r="F596" t="s">
        <v>447</v>
      </c>
      <c r="G596" t="s">
        <v>1390</v>
      </c>
      <c r="H596">
        <v>3</v>
      </c>
      <c r="I596">
        <v>0</v>
      </c>
      <c r="J596">
        <v>0</v>
      </c>
      <c r="K596" t="b">
        <v>0</v>
      </c>
    </row>
    <row r="597" spans="1:11" hidden="1" x14ac:dyDescent="0.2">
      <c r="A597">
        <v>696</v>
      </c>
      <c r="B597" t="s">
        <v>1391</v>
      </c>
      <c r="C597" s="1">
        <v>41843</v>
      </c>
      <c r="D597" s="1">
        <v>41844</v>
      </c>
      <c r="E597">
        <v>2</v>
      </c>
      <c r="F597" t="s">
        <v>448</v>
      </c>
      <c r="G597" t="s">
        <v>749</v>
      </c>
      <c r="H597">
        <v>2</v>
      </c>
      <c r="I597">
        <v>0</v>
      </c>
      <c r="J597">
        <v>0</v>
      </c>
      <c r="K597" t="b">
        <v>0</v>
      </c>
    </row>
    <row r="598" spans="1:11" hidden="1" x14ac:dyDescent="0.2">
      <c r="A598">
        <v>697</v>
      </c>
      <c r="B598" t="s">
        <v>1392</v>
      </c>
      <c r="C598" s="1">
        <v>42105</v>
      </c>
      <c r="D598" s="1">
        <v>42108</v>
      </c>
      <c r="E598">
        <v>3</v>
      </c>
      <c r="F598" t="s">
        <v>533</v>
      </c>
      <c r="G598" t="s">
        <v>1393</v>
      </c>
      <c r="H598">
        <v>4</v>
      </c>
      <c r="I598">
        <v>1</v>
      </c>
      <c r="J598">
        <v>0.2</v>
      </c>
      <c r="K598" t="b">
        <v>0</v>
      </c>
    </row>
    <row r="599" spans="1:11" hidden="1" x14ac:dyDescent="0.2">
      <c r="A599">
        <v>698</v>
      </c>
      <c r="B599" t="s">
        <v>1392</v>
      </c>
      <c r="C599" s="1">
        <v>42105</v>
      </c>
      <c r="D599" s="1">
        <v>42108</v>
      </c>
      <c r="E599">
        <v>3</v>
      </c>
      <c r="F599" t="s">
        <v>533</v>
      </c>
      <c r="G599" t="s">
        <v>1394</v>
      </c>
      <c r="H599">
        <v>2</v>
      </c>
      <c r="I599">
        <v>0</v>
      </c>
      <c r="J599">
        <v>0</v>
      </c>
      <c r="K599" t="b">
        <v>0</v>
      </c>
    </row>
    <row r="600" spans="1:11" x14ac:dyDescent="0.2">
      <c r="A600">
        <v>699</v>
      </c>
      <c r="B600" t="s">
        <v>1395</v>
      </c>
      <c r="C600" s="1">
        <v>42509</v>
      </c>
      <c r="D600" s="1">
        <v>42513</v>
      </c>
      <c r="E600">
        <v>4</v>
      </c>
      <c r="F600" t="s">
        <v>498</v>
      </c>
      <c r="G600" t="s">
        <v>1396</v>
      </c>
      <c r="H600">
        <v>8</v>
      </c>
      <c r="I600">
        <v>0</v>
      </c>
      <c r="J600">
        <v>0</v>
      </c>
      <c r="K600" t="b">
        <v>0</v>
      </c>
    </row>
    <row r="601" spans="1:11" x14ac:dyDescent="0.2">
      <c r="A601">
        <v>700</v>
      </c>
      <c r="B601" t="s">
        <v>1397</v>
      </c>
      <c r="C601" s="1">
        <v>41897</v>
      </c>
      <c r="D601" s="1">
        <v>41902</v>
      </c>
      <c r="E601">
        <v>4</v>
      </c>
      <c r="F601" t="s">
        <v>23</v>
      </c>
      <c r="G601" t="s">
        <v>1398</v>
      </c>
      <c r="H601">
        <v>3</v>
      </c>
      <c r="I601">
        <v>0</v>
      </c>
      <c r="J601">
        <v>0</v>
      </c>
      <c r="K601" t="b">
        <v>0</v>
      </c>
    </row>
    <row r="602" spans="1:11" x14ac:dyDescent="0.2">
      <c r="A602">
        <v>701</v>
      </c>
      <c r="B602" t="s">
        <v>1397</v>
      </c>
      <c r="C602" s="1">
        <v>41897</v>
      </c>
      <c r="D602" s="1">
        <v>41902</v>
      </c>
      <c r="E602">
        <v>4</v>
      </c>
      <c r="F602" t="s">
        <v>23</v>
      </c>
      <c r="G602" t="s">
        <v>1399</v>
      </c>
      <c r="H602">
        <v>2</v>
      </c>
      <c r="I602">
        <v>0</v>
      </c>
      <c r="J602">
        <v>0</v>
      </c>
      <c r="K602" t="b">
        <v>1</v>
      </c>
    </row>
    <row r="603" spans="1:11" x14ac:dyDescent="0.2">
      <c r="A603">
        <v>702</v>
      </c>
      <c r="B603" t="s">
        <v>1400</v>
      </c>
      <c r="C603" s="1">
        <v>42262</v>
      </c>
      <c r="D603" s="1">
        <v>42267</v>
      </c>
      <c r="E603">
        <v>4</v>
      </c>
      <c r="F603" t="s">
        <v>429</v>
      </c>
      <c r="G603" t="s">
        <v>1401</v>
      </c>
      <c r="H603">
        <v>4</v>
      </c>
      <c r="I603">
        <v>1</v>
      </c>
      <c r="J603">
        <v>0.7</v>
      </c>
      <c r="K603" t="b">
        <v>0</v>
      </c>
    </row>
    <row r="604" spans="1:11" x14ac:dyDescent="0.2">
      <c r="A604">
        <v>703</v>
      </c>
      <c r="B604" t="s">
        <v>1400</v>
      </c>
      <c r="C604" s="1">
        <v>42262</v>
      </c>
      <c r="D604" s="1">
        <v>42267</v>
      </c>
      <c r="E604">
        <v>4</v>
      </c>
      <c r="F604" t="s">
        <v>429</v>
      </c>
      <c r="G604" t="s">
        <v>825</v>
      </c>
      <c r="H604">
        <v>2</v>
      </c>
      <c r="I604">
        <v>1</v>
      </c>
      <c r="J604">
        <v>0.2</v>
      </c>
      <c r="K604" t="b">
        <v>0</v>
      </c>
    </row>
    <row r="605" spans="1:11" x14ac:dyDescent="0.2">
      <c r="A605">
        <v>704</v>
      </c>
      <c r="B605" t="s">
        <v>1402</v>
      </c>
      <c r="C605" s="1">
        <v>43044</v>
      </c>
      <c r="D605" s="1">
        <v>43048</v>
      </c>
      <c r="E605">
        <v>4</v>
      </c>
      <c r="F605" t="s">
        <v>74</v>
      </c>
      <c r="G605" t="s">
        <v>1403</v>
      </c>
      <c r="H605">
        <v>2</v>
      </c>
      <c r="I605">
        <v>0</v>
      </c>
      <c r="J605">
        <v>0</v>
      </c>
      <c r="K605" t="b">
        <v>0</v>
      </c>
    </row>
    <row r="606" spans="1:11" hidden="1" x14ac:dyDescent="0.2">
      <c r="A606">
        <v>705</v>
      </c>
      <c r="B606" t="s">
        <v>1404</v>
      </c>
      <c r="C606" s="1">
        <v>41769</v>
      </c>
      <c r="D606" s="1">
        <v>41773</v>
      </c>
      <c r="E606">
        <v>3</v>
      </c>
      <c r="F606" t="s">
        <v>576</v>
      </c>
      <c r="G606" t="s">
        <v>1405</v>
      </c>
      <c r="H606">
        <v>7</v>
      </c>
      <c r="I606">
        <v>1</v>
      </c>
      <c r="J606">
        <v>0.5</v>
      </c>
      <c r="K606" t="b">
        <v>0</v>
      </c>
    </row>
    <row r="607" spans="1:11" hidden="1" x14ac:dyDescent="0.2">
      <c r="A607">
        <v>706</v>
      </c>
      <c r="B607" t="s">
        <v>1404</v>
      </c>
      <c r="C607" s="1">
        <v>41769</v>
      </c>
      <c r="D607" s="1">
        <v>41773</v>
      </c>
      <c r="E607">
        <v>3</v>
      </c>
      <c r="F607" t="s">
        <v>576</v>
      </c>
      <c r="G607" t="s">
        <v>1406</v>
      </c>
      <c r="H607">
        <v>5</v>
      </c>
      <c r="I607">
        <v>1</v>
      </c>
      <c r="J607">
        <v>0.2</v>
      </c>
      <c r="K607" t="b">
        <v>1</v>
      </c>
    </row>
    <row r="608" spans="1:11" hidden="1" x14ac:dyDescent="0.2">
      <c r="A608">
        <v>707</v>
      </c>
      <c r="B608" t="s">
        <v>1407</v>
      </c>
      <c r="C608" s="1">
        <v>42331</v>
      </c>
      <c r="D608" s="1">
        <v>42335</v>
      </c>
      <c r="E608">
        <v>3</v>
      </c>
      <c r="F608" t="s">
        <v>559</v>
      </c>
      <c r="G608" t="s">
        <v>1408</v>
      </c>
      <c r="H608">
        <v>8</v>
      </c>
      <c r="I608">
        <v>0</v>
      </c>
      <c r="J608">
        <v>0</v>
      </c>
      <c r="K608" t="b">
        <v>0</v>
      </c>
    </row>
    <row r="609" spans="1:11" hidden="1" x14ac:dyDescent="0.2">
      <c r="A609">
        <v>708</v>
      </c>
      <c r="B609" t="s">
        <v>1407</v>
      </c>
      <c r="C609" s="1">
        <v>42331</v>
      </c>
      <c r="D609" s="1">
        <v>42335</v>
      </c>
      <c r="E609">
        <v>3</v>
      </c>
      <c r="F609" t="s">
        <v>559</v>
      </c>
      <c r="G609" t="s">
        <v>1409</v>
      </c>
      <c r="H609">
        <v>3</v>
      </c>
      <c r="I609">
        <v>0</v>
      </c>
      <c r="J609">
        <v>0</v>
      </c>
      <c r="K609" t="b">
        <v>0</v>
      </c>
    </row>
    <row r="610" spans="1:11" hidden="1" x14ac:dyDescent="0.2">
      <c r="A610">
        <v>709</v>
      </c>
      <c r="B610" t="s">
        <v>1410</v>
      </c>
      <c r="C610" s="1">
        <v>42002</v>
      </c>
      <c r="D610" s="1">
        <v>42007</v>
      </c>
      <c r="E610">
        <v>1</v>
      </c>
      <c r="F610" t="s">
        <v>502</v>
      </c>
      <c r="G610" t="s">
        <v>1411</v>
      </c>
      <c r="H610">
        <v>6</v>
      </c>
      <c r="I610">
        <v>0</v>
      </c>
      <c r="J610">
        <v>0</v>
      </c>
      <c r="K610" t="b">
        <v>0</v>
      </c>
    </row>
    <row r="611" spans="1:11" hidden="1" x14ac:dyDescent="0.2">
      <c r="A611">
        <v>710</v>
      </c>
      <c r="B611" t="s">
        <v>1410</v>
      </c>
      <c r="C611" s="1">
        <v>42002</v>
      </c>
      <c r="D611" s="1">
        <v>42007</v>
      </c>
      <c r="E611">
        <v>1</v>
      </c>
      <c r="F611" t="s">
        <v>502</v>
      </c>
      <c r="G611" t="s">
        <v>1412</v>
      </c>
      <c r="H611">
        <v>4</v>
      </c>
      <c r="I611">
        <v>1</v>
      </c>
      <c r="J611">
        <v>0.2</v>
      </c>
      <c r="K611" t="b">
        <v>0</v>
      </c>
    </row>
    <row r="612" spans="1:11" x14ac:dyDescent="0.2">
      <c r="A612">
        <v>711</v>
      </c>
      <c r="B612" t="s">
        <v>1413</v>
      </c>
      <c r="C612" s="1">
        <v>42918</v>
      </c>
      <c r="D612" s="1">
        <v>42921</v>
      </c>
      <c r="E612">
        <v>4</v>
      </c>
      <c r="F612" t="s">
        <v>482</v>
      </c>
      <c r="G612" t="s">
        <v>1414</v>
      </c>
      <c r="H612">
        <v>5</v>
      </c>
      <c r="I612">
        <v>1</v>
      </c>
      <c r="J612">
        <v>0.2</v>
      </c>
      <c r="K612" t="b">
        <v>0</v>
      </c>
    </row>
    <row r="613" spans="1:11" x14ac:dyDescent="0.2">
      <c r="A613">
        <v>712</v>
      </c>
      <c r="B613" t="s">
        <v>1413</v>
      </c>
      <c r="C613" s="1">
        <v>42918</v>
      </c>
      <c r="D613" s="1">
        <v>42921</v>
      </c>
      <c r="E613">
        <v>4</v>
      </c>
      <c r="F613" t="s">
        <v>482</v>
      </c>
      <c r="G613" t="s">
        <v>1415</v>
      </c>
      <c r="H613">
        <v>4</v>
      </c>
      <c r="I613">
        <v>1</v>
      </c>
      <c r="J613">
        <v>0.8</v>
      </c>
      <c r="K613" t="b">
        <v>1</v>
      </c>
    </row>
    <row r="614" spans="1:11" x14ac:dyDescent="0.2">
      <c r="A614">
        <v>713</v>
      </c>
      <c r="B614" t="s">
        <v>1416</v>
      </c>
      <c r="C614" s="1">
        <v>42608</v>
      </c>
      <c r="D614" s="1">
        <v>42615</v>
      </c>
      <c r="E614">
        <v>4</v>
      </c>
      <c r="F614" t="s">
        <v>28</v>
      </c>
      <c r="G614" t="s">
        <v>1417</v>
      </c>
      <c r="H614">
        <v>2</v>
      </c>
      <c r="I614">
        <v>0</v>
      </c>
      <c r="J614">
        <v>0</v>
      </c>
      <c r="K614" t="b">
        <v>0</v>
      </c>
    </row>
    <row r="615" spans="1:11" x14ac:dyDescent="0.2">
      <c r="A615">
        <v>714</v>
      </c>
      <c r="B615" t="s">
        <v>1416</v>
      </c>
      <c r="C615" s="1">
        <v>42608</v>
      </c>
      <c r="D615" s="1">
        <v>42615</v>
      </c>
      <c r="E615">
        <v>4</v>
      </c>
      <c r="F615" t="s">
        <v>28</v>
      </c>
      <c r="G615" t="s">
        <v>1382</v>
      </c>
      <c r="H615">
        <v>3</v>
      </c>
      <c r="I615">
        <v>0</v>
      </c>
      <c r="J615">
        <v>0</v>
      </c>
      <c r="K615" t="b">
        <v>0</v>
      </c>
    </row>
    <row r="616" spans="1:11" x14ac:dyDescent="0.2">
      <c r="A616">
        <v>715</v>
      </c>
      <c r="B616" t="s">
        <v>1416</v>
      </c>
      <c r="C616" s="1">
        <v>42608</v>
      </c>
      <c r="D616" s="1">
        <v>42615</v>
      </c>
      <c r="E616">
        <v>4</v>
      </c>
      <c r="F616" t="s">
        <v>60</v>
      </c>
      <c r="G616" t="s">
        <v>1418</v>
      </c>
      <c r="H616">
        <v>4</v>
      </c>
      <c r="I616">
        <v>0</v>
      </c>
      <c r="J616">
        <v>0</v>
      </c>
      <c r="K616" t="b">
        <v>0</v>
      </c>
    </row>
    <row r="617" spans="1:11" x14ac:dyDescent="0.2">
      <c r="A617">
        <v>716</v>
      </c>
      <c r="B617" t="s">
        <v>1416</v>
      </c>
      <c r="C617" s="1">
        <v>42608</v>
      </c>
      <c r="D617" s="1">
        <v>42615</v>
      </c>
      <c r="E617">
        <v>4</v>
      </c>
      <c r="F617" t="s">
        <v>60</v>
      </c>
      <c r="G617" t="s">
        <v>626</v>
      </c>
      <c r="H617">
        <v>3</v>
      </c>
      <c r="I617">
        <v>0</v>
      </c>
      <c r="J617">
        <v>0</v>
      </c>
      <c r="K617" t="b">
        <v>0</v>
      </c>
    </row>
    <row r="618" spans="1:11" x14ac:dyDescent="0.2">
      <c r="A618">
        <v>717</v>
      </c>
      <c r="B618" t="s">
        <v>1416</v>
      </c>
      <c r="C618" s="1">
        <v>42608</v>
      </c>
      <c r="D618" s="1">
        <v>42615</v>
      </c>
      <c r="E618">
        <v>4</v>
      </c>
      <c r="F618" t="s">
        <v>60</v>
      </c>
      <c r="G618" t="s">
        <v>1419</v>
      </c>
      <c r="H618">
        <v>3</v>
      </c>
      <c r="I618">
        <v>0</v>
      </c>
      <c r="J618">
        <v>0</v>
      </c>
      <c r="K618" t="b">
        <v>0</v>
      </c>
    </row>
    <row r="619" spans="1:11" hidden="1" x14ac:dyDescent="0.2">
      <c r="A619">
        <v>718</v>
      </c>
      <c r="B619" t="s">
        <v>1420</v>
      </c>
      <c r="C619" s="1">
        <v>42257</v>
      </c>
      <c r="D619" s="1">
        <v>42261</v>
      </c>
      <c r="E619">
        <v>3</v>
      </c>
      <c r="F619" t="s">
        <v>530</v>
      </c>
      <c r="G619" t="s">
        <v>1421</v>
      </c>
      <c r="H619">
        <v>1</v>
      </c>
      <c r="I619">
        <v>1</v>
      </c>
      <c r="J619">
        <v>0.3</v>
      </c>
      <c r="K619" t="b">
        <v>0</v>
      </c>
    </row>
    <row r="620" spans="1:11" hidden="1" x14ac:dyDescent="0.2">
      <c r="A620">
        <v>719</v>
      </c>
      <c r="B620" t="s">
        <v>1422</v>
      </c>
      <c r="C620" s="1">
        <v>43087</v>
      </c>
      <c r="D620" s="1">
        <v>43089</v>
      </c>
      <c r="E620">
        <v>2</v>
      </c>
      <c r="F620" t="s">
        <v>579</v>
      </c>
      <c r="G620" t="s">
        <v>1423</v>
      </c>
      <c r="H620">
        <v>9</v>
      </c>
      <c r="I620">
        <v>1</v>
      </c>
      <c r="J620">
        <v>0.2</v>
      </c>
      <c r="K620" t="b">
        <v>0</v>
      </c>
    </row>
    <row r="621" spans="1:11" hidden="1" x14ac:dyDescent="0.2">
      <c r="A621">
        <v>720</v>
      </c>
      <c r="B621" t="s">
        <v>1424</v>
      </c>
      <c r="C621" s="1">
        <v>42338</v>
      </c>
      <c r="D621" s="1">
        <v>42341</v>
      </c>
      <c r="E621">
        <v>2</v>
      </c>
      <c r="F621" t="s">
        <v>420</v>
      </c>
      <c r="G621" t="s">
        <v>1425</v>
      </c>
      <c r="H621">
        <v>2</v>
      </c>
      <c r="I621">
        <v>1</v>
      </c>
      <c r="J621">
        <v>0.2</v>
      </c>
      <c r="K621" t="b">
        <v>0</v>
      </c>
    </row>
    <row r="622" spans="1:11" hidden="1" x14ac:dyDescent="0.2">
      <c r="A622">
        <v>721</v>
      </c>
      <c r="B622" t="s">
        <v>1426</v>
      </c>
      <c r="C622" s="1">
        <v>42359</v>
      </c>
      <c r="D622" s="1">
        <v>42361</v>
      </c>
      <c r="E622">
        <v>2</v>
      </c>
      <c r="F622" t="s">
        <v>477</v>
      </c>
      <c r="G622" t="s">
        <v>1006</v>
      </c>
      <c r="H622">
        <v>2</v>
      </c>
      <c r="I622">
        <v>1</v>
      </c>
      <c r="J622">
        <v>0.2</v>
      </c>
      <c r="K622" t="b">
        <v>0</v>
      </c>
    </row>
    <row r="623" spans="1:11" x14ac:dyDescent="0.2">
      <c r="A623">
        <v>722</v>
      </c>
      <c r="B623" t="s">
        <v>1427</v>
      </c>
      <c r="C623" s="1">
        <v>42568</v>
      </c>
      <c r="D623" s="1">
        <v>42573</v>
      </c>
      <c r="E623">
        <v>4</v>
      </c>
      <c r="F623" t="s">
        <v>558</v>
      </c>
      <c r="G623" t="s">
        <v>1428</v>
      </c>
      <c r="H623">
        <v>2</v>
      </c>
      <c r="I623">
        <v>0</v>
      </c>
      <c r="J623">
        <v>0</v>
      </c>
      <c r="K623" t="b">
        <v>0</v>
      </c>
    </row>
    <row r="624" spans="1:11" hidden="1" x14ac:dyDescent="0.2">
      <c r="A624">
        <v>723</v>
      </c>
      <c r="B624" t="s">
        <v>1429</v>
      </c>
      <c r="C624" s="1">
        <v>41748</v>
      </c>
      <c r="D624" s="1">
        <v>41752</v>
      </c>
      <c r="E624">
        <v>3</v>
      </c>
      <c r="F624" t="s">
        <v>451</v>
      </c>
      <c r="G624" t="s">
        <v>1430</v>
      </c>
      <c r="H624">
        <v>3</v>
      </c>
      <c r="I624">
        <v>0</v>
      </c>
      <c r="J624">
        <v>0</v>
      </c>
      <c r="K624" t="b">
        <v>0</v>
      </c>
    </row>
    <row r="625" spans="1:11" hidden="1" x14ac:dyDescent="0.2">
      <c r="A625">
        <v>724</v>
      </c>
      <c r="B625" t="s">
        <v>1429</v>
      </c>
      <c r="C625" s="1">
        <v>41748</v>
      </c>
      <c r="D625" s="1">
        <v>41752</v>
      </c>
      <c r="E625">
        <v>3</v>
      </c>
      <c r="F625" t="s">
        <v>451</v>
      </c>
      <c r="G625" t="s">
        <v>1431</v>
      </c>
      <c r="H625">
        <v>11</v>
      </c>
      <c r="I625">
        <v>0</v>
      </c>
      <c r="J625">
        <v>0</v>
      </c>
      <c r="K625" t="b">
        <v>0</v>
      </c>
    </row>
    <row r="626" spans="1:11" x14ac:dyDescent="0.2">
      <c r="A626">
        <v>725</v>
      </c>
      <c r="B626" t="s">
        <v>1432</v>
      </c>
      <c r="C626" s="1">
        <v>42492</v>
      </c>
      <c r="D626" s="1">
        <v>42496</v>
      </c>
      <c r="E626">
        <v>4</v>
      </c>
      <c r="F626" t="s">
        <v>543</v>
      </c>
      <c r="G626" t="s">
        <v>1348</v>
      </c>
      <c r="H626">
        <v>3</v>
      </c>
      <c r="I626">
        <v>1</v>
      </c>
      <c r="J626">
        <v>0.2</v>
      </c>
      <c r="K626" t="b">
        <v>0</v>
      </c>
    </row>
    <row r="627" spans="1:11" x14ac:dyDescent="0.2">
      <c r="A627">
        <v>726</v>
      </c>
      <c r="B627" t="s">
        <v>1432</v>
      </c>
      <c r="C627" s="1">
        <v>42492</v>
      </c>
      <c r="D627" s="1">
        <v>42496</v>
      </c>
      <c r="E627">
        <v>4</v>
      </c>
      <c r="F627" t="s">
        <v>543</v>
      </c>
      <c r="G627" t="s">
        <v>1216</v>
      </c>
      <c r="H627">
        <v>3</v>
      </c>
      <c r="I627">
        <v>1</v>
      </c>
      <c r="J627">
        <v>0.2</v>
      </c>
      <c r="K627" t="b">
        <v>0</v>
      </c>
    </row>
    <row r="628" spans="1:11" x14ac:dyDescent="0.2">
      <c r="A628">
        <v>727</v>
      </c>
      <c r="B628" t="s">
        <v>1432</v>
      </c>
      <c r="C628" s="1">
        <v>42492</v>
      </c>
      <c r="D628" s="1">
        <v>42496</v>
      </c>
      <c r="E628">
        <v>4</v>
      </c>
      <c r="F628" t="s">
        <v>543</v>
      </c>
      <c r="G628" t="s">
        <v>1433</v>
      </c>
      <c r="H628">
        <v>2</v>
      </c>
      <c r="I628">
        <v>1</v>
      </c>
      <c r="J628">
        <v>0.2</v>
      </c>
      <c r="K628" t="b">
        <v>0</v>
      </c>
    </row>
    <row r="629" spans="1:11" hidden="1" x14ac:dyDescent="0.2">
      <c r="A629">
        <v>728</v>
      </c>
      <c r="B629" t="s">
        <v>1434</v>
      </c>
      <c r="C629" s="1">
        <v>41974</v>
      </c>
      <c r="D629" s="1">
        <v>41976</v>
      </c>
      <c r="E629">
        <v>2</v>
      </c>
      <c r="F629" t="s">
        <v>77</v>
      </c>
      <c r="G629" t="s">
        <v>1435</v>
      </c>
      <c r="H629">
        <v>2</v>
      </c>
      <c r="I629">
        <v>0</v>
      </c>
      <c r="J629">
        <v>0</v>
      </c>
      <c r="K629" t="b">
        <v>0</v>
      </c>
    </row>
    <row r="630" spans="1:11" hidden="1" x14ac:dyDescent="0.2">
      <c r="A630">
        <v>729</v>
      </c>
      <c r="B630" t="s">
        <v>1434</v>
      </c>
      <c r="C630" s="1">
        <v>41974</v>
      </c>
      <c r="D630" s="1">
        <v>41976</v>
      </c>
      <c r="E630">
        <v>2</v>
      </c>
      <c r="F630" t="s">
        <v>77</v>
      </c>
      <c r="G630" t="s">
        <v>1436</v>
      </c>
      <c r="H630">
        <v>3</v>
      </c>
      <c r="I630">
        <v>0</v>
      </c>
      <c r="J630">
        <v>0</v>
      </c>
      <c r="K630" t="b">
        <v>0</v>
      </c>
    </row>
    <row r="631" spans="1:11" hidden="1" x14ac:dyDescent="0.2">
      <c r="A631">
        <v>730</v>
      </c>
      <c r="B631" t="s">
        <v>1434</v>
      </c>
      <c r="C631" s="1">
        <v>41974</v>
      </c>
      <c r="D631" s="1">
        <v>41976</v>
      </c>
      <c r="E631">
        <v>2</v>
      </c>
      <c r="F631" t="s">
        <v>77</v>
      </c>
      <c r="G631" t="s">
        <v>1437</v>
      </c>
      <c r="H631">
        <v>2</v>
      </c>
      <c r="I631">
        <v>0</v>
      </c>
      <c r="J631">
        <v>0</v>
      </c>
      <c r="K631" t="b">
        <v>0</v>
      </c>
    </row>
    <row r="632" spans="1:11" x14ac:dyDescent="0.2">
      <c r="A632">
        <v>731</v>
      </c>
      <c r="B632" t="s">
        <v>1438</v>
      </c>
      <c r="C632" s="1">
        <v>42325</v>
      </c>
      <c r="D632" s="1">
        <v>42332</v>
      </c>
      <c r="E632">
        <v>4</v>
      </c>
      <c r="F632" t="s">
        <v>80</v>
      </c>
      <c r="G632" t="s">
        <v>1439</v>
      </c>
      <c r="H632">
        <v>4</v>
      </c>
      <c r="I632">
        <v>0</v>
      </c>
      <c r="J632">
        <v>0</v>
      </c>
      <c r="K632" t="b">
        <v>0</v>
      </c>
    </row>
    <row r="633" spans="1:11" x14ac:dyDescent="0.2">
      <c r="A633">
        <v>732</v>
      </c>
      <c r="B633" t="s">
        <v>1438</v>
      </c>
      <c r="C633" s="1">
        <v>42325</v>
      </c>
      <c r="D633" s="1">
        <v>42332</v>
      </c>
      <c r="E633">
        <v>4</v>
      </c>
      <c r="F633" t="s">
        <v>80</v>
      </c>
      <c r="G633" t="s">
        <v>971</v>
      </c>
      <c r="H633">
        <v>3</v>
      </c>
      <c r="I633">
        <v>0</v>
      </c>
      <c r="J633">
        <v>0</v>
      </c>
      <c r="K633" t="b">
        <v>0</v>
      </c>
    </row>
    <row r="634" spans="1:11" x14ac:dyDescent="0.2">
      <c r="A634">
        <v>733</v>
      </c>
      <c r="B634" t="s">
        <v>1438</v>
      </c>
      <c r="C634" s="1">
        <v>42325</v>
      </c>
      <c r="D634" s="1">
        <v>42332</v>
      </c>
      <c r="E634">
        <v>4</v>
      </c>
      <c r="F634" t="s">
        <v>80</v>
      </c>
      <c r="G634" t="s">
        <v>1340</v>
      </c>
      <c r="H634">
        <v>5</v>
      </c>
      <c r="I634">
        <v>0</v>
      </c>
      <c r="J634">
        <v>0</v>
      </c>
      <c r="K634" t="b">
        <v>0</v>
      </c>
    </row>
    <row r="635" spans="1:11" hidden="1" x14ac:dyDescent="0.2">
      <c r="A635">
        <v>734</v>
      </c>
      <c r="B635" t="s">
        <v>1440</v>
      </c>
      <c r="C635" s="1">
        <v>42267</v>
      </c>
      <c r="D635" s="1">
        <v>42269</v>
      </c>
      <c r="E635">
        <v>2</v>
      </c>
      <c r="F635" t="s">
        <v>449</v>
      </c>
      <c r="G635" t="s">
        <v>1441</v>
      </c>
      <c r="H635">
        <v>6</v>
      </c>
      <c r="I635">
        <v>0</v>
      </c>
      <c r="J635">
        <v>0</v>
      </c>
      <c r="K635" t="b">
        <v>0</v>
      </c>
    </row>
    <row r="636" spans="1:11" x14ac:dyDescent="0.2">
      <c r="A636">
        <v>735</v>
      </c>
      <c r="B636" t="s">
        <v>1442</v>
      </c>
      <c r="C636" s="1">
        <v>41980</v>
      </c>
      <c r="D636" s="1">
        <v>41986</v>
      </c>
      <c r="E636">
        <v>4</v>
      </c>
      <c r="F636" t="s">
        <v>554</v>
      </c>
      <c r="G636" t="s">
        <v>1443</v>
      </c>
      <c r="H636">
        <v>7</v>
      </c>
      <c r="I636">
        <v>0</v>
      </c>
      <c r="J636">
        <v>0</v>
      </c>
      <c r="K636" t="b">
        <v>0</v>
      </c>
    </row>
    <row r="637" spans="1:11" x14ac:dyDescent="0.2">
      <c r="A637">
        <v>736</v>
      </c>
      <c r="B637" t="s">
        <v>1444</v>
      </c>
      <c r="C637" s="1">
        <v>42405</v>
      </c>
      <c r="D637" s="1">
        <v>42410</v>
      </c>
      <c r="E637">
        <v>4</v>
      </c>
      <c r="F637" t="s">
        <v>570</v>
      </c>
      <c r="G637" t="s">
        <v>1445</v>
      </c>
      <c r="H637">
        <v>3</v>
      </c>
      <c r="I637">
        <v>0</v>
      </c>
      <c r="J637">
        <v>0</v>
      </c>
      <c r="K637" t="b">
        <v>0</v>
      </c>
    </row>
    <row r="638" spans="1:11" x14ac:dyDescent="0.2">
      <c r="A638">
        <v>737</v>
      </c>
      <c r="B638" t="s">
        <v>1444</v>
      </c>
      <c r="C638" s="1">
        <v>42405</v>
      </c>
      <c r="D638" s="1">
        <v>42410</v>
      </c>
      <c r="E638">
        <v>4</v>
      </c>
      <c r="F638" t="s">
        <v>570</v>
      </c>
      <c r="G638" t="s">
        <v>719</v>
      </c>
      <c r="H638">
        <v>3</v>
      </c>
      <c r="I638">
        <v>0</v>
      </c>
      <c r="J638">
        <v>0</v>
      </c>
      <c r="K638" t="b">
        <v>0</v>
      </c>
    </row>
    <row r="639" spans="1:11" x14ac:dyDescent="0.2">
      <c r="A639">
        <v>738</v>
      </c>
      <c r="B639" t="s">
        <v>1444</v>
      </c>
      <c r="C639" s="1">
        <v>42405</v>
      </c>
      <c r="D639" s="1">
        <v>42410</v>
      </c>
      <c r="E639">
        <v>4</v>
      </c>
      <c r="F639" t="s">
        <v>570</v>
      </c>
      <c r="G639" t="s">
        <v>931</v>
      </c>
      <c r="H639">
        <v>4</v>
      </c>
      <c r="I639">
        <v>1</v>
      </c>
      <c r="J639">
        <v>0.2</v>
      </c>
      <c r="K639" t="b">
        <v>0</v>
      </c>
    </row>
    <row r="640" spans="1:11" x14ac:dyDescent="0.2">
      <c r="A640">
        <v>739</v>
      </c>
      <c r="B640" t="s">
        <v>1444</v>
      </c>
      <c r="C640" s="1">
        <v>42405</v>
      </c>
      <c r="D640" s="1">
        <v>42410</v>
      </c>
      <c r="E640">
        <v>4</v>
      </c>
      <c r="F640" t="s">
        <v>570</v>
      </c>
      <c r="G640" t="s">
        <v>1446</v>
      </c>
      <c r="H640">
        <v>4</v>
      </c>
      <c r="I640">
        <v>1</v>
      </c>
      <c r="J640">
        <v>0.2</v>
      </c>
      <c r="K640" t="b">
        <v>0</v>
      </c>
    </row>
    <row r="641" spans="1:11" x14ac:dyDescent="0.2">
      <c r="A641">
        <v>740</v>
      </c>
      <c r="B641" t="s">
        <v>1447</v>
      </c>
      <c r="C641" s="1">
        <v>42895</v>
      </c>
      <c r="D641" s="1">
        <v>42900</v>
      </c>
      <c r="E641">
        <v>4</v>
      </c>
      <c r="F641" t="s">
        <v>461</v>
      </c>
      <c r="G641" t="s">
        <v>1448</v>
      </c>
      <c r="H641">
        <v>4</v>
      </c>
      <c r="I641">
        <v>0</v>
      </c>
      <c r="J641">
        <v>0</v>
      </c>
      <c r="K641" t="b">
        <v>0</v>
      </c>
    </row>
    <row r="642" spans="1:11" x14ac:dyDescent="0.2">
      <c r="A642">
        <v>741</v>
      </c>
      <c r="B642" t="s">
        <v>1449</v>
      </c>
      <c r="C642" s="1">
        <v>42582</v>
      </c>
      <c r="D642" s="1">
        <v>42587</v>
      </c>
      <c r="E642">
        <v>4</v>
      </c>
      <c r="F642" t="s">
        <v>498</v>
      </c>
      <c r="G642" t="s">
        <v>1450</v>
      </c>
      <c r="H642">
        <v>7</v>
      </c>
      <c r="I642">
        <v>1</v>
      </c>
      <c r="J642">
        <v>0.2</v>
      </c>
      <c r="K642" t="b">
        <v>0</v>
      </c>
    </row>
    <row r="643" spans="1:11" x14ac:dyDescent="0.2">
      <c r="A643">
        <v>742</v>
      </c>
      <c r="B643" t="s">
        <v>1451</v>
      </c>
      <c r="C643" s="1">
        <v>43045</v>
      </c>
      <c r="D643" s="1">
        <v>43052</v>
      </c>
      <c r="E643">
        <v>4</v>
      </c>
      <c r="F643" t="s">
        <v>393</v>
      </c>
      <c r="G643" t="s">
        <v>618</v>
      </c>
      <c r="H643">
        <v>7</v>
      </c>
      <c r="I643">
        <v>0</v>
      </c>
      <c r="J643">
        <v>0</v>
      </c>
      <c r="K643" t="b">
        <v>1</v>
      </c>
    </row>
    <row r="644" spans="1:11" x14ac:dyDescent="0.2">
      <c r="A644">
        <v>743</v>
      </c>
      <c r="B644" t="s">
        <v>1451</v>
      </c>
      <c r="C644" s="1">
        <v>43045</v>
      </c>
      <c r="D644" s="1">
        <v>43052</v>
      </c>
      <c r="E644">
        <v>4</v>
      </c>
      <c r="F644" t="s">
        <v>393</v>
      </c>
      <c r="G644" t="s">
        <v>751</v>
      </c>
      <c r="H644">
        <v>2</v>
      </c>
      <c r="I644">
        <v>1</v>
      </c>
      <c r="J644">
        <v>0.2</v>
      </c>
      <c r="K644" t="b">
        <v>0</v>
      </c>
    </row>
    <row r="645" spans="1:11" x14ac:dyDescent="0.2">
      <c r="A645">
        <v>744</v>
      </c>
      <c r="B645" t="s">
        <v>1451</v>
      </c>
      <c r="C645" s="1">
        <v>43045</v>
      </c>
      <c r="D645" s="1">
        <v>43052</v>
      </c>
      <c r="E645">
        <v>4</v>
      </c>
      <c r="F645" t="s">
        <v>393</v>
      </c>
      <c r="G645" t="s">
        <v>1452</v>
      </c>
      <c r="H645">
        <v>3</v>
      </c>
      <c r="I645">
        <v>0</v>
      </c>
      <c r="J645">
        <v>0</v>
      </c>
      <c r="K645" t="b">
        <v>0</v>
      </c>
    </row>
    <row r="646" spans="1:11" hidden="1" x14ac:dyDescent="0.2">
      <c r="A646">
        <v>745</v>
      </c>
      <c r="B646" t="s">
        <v>1453</v>
      </c>
      <c r="C646" s="1">
        <v>42260</v>
      </c>
      <c r="D646" s="1">
        <v>42264</v>
      </c>
      <c r="E646">
        <v>3</v>
      </c>
      <c r="F646" t="s">
        <v>468</v>
      </c>
      <c r="G646" t="s">
        <v>1454</v>
      </c>
      <c r="H646">
        <v>1</v>
      </c>
      <c r="I646">
        <v>1</v>
      </c>
      <c r="J646">
        <v>0.2</v>
      </c>
      <c r="K646" t="b">
        <v>0</v>
      </c>
    </row>
    <row r="647" spans="1:11" hidden="1" x14ac:dyDescent="0.2">
      <c r="A647">
        <v>746</v>
      </c>
      <c r="B647" t="s">
        <v>1453</v>
      </c>
      <c r="C647" s="1">
        <v>42260</v>
      </c>
      <c r="D647" s="1">
        <v>42264</v>
      </c>
      <c r="E647">
        <v>3</v>
      </c>
      <c r="F647" t="s">
        <v>468</v>
      </c>
      <c r="G647" t="s">
        <v>925</v>
      </c>
      <c r="H647">
        <v>4</v>
      </c>
      <c r="I647">
        <v>1</v>
      </c>
      <c r="J647">
        <v>0.3</v>
      </c>
      <c r="K647" t="b">
        <v>0</v>
      </c>
    </row>
    <row r="648" spans="1:11" x14ac:dyDescent="0.2">
      <c r="A648">
        <v>747</v>
      </c>
      <c r="B648" t="s">
        <v>1455</v>
      </c>
      <c r="C648" s="1">
        <v>42849</v>
      </c>
      <c r="D648" s="1">
        <v>42855</v>
      </c>
      <c r="E648">
        <v>4</v>
      </c>
      <c r="F648" t="s">
        <v>445</v>
      </c>
      <c r="G648" t="s">
        <v>1343</v>
      </c>
      <c r="H648">
        <v>5</v>
      </c>
      <c r="I648">
        <v>1</v>
      </c>
      <c r="J648">
        <v>0.8</v>
      </c>
      <c r="K648" t="b">
        <v>0</v>
      </c>
    </row>
    <row r="649" spans="1:11" x14ac:dyDescent="0.2">
      <c r="A649">
        <v>748</v>
      </c>
      <c r="B649" t="s">
        <v>1455</v>
      </c>
      <c r="C649" s="1">
        <v>42849</v>
      </c>
      <c r="D649" s="1">
        <v>42855</v>
      </c>
      <c r="E649">
        <v>4</v>
      </c>
      <c r="F649" t="s">
        <v>445</v>
      </c>
      <c r="G649" t="s">
        <v>1456</v>
      </c>
      <c r="H649">
        <v>1</v>
      </c>
      <c r="I649">
        <v>1</v>
      </c>
      <c r="J649">
        <v>0.2</v>
      </c>
      <c r="K649" t="b">
        <v>0</v>
      </c>
    </row>
    <row r="650" spans="1:11" x14ac:dyDescent="0.2">
      <c r="A650">
        <v>749</v>
      </c>
      <c r="B650" t="s">
        <v>1457</v>
      </c>
      <c r="C650" s="1">
        <v>41688</v>
      </c>
      <c r="D650" s="1">
        <v>41694</v>
      </c>
      <c r="E650">
        <v>4</v>
      </c>
      <c r="F650" t="s">
        <v>385</v>
      </c>
      <c r="G650" t="s">
        <v>1348</v>
      </c>
      <c r="H650">
        <v>2</v>
      </c>
      <c r="I650">
        <v>1</v>
      </c>
      <c r="J650">
        <v>0.2</v>
      </c>
      <c r="K650" t="b">
        <v>0</v>
      </c>
    </row>
    <row r="651" spans="1:11" x14ac:dyDescent="0.2">
      <c r="A651">
        <v>750</v>
      </c>
      <c r="B651" t="s">
        <v>1458</v>
      </c>
      <c r="C651" s="1">
        <v>42260</v>
      </c>
      <c r="D651" s="1">
        <v>42264</v>
      </c>
      <c r="E651">
        <v>4</v>
      </c>
      <c r="F651" t="s">
        <v>517</v>
      </c>
      <c r="G651" t="s">
        <v>1459</v>
      </c>
      <c r="H651">
        <v>4</v>
      </c>
      <c r="I651">
        <v>1</v>
      </c>
      <c r="J651">
        <v>0.7</v>
      </c>
      <c r="K651" t="b">
        <v>0</v>
      </c>
    </row>
    <row r="652" spans="1:11" x14ac:dyDescent="0.2">
      <c r="A652">
        <v>751</v>
      </c>
      <c r="B652" t="s">
        <v>1460</v>
      </c>
      <c r="C652" s="1">
        <v>42003</v>
      </c>
      <c r="D652" s="1">
        <v>42008</v>
      </c>
      <c r="E652">
        <v>4</v>
      </c>
      <c r="F652" t="s">
        <v>512</v>
      </c>
      <c r="G652" t="s">
        <v>1461</v>
      </c>
      <c r="H652">
        <v>3</v>
      </c>
      <c r="I652">
        <v>0</v>
      </c>
      <c r="J652">
        <v>0</v>
      </c>
      <c r="K652" t="b">
        <v>1</v>
      </c>
    </row>
    <row r="653" spans="1:11" x14ac:dyDescent="0.2">
      <c r="A653">
        <v>752</v>
      </c>
      <c r="B653" t="s">
        <v>1460</v>
      </c>
      <c r="C653" s="1">
        <v>42003</v>
      </c>
      <c r="D653" s="1">
        <v>42008</v>
      </c>
      <c r="E653">
        <v>4</v>
      </c>
      <c r="F653" t="s">
        <v>512</v>
      </c>
      <c r="G653" t="s">
        <v>726</v>
      </c>
      <c r="H653">
        <v>7</v>
      </c>
      <c r="I653">
        <v>1</v>
      </c>
      <c r="J653">
        <v>0.2</v>
      </c>
      <c r="K653" t="b">
        <v>0</v>
      </c>
    </row>
    <row r="654" spans="1:11" hidden="1" x14ac:dyDescent="0.2">
      <c r="A654">
        <v>753</v>
      </c>
      <c r="B654" t="s">
        <v>1462</v>
      </c>
      <c r="C654" s="1">
        <v>42446</v>
      </c>
      <c r="D654" s="1">
        <v>42448</v>
      </c>
      <c r="E654">
        <v>3</v>
      </c>
      <c r="F654" t="s">
        <v>432</v>
      </c>
      <c r="G654" t="s">
        <v>1463</v>
      </c>
      <c r="H654">
        <v>2</v>
      </c>
      <c r="I654">
        <v>1</v>
      </c>
      <c r="J654">
        <v>0.2</v>
      </c>
      <c r="K654" t="b">
        <v>0</v>
      </c>
    </row>
    <row r="655" spans="1:11" x14ac:dyDescent="0.2">
      <c r="A655">
        <v>754</v>
      </c>
      <c r="B655" t="s">
        <v>1464</v>
      </c>
      <c r="C655" s="1">
        <v>42721</v>
      </c>
      <c r="D655" s="1">
        <v>42725</v>
      </c>
      <c r="E655">
        <v>4</v>
      </c>
      <c r="F655" t="s">
        <v>478</v>
      </c>
      <c r="G655" t="s">
        <v>1120</v>
      </c>
      <c r="H655">
        <v>10</v>
      </c>
      <c r="I655">
        <v>1</v>
      </c>
      <c r="J655">
        <v>0.2</v>
      </c>
      <c r="K655" t="b">
        <v>0</v>
      </c>
    </row>
    <row r="656" spans="1:11" x14ac:dyDescent="0.2">
      <c r="A656">
        <v>755</v>
      </c>
      <c r="B656" t="s">
        <v>1464</v>
      </c>
      <c r="C656" s="1">
        <v>42721</v>
      </c>
      <c r="D656" s="1">
        <v>42725</v>
      </c>
      <c r="E656">
        <v>4</v>
      </c>
      <c r="F656" t="s">
        <v>478</v>
      </c>
      <c r="G656" t="s">
        <v>1465</v>
      </c>
      <c r="H656">
        <v>3</v>
      </c>
      <c r="I656">
        <v>1</v>
      </c>
      <c r="J656">
        <v>0.2</v>
      </c>
      <c r="K656" t="b">
        <v>0</v>
      </c>
    </row>
    <row r="657" spans="1:11" x14ac:dyDescent="0.2">
      <c r="A657">
        <v>756</v>
      </c>
      <c r="B657" t="s">
        <v>1466</v>
      </c>
      <c r="C657" s="1">
        <v>42267</v>
      </c>
      <c r="D657" s="1">
        <v>42273</v>
      </c>
      <c r="E657">
        <v>4</v>
      </c>
      <c r="F657" t="s">
        <v>517</v>
      </c>
      <c r="G657" t="s">
        <v>1467</v>
      </c>
      <c r="H657">
        <v>11</v>
      </c>
      <c r="I657">
        <v>1</v>
      </c>
      <c r="J657">
        <v>0.2</v>
      </c>
      <c r="K657" t="b">
        <v>0</v>
      </c>
    </row>
    <row r="658" spans="1:11" x14ac:dyDescent="0.2">
      <c r="A658">
        <v>757</v>
      </c>
      <c r="B658" t="s">
        <v>1468</v>
      </c>
      <c r="C658" s="1">
        <v>41757</v>
      </c>
      <c r="D658" s="1">
        <v>41759</v>
      </c>
      <c r="E658">
        <v>4</v>
      </c>
      <c r="F658" t="s">
        <v>501</v>
      </c>
      <c r="G658" t="s">
        <v>1469</v>
      </c>
      <c r="H658">
        <v>5</v>
      </c>
      <c r="I658">
        <v>1</v>
      </c>
      <c r="J658">
        <v>0.2</v>
      </c>
      <c r="K658" t="b">
        <v>0</v>
      </c>
    </row>
    <row r="659" spans="1:11" hidden="1" x14ac:dyDescent="0.2">
      <c r="A659">
        <v>758</v>
      </c>
      <c r="B659" t="s">
        <v>1470</v>
      </c>
      <c r="C659" s="1">
        <v>41881</v>
      </c>
      <c r="D659" s="1">
        <v>41886</v>
      </c>
      <c r="E659">
        <v>1</v>
      </c>
      <c r="F659" t="s">
        <v>560</v>
      </c>
      <c r="G659" t="s">
        <v>1471</v>
      </c>
      <c r="H659">
        <v>5</v>
      </c>
      <c r="I659">
        <v>0</v>
      </c>
      <c r="J659">
        <v>0</v>
      </c>
      <c r="K659" t="b">
        <v>0</v>
      </c>
    </row>
    <row r="660" spans="1:11" hidden="1" x14ac:dyDescent="0.2">
      <c r="A660">
        <v>759</v>
      </c>
      <c r="B660" t="s">
        <v>1470</v>
      </c>
      <c r="C660" s="1">
        <v>41881</v>
      </c>
      <c r="D660" s="1">
        <v>41886</v>
      </c>
      <c r="E660">
        <v>1</v>
      </c>
      <c r="F660" t="s">
        <v>560</v>
      </c>
      <c r="G660" t="s">
        <v>801</v>
      </c>
      <c r="H660">
        <v>3</v>
      </c>
      <c r="I660">
        <v>0</v>
      </c>
      <c r="J660">
        <v>0</v>
      </c>
      <c r="K660" t="b">
        <v>0</v>
      </c>
    </row>
    <row r="661" spans="1:11" x14ac:dyDescent="0.2">
      <c r="A661">
        <v>760</v>
      </c>
      <c r="B661" t="s">
        <v>1472</v>
      </c>
      <c r="C661" s="1">
        <v>42134</v>
      </c>
      <c r="D661" s="1">
        <v>42139</v>
      </c>
      <c r="E661">
        <v>4</v>
      </c>
      <c r="F661" t="s">
        <v>574</v>
      </c>
      <c r="G661" t="s">
        <v>1241</v>
      </c>
      <c r="H661">
        <v>4</v>
      </c>
      <c r="I661">
        <v>1</v>
      </c>
      <c r="J661">
        <v>0.2</v>
      </c>
      <c r="K661" t="b">
        <v>0</v>
      </c>
    </row>
    <row r="662" spans="1:11" x14ac:dyDescent="0.2">
      <c r="A662">
        <v>761</v>
      </c>
      <c r="B662" t="s">
        <v>1473</v>
      </c>
      <c r="C662" s="1">
        <v>42685</v>
      </c>
      <c r="D662" s="1">
        <v>42691</v>
      </c>
      <c r="E662">
        <v>4</v>
      </c>
      <c r="F662" t="s">
        <v>552</v>
      </c>
      <c r="G662" t="s">
        <v>1474</v>
      </c>
      <c r="H662">
        <v>6</v>
      </c>
      <c r="I662">
        <v>0</v>
      </c>
      <c r="J662">
        <v>0</v>
      </c>
      <c r="K662" t="b">
        <v>0</v>
      </c>
    </row>
    <row r="663" spans="1:11" hidden="1" x14ac:dyDescent="0.2">
      <c r="A663">
        <v>762</v>
      </c>
      <c r="B663" t="s">
        <v>1475</v>
      </c>
      <c r="C663" s="1">
        <v>42923</v>
      </c>
      <c r="D663" s="1">
        <v>42927</v>
      </c>
      <c r="E663">
        <v>3</v>
      </c>
      <c r="F663" t="s">
        <v>559</v>
      </c>
      <c r="G663" t="s">
        <v>1476</v>
      </c>
      <c r="H663">
        <v>3</v>
      </c>
      <c r="I663">
        <v>0</v>
      </c>
      <c r="J663">
        <v>0</v>
      </c>
      <c r="K663" t="b">
        <v>0</v>
      </c>
    </row>
    <row r="664" spans="1:11" hidden="1" x14ac:dyDescent="0.2">
      <c r="A664">
        <v>763</v>
      </c>
      <c r="B664" t="s">
        <v>1477</v>
      </c>
      <c r="C664" s="1">
        <v>42706</v>
      </c>
      <c r="D664" s="1">
        <v>42712</v>
      </c>
      <c r="E664">
        <v>3</v>
      </c>
      <c r="F664" t="s">
        <v>546</v>
      </c>
      <c r="G664" t="s">
        <v>1465</v>
      </c>
      <c r="H664">
        <v>3</v>
      </c>
      <c r="I664">
        <v>1</v>
      </c>
      <c r="J664">
        <v>0.2</v>
      </c>
      <c r="K664" t="b">
        <v>0</v>
      </c>
    </row>
    <row r="665" spans="1:11" hidden="1" x14ac:dyDescent="0.2">
      <c r="A665">
        <v>764</v>
      </c>
      <c r="B665" t="s">
        <v>1478</v>
      </c>
      <c r="C665" s="1">
        <v>41703</v>
      </c>
      <c r="D665" s="1">
        <v>41706</v>
      </c>
      <c r="E665">
        <v>3</v>
      </c>
      <c r="F665" t="s">
        <v>409</v>
      </c>
      <c r="G665" t="s">
        <v>1479</v>
      </c>
      <c r="H665">
        <v>3</v>
      </c>
      <c r="I665">
        <v>0</v>
      </c>
      <c r="J665">
        <v>0</v>
      </c>
      <c r="K665" t="b">
        <v>0</v>
      </c>
    </row>
    <row r="666" spans="1:11" hidden="1" x14ac:dyDescent="0.2">
      <c r="A666">
        <v>765</v>
      </c>
      <c r="B666" t="s">
        <v>1478</v>
      </c>
      <c r="C666" s="1">
        <v>41703</v>
      </c>
      <c r="D666" s="1">
        <v>41706</v>
      </c>
      <c r="E666">
        <v>3</v>
      </c>
      <c r="F666" t="s">
        <v>409</v>
      </c>
      <c r="G666" t="s">
        <v>1480</v>
      </c>
      <c r="H666">
        <v>3</v>
      </c>
      <c r="I666">
        <v>0</v>
      </c>
      <c r="J666">
        <v>0</v>
      </c>
      <c r="K666" t="b">
        <v>0</v>
      </c>
    </row>
    <row r="667" spans="1:11" hidden="1" x14ac:dyDescent="0.2">
      <c r="A667">
        <v>766</v>
      </c>
      <c r="B667" t="s">
        <v>1478</v>
      </c>
      <c r="C667" s="1">
        <v>41703</v>
      </c>
      <c r="D667" s="1">
        <v>41706</v>
      </c>
      <c r="E667">
        <v>3</v>
      </c>
      <c r="F667" t="s">
        <v>409</v>
      </c>
      <c r="G667" t="s">
        <v>730</v>
      </c>
      <c r="H667">
        <v>2</v>
      </c>
      <c r="I667">
        <v>0</v>
      </c>
      <c r="J667">
        <v>0</v>
      </c>
      <c r="K667" t="b">
        <v>0</v>
      </c>
    </row>
    <row r="668" spans="1:11" hidden="1" x14ac:dyDescent="0.2">
      <c r="A668">
        <v>767</v>
      </c>
      <c r="B668" t="s">
        <v>1478</v>
      </c>
      <c r="C668" s="1">
        <v>41703</v>
      </c>
      <c r="D668" s="1">
        <v>41706</v>
      </c>
      <c r="E668">
        <v>3</v>
      </c>
      <c r="F668" t="s">
        <v>409</v>
      </c>
      <c r="G668" t="s">
        <v>968</v>
      </c>
      <c r="H668">
        <v>6</v>
      </c>
      <c r="I668">
        <v>1</v>
      </c>
      <c r="J668">
        <v>0.2</v>
      </c>
      <c r="K668" t="b">
        <v>0</v>
      </c>
    </row>
    <row r="669" spans="1:11" hidden="1" x14ac:dyDescent="0.2">
      <c r="A669">
        <v>768</v>
      </c>
      <c r="B669" t="s">
        <v>1478</v>
      </c>
      <c r="C669" s="1">
        <v>41703</v>
      </c>
      <c r="D669" s="1">
        <v>41706</v>
      </c>
      <c r="E669">
        <v>3</v>
      </c>
      <c r="F669" t="s">
        <v>409</v>
      </c>
      <c r="G669" t="s">
        <v>1098</v>
      </c>
      <c r="H669">
        <v>2</v>
      </c>
      <c r="I669">
        <v>0</v>
      </c>
      <c r="J669">
        <v>0</v>
      </c>
      <c r="K669" t="b">
        <v>0</v>
      </c>
    </row>
    <row r="670" spans="1:11" x14ac:dyDescent="0.2">
      <c r="A670">
        <v>769</v>
      </c>
      <c r="B670" t="s">
        <v>1481</v>
      </c>
      <c r="C670" s="1">
        <v>42254</v>
      </c>
      <c r="D670" s="1">
        <v>42259</v>
      </c>
      <c r="E670">
        <v>4</v>
      </c>
      <c r="F670" t="s">
        <v>572</v>
      </c>
      <c r="G670" t="s">
        <v>1482</v>
      </c>
      <c r="H670">
        <v>3</v>
      </c>
      <c r="I670">
        <v>0</v>
      </c>
      <c r="J670">
        <v>0</v>
      </c>
      <c r="K670" t="b">
        <v>0</v>
      </c>
    </row>
    <row r="671" spans="1:11" x14ac:dyDescent="0.2">
      <c r="A671">
        <v>770</v>
      </c>
      <c r="B671" t="s">
        <v>1481</v>
      </c>
      <c r="C671" s="1">
        <v>42254</v>
      </c>
      <c r="D671" s="1">
        <v>42259</v>
      </c>
      <c r="E671">
        <v>4</v>
      </c>
      <c r="F671" t="s">
        <v>572</v>
      </c>
      <c r="G671" t="s">
        <v>1483</v>
      </c>
      <c r="H671">
        <v>5</v>
      </c>
      <c r="I671">
        <v>0</v>
      </c>
      <c r="J671">
        <v>0</v>
      </c>
      <c r="K671" t="b">
        <v>0</v>
      </c>
    </row>
    <row r="672" spans="1:11" x14ac:dyDescent="0.2">
      <c r="A672">
        <v>771</v>
      </c>
      <c r="B672" t="s">
        <v>1481</v>
      </c>
      <c r="C672" s="1">
        <v>42254</v>
      </c>
      <c r="D672" s="1">
        <v>42259</v>
      </c>
      <c r="E672">
        <v>4</v>
      </c>
      <c r="F672" t="s">
        <v>572</v>
      </c>
      <c r="G672" t="s">
        <v>1484</v>
      </c>
      <c r="H672">
        <v>2</v>
      </c>
      <c r="I672">
        <v>1</v>
      </c>
      <c r="J672">
        <v>0.2</v>
      </c>
      <c r="K672" t="b">
        <v>0</v>
      </c>
    </row>
    <row r="673" spans="1:11" x14ac:dyDescent="0.2">
      <c r="A673">
        <v>772</v>
      </c>
      <c r="B673" t="s">
        <v>1481</v>
      </c>
      <c r="C673" s="1">
        <v>42254</v>
      </c>
      <c r="D673" s="1">
        <v>42259</v>
      </c>
      <c r="E673">
        <v>4</v>
      </c>
      <c r="F673" t="s">
        <v>572</v>
      </c>
      <c r="G673" t="s">
        <v>1485</v>
      </c>
      <c r="H673">
        <v>2</v>
      </c>
      <c r="I673">
        <v>1</v>
      </c>
      <c r="J673">
        <v>0.4</v>
      </c>
      <c r="K673" t="b">
        <v>0</v>
      </c>
    </row>
    <row r="674" spans="1:11" x14ac:dyDescent="0.2">
      <c r="A674">
        <v>773</v>
      </c>
      <c r="B674" t="s">
        <v>1481</v>
      </c>
      <c r="C674" s="1">
        <v>42254</v>
      </c>
      <c r="D674" s="1">
        <v>42259</v>
      </c>
      <c r="E674">
        <v>4</v>
      </c>
      <c r="F674" t="s">
        <v>572</v>
      </c>
      <c r="G674" t="s">
        <v>1486</v>
      </c>
      <c r="H674">
        <v>4</v>
      </c>
      <c r="I674">
        <v>0</v>
      </c>
      <c r="J674">
        <v>0</v>
      </c>
      <c r="K674" t="b">
        <v>0</v>
      </c>
    </row>
    <row r="675" spans="1:11" hidden="1" x14ac:dyDescent="0.2">
      <c r="A675">
        <v>774</v>
      </c>
      <c r="B675" t="s">
        <v>1487</v>
      </c>
      <c r="C675" s="1">
        <v>42824</v>
      </c>
      <c r="D675" s="1">
        <v>42826</v>
      </c>
      <c r="E675">
        <v>3</v>
      </c>
      <c r="F675" t="s">
        <v>574</v>
      </c>
      <c r="G675" t="s">
        <v>1488</v>
      </c>
      <c r="H675">
        <v>5</v>
      </c>
      <c r="I675">
        <v>0</v>
      </c>
      <c r="J675">
        <v>0</v>
      </c>
      <c r="K675" t="b">
        <v>0</v>
      </c>
    </row>
    <row r="676" spans="1:11" x14ac:dyDescent="0.2">
      <c r="A676">
        <v>775</v>
      </c>
      <c r="B676" t="s">
        <v>1489</v>
      </c>
      <c r="C676" s="1">
        <v>42358</v>
      </c>
      <c r="D676" s="1">
        <v>42363</v>
      </c>
      <c r="E676">
        <v>4</v>
      </c>
      <c r="F676" t="s">
        <v>501</v>
      </c>
      <c r="G676" t="s">
        <v>1490</v>
      </c>
      <c r="H676">
        <v>4</v>
      </c>
      <c r="I676">
        <v>0</v>
      </c>
      <c r="J676">
        <v>0</v>
      </c>
      <c r="K676" t="b">
        <v>0</v>
      </c>
    </row>
    <row r="677" spans="1:11" hidden="1" x14ac:dyDescent="0.2">
      <c r="A677">
        <v>776</v>
      </c>
      <c r="B677" t="s">
        <v>1491</v>
      </c>
      <c r="C677" s="1">
        <v>42547</v>
      </c>
      <c r="D677" s="1">
        <v>42547</v>
      </c>
      <c r="E677">
        <v>2</v>
      </c>
      <c r="F677" t="s">
        <v>475</v>
      </c>
      <c r="G677" t="s">
        <v>1327</v>
      </c>
      <c r="H677">
        <v>2</v>
      </c>
      <c r="I677">
        <v>0</v>
      </c>
      <c r="J677">
        <v>0</v>
      </c>
      <c r="K677" t="b">
        <v>0</v>
      </c>
    </row>
    <row r="678" spans="1:11" hidden="1" x14ac:dyDescent="0.2">
      <c r="A678">
        <v>777</v>
      </c>
      <c r="B678" t="s">
        <v>1491</v>
      </c>
      <c r="C678" s="1">
        <v>42547</v>
      </c>
      <c r="D678" s="1">
        <v>42547</v>
      </c>
      <c r="E678">
        <v>2</v>
      </c>
      <c r="F678" t="s">
        <v>475</v>
      </c>
      <c r="G678" t="s">
        <v>1492</v>
      </c>
      <c r="H678">
        <v>5</v>
      </c>
      <c r="I678">
        <v>0</v>
      </c>
      <c r="J678">
        <v>0</v>
      </c>
      <c r="K678" t="b">
        <v>0</v>
      </c>
    </row>
    <row r="679" spans="1:11" hidden="1" x14ac:dyDescent="0.2">
      <c r="A679">
        <v>778</v>
      </c>
      <c r="B679" t="s">
        <v>1491</v>
      </c>
      <c r="C679" s="1">
        <v>42547</v>
      </c>
      <c r="D679" s="1">
        <v>42547</v>
      </c>
      <c r="E679">
        <v>2</v>
      </c>
      <c r="F679" t="s">
        <v>475</v>
      </c>
      <c r="G679" t="s">
        <v>1493</v>
      </c>
      <c r="H679">
        <v>2</v>
      </c>
      <c r="I679">
        <v>0</v>
      </c>
      <c r="J679">
        <v>0</v>
      </c>
      <c r="K679" t="b">
        <v>0</v>
      </c>
    </row>
    <row r="680" spans="1:11" hidden="1" x14ac:dyDescent="0.2">
      <c r="A680">
        <v>779</v>
      </c>
      <c r="B680" t="s">
        <v>1494</v>
      </c>
      <c r="C680" s="1">
        <v>41999</v>
      </c>
      <c r="D680" s="1">
        <v>42003</v>
      </c>
      <c r="E680">
        <v>2</v>
      </c>
      <c r="F680" t="s">
        <v>567</v>
      </c>
      <c r="G680" t="s">
        <v>1495</v>
      </c>
      <c r="H680">
        <v>3</v>
      </c>
      <c r="I680">
        <v>1</v>
      </c>
      <c r="J680">
        <v>0.2</v>
      </c>
      <c r="K680" t="b">
        <v>0</v>
      </c>
    </row>
    <row r="681" spans="1:11" hidden="1" x14ac:dyDescent="0.2">
      <c r="A681">
        <v>780</v>
      </c>
      <c r="B681" t="s">
        <v>1496</v>
      </c>
      <c r="C681" s="1">
        <v>42533</v>
      </c>
      <c r="D681" s="1">
        <v>42537</v>
      </c>
      <c r="E681">
        <v>3</v>
      </c>
      <c r="F681" t="s">
        <v>565</v>
      </c>
      <c r="G681" t="s">
        <v>1497</v>
      </c>
      <c r="H681">
        <v>4</v>
      </c>
      <c r="I681">
        <v>1</v>
      </c>
      <c r="J681">
        <v>0.8</v>
      </c>
      <c r="K681" t="b">
        <v>0</v>
      </c>
    </row>
    <row r="682" spans="1:11" hidden="1" x14ac:dyDescent="0.2">
      <c r="A682">
        <v>781</v>
      </c>
      <c r="B682" t="s">
        <v>1496</v>
      </c>
      <c r="C682" s="1">
        <v>42533</v>
      </c>
      <c r="D682" s="1">
        <v>42537</v>
      </c>
      <c r="E682">
        <v>3</v>
      </c>
      <c r="F682" t="s">
        <v>565</v>
      </c>
      <c r="G682" t="s">
        <v>1498</v>
      </c>
      <c r="H682">
        <v>2</v>
      </c>
      <c r="I682">
        <v>1</v>
      </c>
      <c r="J682">
        <v>0.6</v>
      </c>
      <c r="K682" t="b">
        <v>1</v>
      </c>
    </row>
    <row r="683" spans="1:11" hidden="1" x14ac:dyDescent="0.2">
      <c r="A683">
        <v>782</v>
      </c>
      <c r="B683" t="s">
        <v>1496</v>
      </c>
      <c r="C683" s="1">
        <v>42533</v>
      </c>
      <c r="D683" s="1">
        <v>42537</v>
      </c>
      <c r="E683">
        <v>3</v>
      </c>
      <c r="F683" t="s">
        <v>565</v>
      </c>
      <c r="G683" t="s">
        <v>1259</v>
      </c>
      <c r="H683">
        <v>8</v>
      </c>
      <c r="I683">
        <v>1</v>
      </c>
      <c r="J683">
        <v>0.2</v>
      </c>
      <c r="K683" t="b">
        <v>0</v>
      </c>
    </row>
    <row r="684" spans="1:11" hidden="1" x14ac:dyDescent="0.2">
      <c r="A684">
        <v>783</v>
      </c>
      <c r="B684" t="s">
        <v>1496</v>
      </c>
      <c r="C684" s="1">
        <v>42533</v>
      </c>
      <c r="D684" s="1">
        <v>42537</v>
      </c>
      <c r="E684">
        <v>3</v>
      </c>
      <c r="F684" t="s">
        <v>565</v>
      </c>
      <c r="G684" t="s">
        <v>1499</v>
      </c>
      <c r="H684">
        <v>3</v>
      </c>
      <c r="I684">
        <v>1</v>
      </c>
      <c r="J684">
        <v>0.2</v>
      </c>
      <c r="K684" t="b">
        <v>0</v>
      </c>
    </row>
    <row r="685" spans="1:11" hidden="1" x14ac:dyDescent="0.2">
      <c r="A685">
        <v>784</v>
      </c>
      <c r="B685" t="s">
        <v>1496</v>
      </c>
      <c r="C685" s="1">
        <v>42533</v>
      </c>
      <c r="D685" s="1">
        <v>42537</v>
      </c>
      <c r="E685">
        <v>3</v>
      </c>
      <c r="F685" t="s">
        <v>565</v>
      </c>
      <c r="G685" t="s">
        <v>1500</v>
      </c>
      <c r="H685">
        <v>2</v>
      </c>
      <c r="I685">
        <v>1</v>
      </c>
      <c r="J685">
        <v>0.3</v>
      </c>
      <c r="K685" t="b">
        <v>0</v>
      </c>
    </row>
    <row r="686" spans="1:11" hidden="1" x14ac:dyDescent="0.2">
      <c r="A686">
        <v>785</v>
      </c>
      <c r="B686" t="s">
        <v>1496</v>
      </c>
      <c r="C686" s="1">
        <v>42533</v>
      </c>
      <c r="D686" s="1">
        <v>42537</v>
      </c>
      <c r="E686">
        <v>3</v>
      </c>
      <c r="F686" t="s">
        <v>565</v>
      </c>
      <c r="G686" t="s">
        <v>1501</v>
      </c>
      <c r="H686">
        <v>9</v>
      </c>
      <c r="I686">
        <v>1</v>
      </c>
      <c r="J686">
        <v>0.2</v>
      </c>
      <c r="K686" t="b">
        <v>0</v>
      </c>
    </row>
    <row r="687" spans="1:11" hidden="1" x14ac:dyDescent="0.2">
      <c r="A687">
        <v>786</v>
      </c>
      <c r="B687" t="s">
        <v>1496</v>
      </c>
      <c r="C687" s="1">
        <v>42533</v>
      </c>
      <c r="D687" s="1">
        <v>42537</v>
      </c>
      <c r="E687">
        <v>3</v>
      </c>
      <c r="F687" t="s">
        <v>565</v>
      </c>
      <c r="G687" t="s">
        <v>900</v>
      </c>
      <c r="H687">
        <v>2</v>
      </c>
      <c r="I687">
        <v>1</v>
      </c>
      <c r="J687">
        <v>0.8</v>
      </c>
      <c r="K687" t="b">
        <v>0</v>
      </c>
    </row>
    <row r="688" spans="1:11" hidden="1" x14ac:dyDescent="0.2">
      <c r="A688">
        <v>787</v>
      </c>
      <c r="B688" t="s">
        <v>1502</v>
      </c>
      <c r="C688" s="1">
        <v>42317</v>
      </c>
      <c r="D688" s="1">
        <v>42317</v>
      </c>
      <c r="E688">
        <v>1</v>
      </c>
      <c r="F688" t="s">
        <v>464</v>
      </c>
      <c r="G688" t="s">
        <v>1503</v>
      </c>
      <c r="H688">
        <v>3</v>
      </c>
      <c r="I688">
        <v>0</v>
      </c>
      <c r="J688">
        <v>0</v>
      </c>
      <c r="K688" t="b">
        <v>0</v>
      </c>
    </row>
    <row r="689" spans="1:11" x14ac:dyDescent="0.2">
      <c r="A689">
        <v>788</v>
      </c>
      <c r="B689" t="s">
        <v>1504</v>
      </c>
      <c r="C689" s="1">
        <v>42811</v>
      </c>
      <c r="D689" s="1">
        <v>42817</v>
      </c>
      <c r="E689">
        <v>4</v>
      </c>
      <c r="F689" t="s">
        <v>555</v>
      </c>
      <c r="G689" t="s">
        <v>810</v>
      </c>
      <c r="H689">
        <v>2</v>
      </c>
      <c r="I689">
        <v>1</v>
      </c>
      <c r="J689">
        <v>0.2</v>
      </c>
      <c r="K689" t="b">
        <v>0</v>
      </c>
    </row>
    <row r="690" spans="1:11" x14ac:dyDescent="0.2">
      <c r="A690">
        <v>789</v>
      </c>
      <c r="B690" t="s">
        <v>1505</v>
      </c>
      <c r="C690" s="1">
        <v>42253</v>
      </c>
      <c r="D690" s="1">
        <v>42259</v>
      </c>
      <c r="E690">
        <v>4</v>
      </c>
      <c r="F690" t="s">
        <v>572</v>
      </c>
      <c r="G690" t="s">
        <v>997</v>
      </c>
      <c r="H690">
        <v>9</v>
      </c>
      <c r="I690">
        <v>0</v>
      </c>
      <c r="J690">
        <v>0</v>
      </c>
      <c r="K690" t="b">
        <v>0</v>
      </c>
    </row>
    <row r="691" spans="1:11" hidden="1" x14ac:dyDescent="0.2">
      <c r="A691">
        <v>790</v>
      </c>
      <c r="B691" t="s">
        <v>1506</v>
      </c>
      <c r="C691" s="1">
        <v>42684</v>
      </c>
      <c r="D691" s="1">
        <v>42686</v>
      </c>
      <c r="E691">
        <v>2</v>
      </c>
      <c r="F691" t="s">
        <v>386</v>
      </c>
      <c r="G691" t="s">
        <v>1507</v>
      </c>
      <c r="H691">
        <v>2</v>
      </c>
      <c r="I691">
        <v>0</v>
      </c>
      <c r="J691">
        <v>0</v>
      </c>
      <c r="K691" t="b">
        <v>0</v>
      </c>
    </row>
    <row r="692" spans="1:11" hidden="1" x14ac:dyDescent="0.2">
      <c r="A692">
        <v>791</v>
      </c>
      <c r="B692" t="s">
        <v>1506</v>
      </c>
      <c r="C692" s="1">
        <v>42684</v>
      </c>
      <c r="D692" s="1">
        <v>42686</v>
      </c>
      <c r="E692">
        <v>2</v>
      </c>
      <c r="F692" t="s">
        <v>386</v>
      </c>
      <c r="G692" t="s">
        <v>1508</v>
      </c>
      <c r="H692">
        <v>2</v>
      </c>
      <c r="I692">
        <v>0</v>
      </c>
      <c r="J692">
        <v>0</v>
      </c>
      <c r="K692" t="b">
        <v>0</v>
      </c>
    </row>
    <row r="693" spans="1:11" hidden="1" x14ac:dyDescent="0.2">
      <c r="A693">
        <v>792</v>
      </c>
      <c r="B693" t="s">
        <v>1509</v>
      </c>
      <c r="C693" s="1">
        <v>42004</v>
      </c>
      <c r="D693" s="1">
        <v>42005</v>
      </c>
      <c r="E693">
        <v>2</v>
      </c>
      <c r="F693" t="s">
        <v>473</v>
      </c>
      <c r="G693" t="s">
        <v>1510</v>
      </c>
      <c r="H693">
        <v>3</v>
      </c>
      <c r="I693">
        <v>0</v>
      </c>
      <c r="J693">
        <v>0</v>
      </c>
      <c r="K693" t="b">
        <v>1</v>
      </c>
    </row>
    <row r="694" spans="1:11" hidden="1" x14ac:dyDescent="0.2">
      <c r="A694">
        <v>793</v>
      </c>
      <c r="B694" t="s">
        <v>1509</v>
      </c>
      <c r="C694" s="1">
        <v>42004</v>
      </c>
      <c r="D694" s="1">
        <v>42005</v>
      </c>
      <c r="E694">
        <v>2</v>
      </c>
      <c r="F694" t="s">
        <v>473</v>
      </c>
      <c r="G694" t="s">
        <v>1511</v>
      </c>
      <c r="H694">
        <v>3</v>
      </c>
      <c r="I694">
        <v>0</v>
      </c>
      <c r="J694">
        <v>0</v>
      </c>
      <c r="K694" t="b">
        <v>0</v>
      </c>
    </row>
    <row r="695" spans="1:11" hidden="1" x14ac:dyDescent="0.2">
      <c r="A695">
        <v>794</v>
      </c>
      <c r="B695" t="s">
        <v>1512</v>
      </c>
      <c r="C695" s="1">
        <v>42357</v>
      </c>
      <c r="D695" s="1">
        <v>42360</v>
      </c>
      <c r="E695">
        <v>2</v>
      </c>
      <c r="F695" t="s">
        <v>468</v>
      </c>
      <c r="G695" t="s">
        <v>810</v>
      </c>
      <c r="H695">
        <v>3</v>
      </c>
      <c r="I695">
        <v>1</v>
      </c>
      <c r="J695">
        <v>0.2</v>
      </c>
      <c r="K695" t="b">
        <v>0</v>
      </c>
    </row>
    <row r="696" spans="1:11" hidden="1" x14ac:dyDescent="0.2">
      <c r="A696">
        <v>795</v>
      </c>
      <c r="B696" t="s">
        <v>1513</v>
      </c>
      <c r="C696" s="1">
        <v>42086</v>
      </c>
      <c r="D696" s="1">
        <v>42088</v>
      </c>
      <c r="E696">
        <v>1</v>
      </c>
      <c r="F696" t="s">
        <v>514</v>
      </c>
      <c r="G696" t="s">
        <v>1514</v>
      </c>
      <c r="H696">
        <v>11</v>
      </c>
      <c r="I696">
        <v>0</v>
      </c>
      <c r="J696">
        <v>0</v>
      </c>
      <c r="K696" t="b">
        <v>0</v>
      </c>
    </row>
    <row r="697" spans="1:11" hidden="1" x14ac:dyDescent="0.2">
      <c r="A697">
        <v>796</v>
      </c>
      <c r="B697" t="s">
        <v>1513</v>
      </c>
      <c r="C697" s="1">
        <v>42086</v>
      </c>
      <c r="D697" s="1">
        <v>42088</v>
      </c>
      <c r="E697">
        <v>1</v>
      </c>
      <c r="F697" t="s">
        <v>514</v>
      </c>
      <c r="G697" t="s">
        <v>1134</v>
      </c>
      <c r="H697">
        <v>3</v>
      </c>
      <c r="I697">
        <v>0</v>
      </c>
      <c r="J697">
        <v>0</v>
      </c>
      <c r="K697" t="b">
        <v>0</v>
      </c>
    </row>
    <row r="698" spans="1:11" x14ac:dyDescent="0.2">
      <c r="A698">
        <v>797</v>
      </c>
      <c r="B698" t="s">
        <v>1515</v>
      </c>
      <c r="C698" s="1">
        <v>42551</v>
      </c>
      <c r="D698" s="1">
        <v>42554</v>
      </c>
      <c r="E698">
        <v>4</v>
      </c>
      <c r="F698" t="s">
        <v>483</v>
      </c>
      <c r="G698" t="s">
        <v>766</v>
      </c>
      <c r="H698">
        <v>7</v>
      </c>
      <c r="I698">
        <v>1</v>
      </c>
      <c r="J698">
        <v>0.2</v>
      </c>
      <c r="K698" t="b">
        <v>1</v>
      </c>
    </row>
    <row r="699" spans="1:11" hidden="1" x14ac:dyDescent="0.2">
      <c r="A699">
        <v>798</v>
      </c>
      <c r="B699" t="s">
        <v>1516</v>
      </c>
      <c r="C699" s="1">
        <v>42722</v>
      </c>
      <c r="D699" s="1">
        <v>42724</v>
      </c>
      <c r="E699">
        <v>2</v>
      </c>
      <c r="F699" t="s">
        <v>567</v>
      </c>
      <c r="G699" t="s">
        <v>688</v>
      </c>
      <c r="H699">
        <v>7</v>
      </c>
      <c r="I699">
        <v>1</v>
      </c>
      <c r="J699">
        <v>0.2</v>
      </c>
      <c r="K699" t="b">
        <v>0</v>
      </c>
    </row>
    <row r="700" spans="1:11" x14ac:dyDescent="0.2">
      <c r="A700">
        <v>799</v>
      </c>
      <c r="B700" t="s">
        <v>1517</v>
      </c>
      <c r="C700" s="1">
        <v>41731</v>
      </c>
      <c r="D700" s="1">
        <v>41737</v>
      </c>
      <c r="E700">
        <v>4</v>
      </c>
      <c r="F700" t="s">
        <v>494</v>
      </c>
      <c r="G700" t="s">
        <v>1518</v>
      </c>
      <c r="H700">
        <v>2</v>
      </c>
      <c r="I700">
        <v>0</v>
      </c>
      <c r="J700">
        <v>0</v>
      </c>
      <c r="K700" t="b">
        <v>0</v>
      </c>
    </row>
    <row r="701" spans="1:11" x14ac:dyDescent="0.2">
      <c r="A701">
        <v>800</v>
      </c>
      <c r="B701" t="s">
        <v>1519</v>
      </c>
      <c r="C701" s="1">
        <v>42647</v>
      </c>
      <c r="D701" s="1">
        <v>42651</v>
      </c>
      <c r="E701">
        <v>4</v>
      </c>
      <c r="F701" t="s">
        <v>494</v>
      </c>
      <c r="G701" t="s">
        <v>1520</v>
      </c>
      <c r="H701">
        <v>3</v>
      </c>
      <c r="I701">
        <v>1</v>
      </c>
      <c r="J701">
        <v>0.2</v>
      </c>
      <c r="K701" t="b">
        <v>0</v>
      </c>
    </row>
    <row r="702" spans="1:11" x14ac:dyDescent="0.2">
      <c r="A702">
        <v>801</v>
      </c>
      <c r="B702" t="s">
        <v>1519</v>
      </c>
      <c r="C702" s="1">
        <v>42647</v>
      </c>
      <c r="D702" s="1">
        <v>42651</v>
      </c>
      <c r="E702">
        <v>4</v>
      </c>
      <c r="F702" t="s">
        <v>494</v>
      </c>
      <c r="G702" t="s">
        <v>1076</v>
      </c>
      <c r="H702">
        <v>3</v>
      </c>
      <c r="I702">
        <v>1</v>
      </c>
      <c r="J702">
        <v>0.2</v>
      </c>
      <c r="K702" t="b">
        <v>0</v>
      </c>
    </row>
    <row r="703" spans="1:11" hidden="1" x14ac:dyDescent="0.2">
      <c r="A703">
        <v>802</v>
      </c>
      <c r="B703" t="s">
        <v>1521</v>
      </c>
      <c r="C703" s="1">
        <v>41997</v>
      </c>
      <c r="D703" s="1">
        <v>41999</v>
      </c>
      <c r="E703">
        <v>2</v>
      </c>
      <c r="F703" t="s">
        <v>540</v>
      </c>
      <c r="G703" t="s">
        <v>1522</v>
      </c>
      <c r="H703">
        <v>1</v>
      </c>
      <c r="I703">
        <v>0</v>
      </c>
      <c r="J703">
        <v>0</v>
      </c>
      <c r="K703" t="b">
        <v>0</v>
      </c>
    </row>
    <row r="704" spans="1:11" x14ac:dyDescent="0.2">
      <c r="A704">
        <v>803</v>
      </c>
      <c r="B704" t="s">
        <v>1523</v>
      </c>
      <c r="C704" s="1">
        <v>42721</v>
      </c>
      <c r="D704" s="1">
        <v>42725</v>
      </c>
      <c r="E704">
        <v>4</v>
      </c>
      <c r="F704" t="s">
        <v>402</v>
      </c>
      <c r="G704" t="s">
        <v>1524</v>
      </c>
      <c r="H704">
        <v>13</v>
      </c>
      <c r="I704">
        <v>0</v>
      </c>
      <c r="J704">
        <v>0</v>
      </c>
      <c r="K704" t="b">
        <v>1</v>
      </c>
    </row>
    <row r="705" spans="1:11" x14ac:dyDescent="0.2">
      <c r="A705">
        <v>804</v>
      </c>
      <c r="B705" t="s">
        <v>1525</v>
      </c>
      <c r="C705" s="1">
        <v>42142</v>
      </c>
      <c r="D705" s="1">
        <v>42146</v>
      </c>
      <c r="E705">
        <v>4</v>
      </c>
      <c r="F705" t="s">
        <v>503</v>
      </c>
      <c r="G705" t="s">
        <v>869</v>
      </c>
      <c r="H705">
        <v>2</v>
      </c>
      <c r="I705">
        <v>0</v>
      </c>
      <c r="J705">
        <v>0</v>
      </c>
      <c r="K705" t="b">
        <v>0</v>
      </c>
    </row>
    <row r="706" spans="1:11" hidden="1" x14ac:dyDescent="0.2">
      <c r="A706">
        <v>805</v>
      </c>
      <c r="B706" t="s">
        <v>1526</v>
      </c>
      <c r="C706" s="1">
        <v>42535</v>
      </c>
      <c r="D706" s="1">
        <v>42539</v>
      </c>
      <c r="E706">
        <v>3</v>
      </c>
      <c r="F706" t="s">
        <v>535</v>
      </c>
      <c r="G706" t="s">
        <v>1527</v>
      </c>
      <c r="H706">
        <v>7</v>
      </c>
      <c r="I706">
        <v>0</v>
      </c>
      <c r="J706">
        <v>0</v>
      </c>
      <c r="K706" t="b">
        <v>0</v>
      </c>
    </row>
    <row r="707" spans="1:11" hidden="1" x14ac:dyDescent="0.2">
      <c r="A707">
        <v>806</v>
      </c>
      <c r="B707" t="s">
        <v>1528</v>
      </c>
      <c r="C707" s="1">
        <v>43021</v>
      </c>
      <c r="D707" s="1">
        <v>43023</v>
      </c>
      <c r="E707">
        <v>2</v>
      </c>
      <c r="F707" t="s">
        <v>489</v>
      </c>
      <c r="G707" t="s">
        <v>1529</v>
      </c>
      <c r="H707">
        <v>8</v>
      </c>
      <c r="I707">
        <v>0</v>
      </c>
      <c r="J707">
        <v>0</v>
      </c>
      <c r="K707" t="b">
        <v>0</v>
      </c>
    </row>
    <row r="708" spans="1:11" x14ac:dyDescent="0.2">
      <c r="A708">
        <v>807</v>
      </c>
      <c r="B708" t="s">
        <v>1530</v>
      </c>
      <c r="C708" s="1">
        <v>42156</v>
      </c>
      <c r="D708" s="1">
        <v>42160</v>
      </c>
      <c r="E708">
        <v>4</v>
      </c>
      <c r="F708" t="s">
        <v>511</v>
      </c>
      <c r="G708" t="s">
        <v>1531</v>
      </c>
      <c r="H708">
        <v>2</v>
      </c>
      <c r="I708">
        <v>0</v>
      </c>
      <c r="J708">
        <v>0</v>
      </c>
      <c r="K708" t="b">
        <v>0</v>
      </c>
    </row>
    <row r="709" spans="1:11" x14ac:dyDescent="0.2">
      <c r="A709">
        <v>808</v>
      </c>
      <c r="B709" t="s">
        <v>1530</v>
      </c>
      <c r="C709" s="1">
        <v>42156</v>
      </c>
      <c r="D709" s="1">
        <v>42160</v>
      </c>
      <c r="E709">
        <v>4</v>
      </c>
      <c r="F709" t="s">
        <v>511</v>
      </c>
      <c r="G709" t="s">
        <v>1229</v>
      </c>
      <c r="H709">
        <v>6</v>
      </c>
      <c r="I709">
        <v>0</v>
      </c>
      <c r="J709">
        <v>0</v>
      </c>
      <c r="K709" t="b">
        <v>0</v>
      </c>
    </row>
    <row r="710" spans="1:11" x14ac:dyDescent="0.2">
      <c r="A710">
        <v>809</v>
      </c>
      <c r="B710" t="s">
        <v>1530</v>
      </c>
      <c r="C710" s="1">
        <v>42156</v>
      </c>
      <c r="D710" s="1">
        <v>42160</v>
      </c>
      <c r="E710">
        <v>4</v>
      </c>
      <c r="F710" t="s">
        <v>511</v>
      </c>
      <c r="G710" t="s">
        <v>757</v>
      </c>
      <c r="H710">
        <v>2</v>
      </c>
      <c r="I710">
        <v>0</v>
      </c>
      <c r="J710">
        <v>0</v>
      </c>
      <c r="K710" t="b">
        <v>0</v>
      </c>
    </row>
    <row r="711" spans="1:11" x14ac:dyDescent="0.2">
      <c r="A711">
        <v>810</v>
      </c>
      <c r="B711" t="s">
        <v>1530</v>
      </c>
      <c r="C711" s="1">
        <v>42156</v>
      </c>
      <c r="D711" s="1">
        <v>42160</v>
      </c>
      <c r="E711">
        <v>4</v>
      </c>
      <c r="F711" t="s">
        <v>511</v>
      </c>
      <c r="G711" t="s">
        <v>1532</v>
      </c>
      <c r="H711">
        <v>7</v>
      </c>
      <c r="I711">
        <v>0</v>
      </c>
      <c r="J711">
        <v>0</v>
      </c>
      <c r="K711" t="b">
        <v>0</v>
      </c>
    </row>
    <row r="712" spans="1:11" x14ac:dyDescent="0.2">
      <c r="A712">
        <v>811</v>
      </c>
      <c r="B712" t="s">
        <v>1533</v>
      </c>
      <c r="C712" s="1">
        <v>42315</v>
      </c>
      <c r="D712" s="1">
        <v>42320</v>
      </c>
      <c r="E712">
        <v>4</v>
      </c>
      <c r="F712" t="s">
        <v>403</v>
      </c>
      <c r="G712" t="s">
        <v>1038</v>
      </c>
      <c r="H712">
        <v>3</v>
      </c>
      <c r="I712">
        <v>1</v>
      </c>
      <c r="J712">
        <v>0.2</v>
      </c>
      <c r="K712" t="b">
        <v>0</v>
      </c>
    </row>
    <row r="713" spans="1:11" x14ac:dyDescent="0.2">
      <c r="A713">
        <v>812</v>
      </c>
      <c r="B713" t="s">
        <v>1533</v>
      </c>
      <c r="C713" s="1">
        <v>42315</v>
      </c>
      <c r="D713" s="1">
        <v>42320</v>
      </c>
      <c r="E713">
        <v>4</v>
      </c>
      <c r="F713" t="s">
        <v>403</v>
      </c>
      <c r="G713" t="s">
        <v>1534</v>
      </c>
      <c r="H713">
        <v>2</v>
      </c>
      <c r="I713">
        <v>1</v>
      </c>
      <c r="J713">
        <v>0.2</v>
      </c>
      <c r="K713" t="b">
        <v>0</v>
      </c>
    </row>
    <row r="714" spans="1:11" x14ac:dyDescent="0.2">
      <c r="A714">
        <v>813</v>
      </c>
      <c r="B714" t="s">
        <v>1533</v>
      </c>
      <c r="C714" s="1">
        <v>42315</v>
      </c>
      <c r="D714" s="1">
        <v>42320</v>
      </c>
      <c r="E714">
        <v>4</v>
      </c>
      <c r="F714" t="s">
        <v>403</v>
      </c>
      <c r="G714" t="s">
        <v>1535</v>
      </c>
      <c r="H714">
        <v>5</v>
      </c>
      <c r="I714">
        <v>1</v>
      </c>
      <c r="J714">
        <v>0.6</v>
      </c>
      <c r="K714" t="b">
        <v>0</v>
      </c>
    </row>
    <row r="715" spans="1:11" x14ac:dyDescent="0.2">
      <c r="A715">
        <v>814</v>
      </c>
      <c r="B715" t="s">
        <v>1533</v>
      </c>
      <c r="C715" s="1">
        <v>42315</v>
      </c>
      <c r="D715" s="1">
        <v>42320</v>
      </c>
      <c r="E715">
        <v>4</v>
      </c>
      <c r="F715" t="s">
        <v>403</v>
      </c>
      <c r="G715" t="s">
        <v>713</v>
      </c>
      <c r="H715">
        <v>10</v>
      </c>
      <c r="I715">
        <v>1</v>
      </c>
      <c r="J715">
        <v>0.8</v>
      </c>
      <c r="K715" t="b">
        <v>0</v>
      </c>
    </row>
    <row r="716" spans="1:11" x14ac:dyDescent="0.2">
      <c r="A716">
        <v>815</v>
      </c>
      <c r="B716" t="s">
        <v>1533</v>
      </c>
      <c r="C716" s="1">
        <v>42315</v>
      </c>
      <c r="D716" s="1">
        <v>42320</v>
      </c>
      <c r="E716">
        <v>4</v>
      </c>
      <c r="F716" t="s">
        <v>403</v>
      </c>
      <c r="G716" t="s">
        <v>1536</v>
      </c>
      <c r="H716">
        <v>2</v>
      </c>
      <c r="I716">
        <v>1</v>
      </c>
      <c r="J716">
        <v>0.2</v>
      </c>
      <c r="K716" t="b">
        <v>0</v>
      </c>
    </row>
    <row r="717" spans="1:11" x14ac:dyDescent="0.2">
      <c r="A717">
        <v>816</v>
      </c>
      <c r="B717" t="s">
        <v>1533</v>
      </c>
      <c r="C717" s="1">
        <v>42315</v>
      </c>
      <c r="D717" s="1">
        <v>42320</v>
      </c>
      <c r="E717">
        <v>4</v>
      </c>
      <c r="F717" t="s">
        <v>403</v>
      </c>
      <c r="G717" t="s">
        <v>1537</v>
      </c>
      <c r="H717">
        <v>3</v>
      </c>
      <c r="I717">
        <v>1</v>
      </c>
      <c r="J717">
        <v>0.4</v>
      </c>
      <c r="K717" t="b">
        <v>0</v>
      </c>
    </row>
    <row r="718" spans="1:11" hidden="1" x14ac:dyDescent="0.2">
      <c r="A718">
        <v>817</v>
      </c>
      <c r="B718" t="s">
        <v>1538</v>
      </c>
      <c r="C718" s="1">
        <v>42982</v>
      </c>
      <c r="D718" s="1">
        <v>42983</v>
      </c>
      <c r="E718">
        <v>2</v>
      </c>
      <c r="F718" t="s">
        <v>538</v>
      </c>
      <c r="G718" t="s">
        <v>1539</v>
      </c>
      <c r="H718">
        <v>7</v>
      </c>
      <c r="I718">
        <v>1</v>
      </c>
      <c r="J718">
        <v>0.7</v>
      </c>
      <c r="K718" t="b">
        <v>0</v>
      </c>
    </row>
    <row r="719" spans="1:11" x14ac:dyDescent="0.2">
      <c r="A719">
        <v>818</v>
      </c>
      <c r="B719" t="s">
        <v>1540</v>
      </c>
      <c r="C719" s="1">
        <v>42712</v>
      </c>
      <c r="D719" s="1">
        <v>42716</v>
      </c>
      <c r="E719">
        <v>4</v>
      </c>
      <c r="F719" t="s">
        <v>469</v>
      </c>
      <c r="G719" t="s">
        <v>894</v>
      </c>
      <c r="H719">
        <v>7</v>
      </c>
      <c r="I719">
        <v>0</v>
      </c>
      <c r="J719">
        <v>0</v>
      </c>
      <c r="K719" t="b">
        <v>0</v>
      </c>
    </row>
    <row r="720" spans="1:11" x14ac:dyDescent="0.2">
      <c r="A720">
        <v>819</v>
      </c>
      <c r="B720" t="s">
        <v>1540</v>
      </c>
      <c r="C720" s="1">
        <v>42712</v>
      </c>
      <c r="D720" s="1">
        <v>42716</v>
      </c>
      <c r="E720">
        <v>4</v>
      </c>
      <c r="F720" t="s">
        <v>469</v>
      </c>
      <c r="G720" t="s">
        <v>1541</v>
      </c>
      <c r="H720">
        <v>3</v>
      </c>
      <c r="I720">
        <v>0</v>
      </c>
      <c r="J720">
        <v>0</v>
      </c>
      <c r="K720" t="b">
        <v>0</v>
      </c>
    </row>
    <row r="721" spans="1:11" x14ac:dyDescent="0.2">
      <c r="A721">
        <v>820</v>
      </c>
      <c r="B721" t="s">
        <v>1542</v>
      </c>
      <c r="C721" s="1">
        <v>42950</v>
      </c>
      <c r="D721" s="1">
        <v>42954</v>
      </c>
      <c r="E721">
        <v>4</v>
      </c>
      <c r="F721" t="s">
        <v>404</v>
      </c>
      <c r="G721" t="s">
        <v>1543</v>
      </c>
      <c r="H721">
        <v>3</v>
      </c>
      <c r="I721">
        <v>1</v>
      </c>
      <c r="J721">
        <v>0.2</v>
      </c>
      <c r="K721" t="b">
        <v>0</v>
      </c>
    </row>
    <row r="722" spans="1:11" hidden="1" x14ac:dyDescent="0.2">
      <c r="A722">
        <v>821</v>
      </c>
      <c r="B722" t="s">
        <v>1544</v>
      </c>
      <c r="C722" s="1">
        <v>42077</v>
      </c>
      <c r="D722" s="1">
        <v>42082</v>
      </c>
      <c r="E722">
        <v>1</v>
      </c>
      <c r="F722" t="s">
        <v>502</v>
      </c>
      <c r="G722" t="s">
        <v>717</v>
      </c>
      <c r="H722">
        <v>3</v>
      </c>
      <c r="I722">
        <v>0</v>
      </c>
      <c r="J722">
        <v>0</v>
      </c>
      <c r="K722" t="b">
        <v>0</v>
      </c>
    </row>
    <row r="723" spans="1:11" x14ac:dyDescent="0.2">
      <c r="A723">
        <v>822</v>
      </c>
      <c r="B723" t="s">
        <v>1545</v>
      </c>
      <c r="C723" s="1">
        <v>43053</v>
      </c>
      <c r="D723" s="1">
        <v>43056</v>
      </c>
      <c r="E723">
        <v>4</v>
      </c>
      <c r="F723" t="s">
        <v>564</v>
      </c>
      <c r="G723" t="s">
        <v>1546</v>
      </c>
      <c r="H723">
        <v>2</v>
      </c>
      <c r="I723">
        <v>0</v>
      </c>
      <c r="J723">
        <v>0</v>
      </c>
      <c r="K723" t="b">
        <v>0</v>
      </c>
    </row>
    <row r="724" spans="1:11" hidden="1" x14ac:dyDescent="0.2">
      <c r="A724">
        <v>823</v>
      </c>
      <c r="B724" t="s">
        <v>1547</v>
      </c>
      <c r="C724" s="1">
        <v>42980</v>
      </c>
      <c r="D724" s="1">
        <v>42984</v>
      </c>
      <c r="E724">
        <v>2</v>
      </c>
      <c r="F724" t="s">
        <v>489</v>
      </c>
      <c r="G724" t="s">
        <v>700</v>
      </c>
      <c r="H724">
        <v>3</v>
      </c>
      <c r="I724">
        <v>0</v>
      </c>
      <c r="J724">
        <v>0</v>
      </c>
      <c r="K724" t="b">
        <v>0</v>
      </c>
    </row>
    <row r="725" spans="1:11" x14ac:dyDescent="0.2">
      <c r="A725">
        <v>824</v>
      </c>
      <c r="B725" t="s">
        <v>1548</v>
      </c>
      <c r="C725" s="1">
        <v>42883</v>
      </c>
      <c r="D725" s="1">
        <v>42887</v>
      </c>
      <c r="E725">
        <v>4</v>
      </c>
      <c r="F725" t="s">
        <v>513</v>
      </c>
      <c r="G725" t="s">
        <v>1549</v>
      </c>
      <c r="H725">
        <v>3</v>
      </c>
      <c r="I725">
        <v>1</v>
      </c>
      <c r="J725">
        <v>0.2</v>
      </c>
      <c r="K725" t="b">
        <v>0</v>
      </c>
    </row>
    <row r="726" spans="1:11" x14ac:dyDescent="0.2">
      <c r="A726">
        <v>825</v>
      </c>
      <c r="B726" t="s">
        <v>1548</v>
      </c>
      <c r="C726" s="1">
        <v>42883</v>
      </c>
      <c r="D726" s="1">
        <v>42887</v>
      </c>
      <c r="E726">
        <v>4</v>
      </c>
      <c r="F726" t="s">
        <v>513</v>
      </c>
      <c r="G726" t="s">
        <v>1550</v>
      </c>
      <c r="H726">
        <v>4</v>
      </c>
      <c r="I726">
        <v>1</v>
      </c>
      <c r="J726">
        <v>0.5</v>
      </c>
      <c r="K726" t="b">
        <v>0</v>
      </c>
    </row>
    <row r="727" spans="1:11" hidden="1" x14ac:dyDescent="0.2">
      <c r="A727">
        <v>826</v>
      </c>
      <c r="B727" t="s">
        <v>1551</v>
      </c>
      <c r="C727" s="1">
        <v>42319</v>
      </c>
      <c r="D727" s="1">
        <v>42319</v>
      </c>
      <c r="E727">
        <v>1</v>
      </c>
      <c r="F727" t="s">
        <v>455</v>
      </c>
      <c r="G727" t="s">
        <v>1552</v>
      </c>
      <c r="H727">
        <v>7</v>
      </c>
      <c r="I727">
        <v>0</v>
      </c>
      <c r="J727">
        <v>0</v>
      </c>
      <c r="K727" t="b">
        <v>0</v>
      </c>
    </row>
    <row r="728" spans="1:11" hidden="1" x14ac:dyDescent="0.2">
      <c r="A728">
        <v>827</v>
      </c>
      <c r="B728" t="s">
        <v>1551</v>
      </c>
      <c r="C728" s="1">
        <v>42319</v>
      </c>
      <c r="D728" s="1">
        <v>42319</v>
      </c>
      <c r="E728">
        <v>1</v>
      </c>
      <c r="F728" t="s">
        <v>455</v>
      </c>
      <c r="G728" t="s">
        <v>1553</v>
      </c>
      <c r="H728">
        <v>2</v>
      </c>
      <c r="I728">
        <v>1</v>
      </c>
      <c r="J728">
        <v>0.1</v>
      </c>
      <c r="K728" t="b">
        <v>0</v>
      </c>
    </row>
    <row r="729" spans="1:11" x14ac:dyDescent="0.2">
      <c r="A729">
        <v>828</v>
      </c>
      <c r="B729" t="s">
        <v>1554</v>
      </c>
      <c r="C729" s="1">
        <v>42936</v>
      </c>
      <c r="D729" s="1">
        <v>42941</v>
      </c>
      <c r="E729">
        <v>4</v>
      </c>
      <c r="F729" t="s">
        <v>536</v>
      </c>
      <c r="G729" t="s">
        <v>675</v>
      </c>
      <c r="H729">
        <v>2</v>
      </c>
      <c r="I729">
        <v>0</v>
      </c>
      <c r="J729">
        <v>0</v>
      </c>
      <c r="K729" t="b">
        <v>0</v>
      </c>
    </row>
    <row r="730" spans="1:11" x14ac:dyDescent="0.2">
      <c r="A730">
        <v>829</v>
      </c>
      <c r="B730" t="s">
        <v>1554</v>
      </c>
      <c r="C730" s="1">
        <v>42936</v>
      </c>
      <c r="D730" s="1">
        <v>42941</v>
      </c>
      <c r="E730">
        <v>4</v>
      </c>
      <c r="F730" t="s">
        <v>536</v>
      </c>
      <c r="G730" t="s">
        <v>1555</v>
      </c>
      <c r="H730">
        <v>2</v>
      </c>
      <c r="I730">
        <v>1</v>
      </c>
      <c r="J730">
        <v>0.1</v>
      </c>
      <c r="K730" t="b">
        <v>0</v>
      </c>
    </row>
    <row r="731" spans="1:11" x14ac:dyDescent="0.2">
      <c r="A731">
        <v>830</v>
      </c>
      <c r="B731" t="s">
        <v>1554</v>
      </c>
      <c r="C731" s="1">
        <v>42936</v>
      </c>
      <c r="D731" s="1">
        <v>42941</v>
      </c>
      <c r="E731">
        <v>4</v>
      </c>
      <c r="F731" t="s">
        <v>536</v>
      </c>
      <c r="G731" t="s">
        <v>1250</v>
      </c>
      <c r="H731">
        <v>4</v>
      </c>
      <c r="I731">
        <v>0</v>
      </c>
      <c r="J731">
        <v>0</v>
      </c>
      <c r="K731" t="b">
        <v>0</v>
      </c>
    </row>
    <row r="732" spans="1:11" hidden="1" x14ac:dyDescent="0.2">
      <c r="A732">
        <v>831</v>
      </c>
      <c r="B732" t="s">
        <v>1556</v>
      </c>
      <c r="C732" s="1">
        <v>42336</v>
      </c>
      <c r="D732" s="1">
        <v>42338</v>
      </c>
      <c r="E732">
        <v>3</v>
      </c>
      <c r="F732" t="s">
        <v>510</v>
      </c>
      <c r="G732" t="s">
        <v>1557</v>
      </c>
      <c r="H732">
        <v>4</v>
      </c>
      <c r="I732">
        <v>0</v>
      </c>
      <c r="J732">
        <v>0</v>
      </c>
      <c r="K732" t="b">
        <v>0</v>
      </c>
    </row>
    <row r="733" spans="1:11" hidden="1" x14ac:dyDescent="0.2">
      <c r="A733">
        <v>832</v>
      </c>
      <c r="B733" t="s">
        <v>1558</v>
      </c>
      <c r="C733" s="1">
        <v>42856</v>
      </c>
      <c r="D733" s="1">
        <v>42857</v>
      </c>
      <c r="E733">
        <v>2</v>
      </c>
      <c r="F733" t="s">
        <v>469</v>
      </c>
      <c r="G733" t="s">
        <v>1559</v>
      </c>
      <c r="H733">
        <v>3</v>
      </c>
      <c r="I733">
        <v>1</v>
      </c>
      <c r="J733">
        <v>0.2</v>
      </c>
      <c r="K733" t="b">
        <v>0</v>
      </c>
    </row>
    <row r="734" spans="1:11" hidden="1" x14ac:dyDescent="0.2">
      <c r="A734">
        <v>833</v>
      </c>
      <c r="B734" t="s">
        <v>1558</v>
      </c>
      <c r="C734" s="1">
        <v>42856</v>
      </c>
      <c r="D734" s="1">
        <v>42857</v>
      </c>
      <c r="E734">
        <v>2</v>
      </c>
      <c r="F734" t="s">
        <v>469</v>
      </c>
      <c r="G734" t="s">
        <v>1560</v>
      </c>
      <c r="H734">
        <v>2</v>
      </c>
      <c r="I734">
        <v>1</v>
      </c>
      <c r="J734">
        <v>0.2</v>
      </c>
      <c r="K734" t="b">
        <v>1</v>
      </c>
    </row>
    <row r="735" spans="1:11" hidden="1" x14ac:dyDescent="0.2">
      <c r="A735">
        <v>834</v>
      </c>
      <c r="B735" t="s">
        <v>1561</v>
      </c>
      <c r="C735" s="1">
        <v>42352</v>
      </c>
      <c r="D735" s="1">
        <v>42357</v>
      </c>
      <c r="E735">
        <v>3</v>
      </c>
      <c r="F735" t="s">
        <v>510</v>
      </c>
      <c r="G735" t="s">
        <v>1562</v>
      </c>
      <c r="H735">
        <v>2</v>
      </c>
      <c r="I735">
        <v>0</v>
      </c>
      <c r="J735">
        <v>0</v>
      </c>
      <c r="K735" t="b">
        <v>0</v>
      </c>
    </row>
    <row r="736" spans="1:11" x14ac:dyDescent="0.2">
      <c r="A736">
        <v>835</v>
      </c>
      <c r="B736" t="s">
        <v>1563</v>
      </c>
      <c r="C736" s="1">
        <v>42628</v>
      </c>
      <c r="D736" s="1">
        <v>42633</v>
      </c>
      <c r="E736">
        <v>4</v>
      </c>
      <c r="F736" t="s">
        <v>492</v>
      </c>
      <c r="G736" t="s">
        <v>1564</v>
      </c>
      <c r="H736">
        <v>5</v>
      </c>
      <c r="I736">
        <v>0</v>
      </c>
      <c r="J736">
        <v>0</v>
      </c>
      <c r="K736" t="b">
        <v>0</v>
      </c>
    </row>
    <row r="737" spans="1:11" x14ac:dyDescent="0.2">
      <c r="A737">
        <v>836</v>
      </c>
      <c r="B737" t="s">
        <v>1565</v>
      </c>
      <c r="C737" s="1">
        <v>42635</v>
      </c>
      <c r="D737" s="1">
        <v>42641</v>
      </c>
      <c r="E737">
        <v>4</v>
      </c>
      <c r="F737" t="s">
        <v>433</v>
      </c>
      <c r="G737" t="s">
        <v>1334</v>
      </c>
      <c r="H737">
        <v>6</v>
      </c>
      <c r="I737">
        <v>0</v>
      </c>
      <c r="J737">
        <v>0</v>
      </c>
      <c r="K737" t="b">
        <v>0</v>
      </c>
    </row>
    <row r="738" spans="1:11" x14ac:dyDescent="0.2">
      <c r="A738">
        <v>837</v>
      </c>
      <c r="B738" t="s">
        <v>1566</v>
      </c>
      <c r="C738" s="1">
        <v>41842</v>
      </c>
      <c r="D738" s="1">
        <v>41848</v>
      </c>
      <c r="E738">
        <v>4</v>
      </c>
      <c r="F738" t="s">
        <v>416</v>
      </c>
      <c r="G738" t="s">
        <v>1567</v>
      </c>
      <c r="H738">
        <v>6</v>
      </c>
      <c r="I738">
        <v>0</v>
      </c>
      <c r="J738">
        <v>0</v>
      </c>
      <c r="K738" t="b">
        <v>0</v>
      </c>
    </row>
    <row r="739" spans="1:11" hidden="1" x14ac:dyDescent="0.2">
      <c r="A739">
        <v>838</v>
      </c>
      <c r="B739" t="s">
        <v>1568</v>
      </c>
      <c r="C739" s="1">
        <v>43044</v>
      </c>
      <c r="D739" s="1">
        <v>43046</v>
      </c>
      <c r="E739">
        <v>2</v>
      </c>
      <c r="F739" t="s">
        <v>394</v>
      </c>
      <c r="G739" t="s">
        <v>1569</v>
      </c>
      <c r="H739">
        <v>1</v>
      </c>
      <c r="I739">
        <v>0</v>
      </c>
      <c r="J739">
        <v>0</v>
      </c>
      <c r="K739" t="b">
        <v>0</v>
      </c>
    </row>
    <row r="740" spans="1:11" hidden="1" x14ac:dyDescent="0.2">
      <c r="A740">
        <v>839</v>
      </c>
      <c r="B740" t="s">
        <v>1568</v>
      </c>
      <c r="C740" s="1">
        <v>43044</v>
      </c>
      <c r="D740" s="1">
        <v>43046</v>
      </c>
      <c r="E740">
        <v>2</v>
      </c>
      <c r="F740" t="s">
        <v>394</v>
      </c>
      <c r="G740" t="s">
        <v>1570</v>
      </c>
      <c r="H740">
        <v>3</v>
      </c>
      <c r="I740">
        <v>0</v>
      </c>
      <c r="J740">
        <v>0</v>
      </c>
      <c r="K740" t="b">
        <v>0</v>
      </c>
    </row>
    <row r="741" spans="1:11" hidden="1" x14ac:dyDescent="0.2">
      <c r="A741">
        <v>840</v>
      </c>
      <c r="B741" t="s">
        <v>1568</v>
      </c>
      <c r="C741" s="1">
        <v>43044</v>
      </c>
      <c r="D741" s="1">
        <v>43046</v>
      </c>
      <c r="E741">
        <v>2</v>
      </c>
      <c r="F741" t="s">
        <v>394</v>
      </c>
      <c r="G741" t="s">
        <v>1571</v>
      </c>
      <c r="H741">
        <v>10</v>
      </c>
      <c r="I741">
        <v>0</v>
      </c>
      <c r="J741">
        <v>0</v>
      </c>
      <c r="K741" t="b">
        <v>0</v>
      </c>
    </row>
    <row r="742" spans="1:11" hidden="1" x14ac:dyDescent="0.2">
      <c r="A742">
        <v>841</v>
      </c>
      <c r="B742" t="s">
        <v>1572</v>
      </c>
      <c r="C742" s="1">
        <v>42818</v>
      </c>
      <c r="D742" s="1">
        <v>42819</v>
      </c>
      <c r="E742">
        <v>1</v>
      </c>
      <c r="F742" t="s">
        <v>430</v>
      </c>
      <c r="G742" t="s">
        <v>1573</v>
      </c>
      <c r="H742">
        <v>2</v>
      </c>
      <c r="I742">
        <v>1</v>
      </c>
      <c r="J742">
        <v>0.2</v>
      </c>
      <c r="K742" t="b">
        <v>0</v>
      </c>
    </row>
    <row r="743" spans="1:11" hidden="1" x14ac:dyDescent="0.2">
      <c r="A743">
        <v>842</v>
      </c>
      <c r="B743" t="s">
        <v>1574</v>
      </c>
      <c r="C743" s="1">
        <v>42638</v>
      </c>
      <c r="D743" s="1">
        <v>42640</v>
      </c>
      <c r="E743">
        <v>2</v>
      </c>
      <c r="F743" t="s">
        <v>537</v>
      </c>
      <c r="G743" t="s">
        <v>1217</v>
      </c>
      <c r="H743">
        <v>2</v>
      </c>
      <c r="I743">
        <v>1</v>
      </c>
      <c r="J743">
        <v>0.15</v>
      </c>
      <c r="K743" t="b">
        <v>0</v>
      </c>
    </row>
    <row r="744" spans="1:11" hidden="1" x14ac:dyDescent="0.2">
      <c r="A744">
        <v>843</v>
      </c>
      <c r="B744" t="s">
        <v>1575</v>
      </c>
      <c r="C744" s="1">
        <v>42985</v>
      </c>
      <c r="D744" s="1">
        <v>42987</v>
      </c>
      <c r="E744">
        <v>2</v>
      </c>
      <c r="F744" t="s">
        <v>56</v>
      </c>
      <c r="G744" t="s">
        <v>1576</v>
      </c>
      <c r="H744">
        <v>5</v>
      </c>
      <c r="I744">
        <v>0</v>
      </c>
      <c r="J744">
        <v>0</v>
      </c>
      <c r="K744" t="b">
        <v>0</v>
      </c>
    </row>
    <row r="745" spans="1:11" hidden="1" x14ac:dyDescent="0.2">
      <c r="A745">
        <v>844</v>
      </c>
      <c r="B745" t="s">
        <v>1575</v>
      </c>
      <c r="C745" s="1">
        <v>42985</v>
      </c>
      <c r="D745" s="1">
        <v>42987</v>
      </c>
      <c r="E745">
        <v>2</v>
      </c>
      <c r="F745" t="s">
        <v>56</v>
      </c>
      <c r="G745" t="s">
        <v>1577</v>
      </c>
      <c r="H745">
        <v>2</v>
      </c>
      <c r="I745">
        <v>0</v>
      </c>
      <c r="J745">
        <v>0</v>
      </c>
      <c r="K745" t="b">
        <v>1</v>
      </c>
    </row>
    <row r="746" spans="1:11" x14ac:dyDescent="0.2">
      <c r="A746">
        <v>845</v>
      </c>
      <c r="B746" t="s">
        <v>1578</v>
      </c>
      <c r="C746" s="1">
        <v>42939</v>
      </c>
      <c r="D746" s="1">
        <v>42944</v>
      </c>
      <c r="E746">
        <v>4</v>
      </c>
      <c r="F746" t="s">
        <v>570</v>
      </c>
      <c r="G746" t="s">
        <v>1579</v>
      </c>
      <c r="H746">
        <v>4</v>
      </c>
      <c r="I746">
        <v>1</v>
      </c>
      <c r="J746">
        <v>0.2</v>
      </c>
      <c r="K746" t="b">
        <v>0</v>
      </c>
    </row>
    <row r="747" spans="1:11" x14ac:dyDescent="0.2">
      <c r="A747">
        <v>846</v>
      </c>
      <c r="B747" t="s">
        <v>1580</v>
      </c>
      <c r="C747" s="1">
        <v>41904</v>
      </c>
      <c r="D747" s="1">
        <v>41911</v>
      </c>
      <c r="E747">
        <v>4</v>
      </c>
      <c r="F747" t="s">
        <v>544</v>
      </c>
      <c r="G747" t="s">
        <v>1581</v>
      </c>
      <c r="H747">
        <v>3</v>
      </c>
      <c r="I747">
        <v>0</v>
      </c>
      <c r="J747">
        <v>0</v>
      </c>
      <c r="K747" t="b">
        <v>0</v>
      </c>
    </row>
    <row r="748" spans="1:11" x14ac:dyDescent="0.2">
      <c r="A748">
        <v>847</v>
      </c>
      <c r="B748" t="s">
        <v>1580</v>
      </c>
      <c r="C748" s="1">
        <v>41904</v>
      </c>
      <c r="D748" s="1">
        <v>41911</v>
      </c>
      <c r="E748">
        <v>4</v>
      </c>
      <c r="F748" t="s">
        <v>544</v>
      </c>
      <c r="G748" t="s">
        <v>1326</v>
      </c>
      <c r="H748">
        <v>1</v>
      </c>
      <c r="I748">
        <v>1</v>
      </c>
      <c r="J748">
        <v>0.2</v>
      </c>
      <c r="K748" t="b">
        <v>0</v>
      </c>
    </row>
    <row r="749" spans="1:11" x14ac:dyDescent="0.2">
      <c r="A749">
        <v>848</v>
      </c>
      <c r="B749" t="s">
        <v>1580</v>
      </c>
      <c r="C749" s="1">
        <v>41904</v>
      </c>
      <c r="D749" s="1">
        <v>41911</v>
      </c>
      <c r="E749">
        <v>4</v>
      </c>
      <c r="F749" t="s">
        <v>544</v>
      </c>
      <c r="G749" t="s">
        <v>1582</v>
      </c>
      <c r="H749">
        <v>4</v>
      </c>
      <c r="I749">
        <v>0</v>
      </c>
      <c r="J749">
        <v>0</v>
      </c>
      <c r="K749" t="b">
        <v>0</v>
      </c>
    </row>
    <row r="750" spans="1:11" x14ac:dyDescent="0.2">
      <c r="A750">
        <v>849</v>
      </c>
      <c r="B750" t="s">
        <v>1580</v>
      </c>
      <c r="C750" s="1">
        <v>41904</v>
      </c>
      <c r="D750" s="1">
        <v>41911</v>
      </c>
      <c r="E750">
        <v>4</v>
      </c>
      <c r="F750" t="s">
        <v>544</v>
      </c>
      <c r="G750" t="s">
        <v>1583</v>
      </c>
      <c r="H750">
        <v>4</v>
      </c>
      <c r="I750">
        <v>1</v>
      </c>
      <c r="J750">
        <v>0.1</v>
      </c>
      <c r="K750" t="b">
        <v>1</v>
      </c>
    </row>
    <row r="751" spans="1:11" x14ac:dyDescent="0.2">
      <c r="A751">
        <v>850</v>
      </c>
      <c r="B751" t="s">
        <v>1584</v>
      </c>
      <c r="C751" s="1">
        <v>42483</v>
      </c>
      <c r="D751" s="1">
        <v>42487</v>
      </c>
      <c r="E751">
        <v>4</v>
      </c>
      <c r="F751" t="s">
        <v>445</v>
      </c>
      <c r="G751" t="s">
        <v>1585</v>
      </c>
      <c r="H751">
        <v>7</v>
      </c>
      <c r="I751">
        <v>1</v>
      </c>
      <c r="J751">
        <v>0.2</v>
      </c>
      <c r="K751" t="b">
        <v>0</v>
      </c>
    </row>
    <row r="752" spans="1:11" x14ac:dyDescent="0.2">
      <c r="A752">
        <v>851</v>
      </c>
      <c r="B752" t="s">
        <v>1584</v>
      </c>
      <c r="C752" s="1">
        <v>42483</v>
      </c>
      <c r="D752" s="1">
        <v>42487</v>
      </c>
      <c r="E752">
        <v>4</v>
      </c>
      <c r="F752" t="s">
        <v>445</v>
      </c>
      <c r="G752" t="s">
        <v>1284</v>
      </c>
      <c r="H752">
        <v>3</v>
      </c>
      <c r="I752">
        <v>0</v>
      </c>
      <c r="J752">
        <v>0</v>
      </c>
      <c r="K752" t="b">
        <v>0</v>
      </c>
    </row>
    <row r="753" spans="1:11" x14ac:dyDescent="0.2">
      <c r="A753">
        <v>852</v>
      </c>
      <c r="B753" t="s">
        <v>1586</v>
      </c>
      <c r="C753" s="1">
        <v>42827</v>
      </c>
      <c r="D753" s="1">
        <v>42831</v>
      </c>
      <c r="E753">
        <v>4</v>
      </c>
      <c r="F753" t="s">
        <v>490</v>
      </c>
      <c r="G753" t="s">
        <v>705</v>
      </c>
      <c r="H753">
        <v>3</v>
      </c>
      <c r="I753">
        <v>0</v>
      </c>
      <c r="J753">
        <v>0</v>
      </c>
      <c r="K753" t="b">
        <v>0</v>
      </c>
    </row>
    <row r="754" spans="1:11" hidden="1" x14ac:dyDescent="0.2">
      <c r="A754">
        <v>853</v>
      </c>
      <c r="B754" t="s">
        <v>1587</v>
      </c>
      <c r="C754" s="1">
        <v>42365</v>
      </c>
      <c r="D754" s="1">
        <v>42369</v>
      </c>
      <c r="E754">
        <v>2</v>
      </c>
      <c r="F754" t="s">
        <v>473</v>
      </c>
      <c r="G754" t="s">
        <v>1588</v>
      </c>
      <c r="H754">
        <v>2</v>
      </c>
      <c r="I754">
        <v>0</v>
      </c>
      <c r="J754">
        <v>0</v>
      </c>
      <c r="K754" t="b">
        <v>0</v>
      </c>
    </row>
    <row r="755" spans="1:11" hidden="1" x14ac:dyDescent="0.2">
      <c r="A755">
        <v>854</v>
      </c>
      <c r="B755" t="s">
        <v>1587</v>
      </c>
      <c r="C755" s="1">
        <v>42365</v>
      </c>
      <c r="D755" s="1">
        <v>42369</v>
      </c>
      <c r="E755">
        <v>2</v>
      </c>
      <c r="F755" t="s">
        <v>473</v>
      </c>
      <c r="G755" t="s">
        <v>1589</v>
      </c>
      <c r="H755">
        <v>9</v>
      </c>
      <c r="I755">
        <v>1</v>
      </c>
      <c r="J755">
        <v>0.2</v>
      </c>
      <c r="K755" t="b">
        <v>0</v>
      </c>
    </row>
    <row r="756" spans="1:11" hidden="1" x14ac:dyDescent="0.2">
      <c r="A756">
        <v>855</v>
      </c>
      <c r="B756" t="s">
        <v>1590</v>
      </c>
      <c r="C756" s="1">
        <v>42520</v>
      </c>
      <c r="D756" s="1">
        <v>42521</v>
      </c>
      <c r="E756">
        <v>3</v>
      </c>
      <c r="F756" t="s">
        <v>559</v>
      </c>
      <c r="G756" t="s">
        <v>1591</v>
      </c>
      <c r="H756">
        <v>5</v>
      </c>
      <c r="I756">
        <v>1</v>
      </c>
      <c r="J756">
        <v>0.2</v>
      </c>
      <c r="K756" t="b">
        <v>1</v>
      </c>
    </row>
    <row r="757" spans="1:11" hidden="1" x14ac:dyDescent="0.2">
      <c r="A757">
        <v>856</v>
      </c>
      <c r="B757" t="s">
        <v>1590</v>
      </c>
      <c r="C757" s="1">
        <v>42520</v>
      </c>
      <c r="D757" s="1">
        <v>42521</v>
      </c>
      <c r="E757">
        <v>3</v>
      </c>
      <c r="F757" t="s">
        <v>559</v>
      </c>
      <c r="G757" t="s">
        <v>822</v>
      </c>
      <c r="H757">
        <v>5</v>
      </c>
      <c r="I757">
        <v>1</v>
      </c>
      <c r="J757">
        <v>0.2</v>
      </c>
      <c r="K757" t="b">
        <v>0</v>
      </c>
    </row>
    <row r="758" spans="1:11" hidden="1" x14ac:dyDescent="0.2">
      <c r="A758">
        <v>857</v>
      </c>
      <c r="B758" t="s">
        <v>1592</v>
      </c>
      <c r="C758" s="1">
        <v>41962</v>
      </c>
      <c r="D758" s="1">
        <v>41965</v>
      </c>
      <c r="E758">
        <v>3</v>
      </c>
      <c r="F758" t="s">
        <v>439</v>
      </c>
      <c r="G758" t="s">
        <v>1593</v>
      </c>
      <c r="H758">
        <v>1</v>
      </c>
      <c r="I758">
        <v>1</v>
      </c>
      <c r="J758">
        <v>0.2</v>
      </c>
      <c r="K758" t="b">
        <v>0</v>
      </c>
    </row>
    <row r="759" spans="1:11" hidden="1" x14ac:dyDescent="0.2">
      <c r="A759">
        <v>858</v>
      </c>
      <c r="B759" t="s">
        <v>1594</v>
      </c>
      <c r="C759" s="1">
        <v>42664</v>
      </c>
      <c r="D759" s="1">
        <v>42669</v>
      </c>
      <c r="E759">
        <v>1</v>
      </c>
      <c r="F759" t="s">
        <v>522</v>
      </c>
      <c r="G759" t="s">
        <v>1595</v>
      </c>
      <c r="H759">
        <v>2</v>
      </c>
      <c r="I759">
        <v>1</v>
      </c>
      <c r="J759">
        <v>0.2</v>
      </c>
      <c r="K759" t="b">
        <v>0</v>
      </c>
    </row>
    <row r="760" spans="1:11" hidden="1" x14ac:dyDescent="0.2">
      <c r="A760">
        <v>859</v>
      </c>
      <c r="B760" t="s">
        <v>1594</v>
      </c>
      <c r="C760" s="1">
        <v>42664</v>
      </c>
      <c r="D760" s="1">
        <v>42669</v>
      </c>
      <c r="E760">
        <v>1</v>
      </c>
      <c r="F760" t="s">
        <v>522</v>
      </c>
      <c r="G760" t="s">
        <v>1596</v>
      </c>
      <c r="H760">
        <v>8</v>
      </c>
      <c r="I760">
        <v>1</v>
      </c>
      <c r="J760">
        <v>0.7</v>
      </c>
      <c r="K760" t="b">
        <v>0</v>
      </c>
    </row>
    <row r="761" spans="1:11" x14ac:dyDescent="0.2">
      <c r="A761">
        <v>860</v>
      </c>
      <c r="B761" t="s">
        <v>1597</v>
      </c>
      <c r="C761" s="1">
        <v>42163</v>
      </c>
      <c r="D761" s="1">
        <v>42167</v>
      </c>
      <c r="E761">
        <v>4</v>
      </c>
      <c r="F761" t="s">
        <v>456</v>
      </c>
      <c r="G761" t="s">
        <v>1598</v>
      </c>
      <c r="H761">
        <v>7</v>
      </c>
      <c r="I761">
        <v>1</v>
      </c>
      <c r="J761">
        <v>0.2</v>
      </c>
      <c r="K761" t="b">
        <v>0</v>
      </c>
    </row>
    <row r="762" spans="1:11" x14ac:dyDescent="0.2">
      <c r="A762">
        <v>861</v>
      </c>
      <c r="B762" t="s">
        <v>1597</v>
      </c>
      <c r="C762" s="1">
        <v>42163</v>
      </c>
      <c r="D762" s="1">
        <v>42167</v>
      </c>
      <c r="E762">
        <v>4</v>
      </c>
      <c r="F762" t="s">
        <v>456</v>
      </c>
      <c r="G762" t="s">
        <v>1588</v>
      </c>
      <c r="H762">
        <v>4</v>
      </c>
      <c r="I762">
        <v>1</v>
      </c>
      <c r="J762">
        <v>0.2</v>
      </c>
      <c r="K762" t="b">
        <v>0</v>
      </c>
    </row>
    <row r="763" spans="1:11" x14ac:dyDescent="0.2">
      <c r="A763">
        <v>862</v>
      </c>
      <c r="B763" t="s">
        <v>1597</v>
      </c>
      <c r="C763" s="1">
        <v>42163</v>
      </c>
      <c r="D763" s="1">
        <v>42167</v>
      </c>
      <c r="E763">
        <v>4</v>
      </c>
      <c r="F763" t="s">
        <v>456</v>
      </c>
      <c r="G763" t="s">
        <v>1599</v>
      </c>
      <c r="H763">
        <v>7</v>
      </c>
      <c r="I763">
        <v>1</v>
      </c>
      <c r="J763">
        <v>0.2</v>
      </c>
      <c r="K763" t="b">
        <v>0</v>
      </c>
    </row>
    <row r="764" spans="1:11" x14ac:dyDescent="0.2">
      <c r="A764">
        <v>863</v>
      </c>
      <c r="B764" t="s">
        <v>1597</v>
      </c>
      <c r="C764" s="1">
        <v>42163</v>
      </c>
      <c r="D764" s="1">
        <v>42167</v>
      </c>
      <c r="E764">
        <v>4</v>
      </c>
      <c r="F764" t="s">
        <v>456</v>
      </c>
      <c r="G764" t="s">
        <v>1600</v>
      </c>
      <c r="H764">
        <v>2</v>
      </c>
      <c r="I764">
        <v>1</v>
      </c>
      <c r="J764">
        <v>0.2</v>
      </c>
      <c r="K764" t="b">
        <v>0</v>
      </c>
    </row>
    <row r="765" spans="1:11" x14ac:dyDescent="0.2">
      <c r="A765">
        <v>864</v>
      </c>
      <c r="B765" t="s">
        <v>1597</v>
      </c>
      <c r="C765" s="1">
        <v>42163</v>
      </c>
      <c r="D765" s="1">
        <v>42167</v>
      </c>
      <c r="E765">
        <v>4</v>
      </c>
      <c r="F765" t="s">
        <v>456</v>
      </c>
      <c r="G765" t="s">
        <v>1265</v>
      </c>
      <c r="H765">
        <v>3</v>
      </c>
      <c r="I765">
        <v>1</v>
      </c>
      <c r="J765">
        <v>0.2</v>
      </c>
      <c r="K765" t="b">
        <v>0</v>
      </c>
    </row>
    <row r="766" spans="1:11" x14ac:dyDescent="0.2">
      <c r="A766">
        <v>865</v>
      </c>
      <c r="B766" t="s">
        <v>1597</v>
      </c>
      <c r="C766" s="1">
        <v>42163</v>
      </c>
      <c r="D766" s="1">
        <v>42167</v>
      </c>
      <c r="E766">
        <v>4</v>
      </c>
      <c r="F766" t="s">
        <v>456</v>
      </c>
      <c r="G766" t="s">
        <v>1601</v>
      </c>
      <c r="H766">
        <v>10</v>
      </c>
      <c r="I766">
        <v>1</v>
      </c>
      <c r="J766">
        <v>0.2</v>
      </c>
      <c r="K766" t="b">
        <v>0</v>
      </c>
    </row>
    <row r="767" spans="1:11" x14ac:dyDescent="0.2">
      <c r="A767">
        <v>866</v>
      </c>
      <c r="B767" t="s">
        <v>1597</v>
      </c>
      <c r="C767" s="1">
        <v>42163</v>
      </c>
      <c r="D767" s="1">
        <v>42167</v>
      </c>
      <c r="E767">
        <v>4</v>
      </c>
      <c r="F767" t="s">
        <v>456</v>
      </c>
      <c r="G767" t="s">
        <v>960</v>
      </c>
      <c r="H767">
        <v>2</v>
      </c>
      <c r="I767">
        <v>1</v>
      </c>
      <c r="J767">
        <v>0.7</v>
      </c>
      <c r="K767" t="b">
        <v>0</v>
      </c>
    </row>
    <row r="768" spans="1:11" hidden="1" x14ac:dyDescent="0.2">
      <c r="A768">
        <v>867</v>
      </c>
      <c r="B768" t="s">
        <v>1602</v>
      </c>
      <c r="C768" s="1">
        <v>41967</v>
      </c>
      <c r="D768" s="1">
        <v>41973</v>
      </c>
      <c r="E768">
        <v>3</v>
      </c>
      <c r="F768" t="s">
        <v>556</v>
      </c>
      <c r="G768" t="s">
        <v>1603</v>
      </c>
      <c r="H768">
        <v>3</v>
      </c>
      <c r="I768">
        <v>1</v>
      </c>
      <c r="J768">
        <v>0.7</v>
      </c>
      <c r="K768" t="b">
        <v>0</v>
      </c>
    </row>
    <row r="769" spans="1:11" x14ac:dyDescent="0.2">
      <c r="A769">
        <v>868</v>
      </c>
      <c r="B769" t="s">
        <v>1604</v>
      </c>
      <c r="C769" s="1">
        <v>42467</v>
      </c>
      <c r="D769" s="1">
        <v>42472</v>
      </c>
      <c r="E769">
        <v>4</v>
      </c>
      <c r="F769" t="s">
        <v>550</v>
      </c>
      <c r="G769" t="s">
        <v>1522</v>
      </c>
      <c r="H769">
        <v>3</v>
      </c>
      <c r="I769">
        <v>1</v>
      </c>
      <c r="J769">
        <v>0.2</v>
      </c>
      <c r="K769" t="b">
        <v>0</v>
      </c>
    </row>
    <row r="770" spans="1:11" x14ac:dyDescent="0.2">
      <c r="A770">
        <v>869</v>
      </c>
      <c r="B770" t="s">
        <v>1604</v>
      </c>
      <c r="C770" s="1">
        <v>42467</v>
      </c>
      <c r="D770" s="1">
        <v>42472</v>
      </c>
      <c r="E770">
        <v>4</v>
      </c>
      <c r="F770" t="s">
        <v>550</v>
      </c>
      <c r="G770" t="s">
        <v>1605</v>
      </c>
      <c r="H770">
        <v>3</v>
      </c>
      <c r="I770">
        <v>1</v>
      </c>
      <c r="J770">
        <v>0.2</v>
      </c>
      <c r="K770" t="b">
        <v>0</v>
      </c>
    </row>
    <row r="771" spans="1:11" hidden="1" x14ac:dyDescent="0.2">
      <c r="A771">
        <v>870</v>
      </c>
      <c r="B771" t="s">
        <v>1606</v>
      </c>
      <c r="C771" s="1">
        <v>43014</v>
      </c>
      <c r="D771" s="1">
        <v>43019</v>
      </c>
      <c r="E771">
        <v>3</v>
      </c>
      <c r="F771" t="s">
        <v>510</v>
      </c>
      <c r="G771" t="s">
        <v>1607</v>
      </c>
      <c r="H771">
        <v>2</v>
      </c>
      <c r="I771">
        <v>1</v>
      </c>
      <c r="J771">
        <v>0.2</v>
      </c>
      <c r="K771" t="b">
        <v>0</v>
      </c>
    </row>
    <row r="772" spans="1:11" hidden="1" x14ac:dyDescent="0.2">
      <c r="A772">
        <v>871</v>
      </c>
      <c r="B772" t="s">
        <v>1608</v>
      </c>
      <c r="C772" s="1">
        <v>42211</v>
      </c>
      <c r="D772" s="1">
        <v>42211</v>
      </c>
      <c r="E772">
        <v>1</v>
      </c>
      <c r="F772" t="s">
        <v>550</v>
      </c>
      <c r="G772" t="s">
        <v>1609</v>
      </c>
      <c r="H772">
        <v>2</v>
      </c>
      <c r="I772">
        <v>1</v>
      </c>
      <c r="J772">
        <v>0.2</v>
      </c>
      <c r="K772" t="b">
        <v>0</v>
      </c>
    </row>
    <row r="773" spans="1:11" x14ac:dyDescent="0.2">
      <c r="A773">
        <v>872</v>
      </c>
      <c r="B773" t="s">
        <v>1610</v>
      </c>
      <c r="C773" s="1">
        <v>42710</v>
      </c>
      <c r="D773" s="1">
        <v>42714</v>
      </c>
      <c r="E773">
        <v>4</v>
      </c>
      <c r="F773" t="s">
        <v>523</v>
      </c>
      <c r="G773" t="s">
        <v>1611</v>
      </c>
      <c r="H773">
        <v>5</v>
      </c>
      <c r="I773">
        <v>1</v>
      </c>
      <c r="J773">
        <v>0.2</v>
      </c>
      <c r="K773" t="b">
        <v>0</v>
      </c>
    </row>
    <row r="774" spans="1:11" x14ac:dyDescent="0.2">
      <c r="A774">
        <v>873</v>
      </c>
      <c r="B774" t="s">
        <v>1610</v>
      </c>
      <c r="C774" s="1">
        <v>42710</v>
      </c>
      <c r="D774" s="1">
        <v>42714</v>
      </c>
      <c r="E774">
        <v>4</v>
      </c>
      <c r="F774" t="s">
        <v>523</v>
      </c>
      <c r="G774" t="s">
        <v>1612</v>
      </c>
      <c r="H774">
        <v>7</v>
      </c>
      <c r="I774">
        <v>0</v>
      </c>
      <c r="J774">
        <v>0</v>
      </c>
      <c r="K774" t="b">
        <v>0</v>
      </c>
    </row>
    <row r="775" spans="1:11" x14ac:dyDescent="0.2">
      <c r="A775">
        <v>874</v>
      </c>
      <c r="B775" t="s">
        <v>1610</v>
      </c>
      <c r="C775" s="1">
        <v>42710</v>
      </c>
      <c r="D775" s="1">
        <v>42714</v>
      </c>
      <c r="E775">
        <v>4</v>
      </c>
      <c r="F775" t="s">
        <v>523</v>
      </c>
      <c r="G775" t="s">
        <v>675</v>
      </c>
      <c r="H775">
        <v>2</v>
      </c>
      <c r="I775">
        <v>0</v>
      </c>
      <c r="J775">
        <v>0</v>
      </c>
      <c r="K775" t="b">
        <v>0</v>
      </c>
    </row>
    <row r="776" spans="1:11" x14ac:dyDescent="0.2">
      <c r="A776">
        <v>875</v>
      </c>
      <c r="B776" t="s">
        <v>1610</v>
      </c>
      <c r="C776" s="1">
        <v>42710</v>
      </c>
      <c r="D776" s="1">
        <v>42714</v>
      </c>
      <c r="E776">
        <v>4</v>
      </c>
      <c r="F776" t="s">
        <v>523</v>
      </c>
      <c r="G776" t="s">
        <v>1613</v>
      </c>
      <c r="H776">
        <v>2</v>
      </c>
      <c r="I776">
        <v>1</v>
      </c>
      <c r="J776">
        <v>0.2</v>
      </c>
      <c r="K776" t="b">
        <v>0</v>
      </c>
    </row>
    <row r="777" spans="1:11" x14ac:dyDescent="0.2">
      <c r="A777">
        <v>876</v>
      </c>
      <c r="B777" t="s">
        <v>1610</v>
      </c>
      <c r="C777" s="1">
        <v>42710</v>
      </c>
      <c r="D777" s="1">
        <v>42714</v>
      </c>
      <c r="E777">
        <v>4</v>
      </c>
      <c r="F777" t="s">
        <v>523</v>
      </c>
      <c r="G777" t="s">
        <v>1614</v>
      </c>
      <c r="H777">
        <v>7</v>
      </c>
      <c r="I777">
        <v>0</v>
      </c>
      <c r="J777">
        <v>0</v>
      </c>
      <c r="K777" t="b">
        <v>0</v>
      </c>
    </row>
    <row r="778" spans="1:11" x14ac:dyDescent="0.2">
      <c r="A778">
        <v>877</v>
      </c>
      <c r="B778" t="s">
        <v>1610</v>
      </c>
      <c r="C778" s="1">
        <v>42710</v>
      </c>
      <c r="D778" s="1">
        <v>42714</v>
      </c>
      <c r="E778">
        <v>4</v>
      </c>
      <c r="F778" t="s">
        <v>523</v>
      </c>
      <c r="G778" t="s">
        <v>1128</v>
      </c>
      <c r="H778">
        <v>4</v>
      </c>
      <c r="I778">
        <v>1</v>
      </c>
      <c r="J778">
        <v>0.2</v>
      </c>
      <c r="K778" t="b">
        <v>0</v>
      </c>
    </row>
    <row r="779" spans="1:11" x14ac:dyDescent="0.2">
      <c r="A779">
        <v>878</v>
      </c>
      <c r="B779" t="s">
        <v>1610</v>
      </c>
      <c r="C779" s="1">
        <v>42710</v>
      </c>
      <c r="D779" s="1">
        <v>42714</v>
      </c>
      <c r="E779">
        <v>4</v>
      </c>
      <c r="F779" t="s">
        <v>523</v>
      </c>
      <c r="G779" t="s">
        <v>1615</v>
      </c>
      <c r="H779">
        <v>14</v>
      </c>
      <c r="I779">
        <v>1</v>
      </c>
      <c r="J779">
        <v>0.2</v>
      </c>
      <c r="K779" t="b">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A528-F93C-2F40-A1B2-FB0BFD81E5E0}">
  <dimension ref="A1:E637"/>
  <sheetViews>
    <sheetView workbookViewId="0">
      <selection activeCell="G20" sqref="G20"/>
    </sheetView>
  </sheetViews>
  <sheetFormatPr baseColWidth="10" defaultRowHeight="15" x14ac:dyDescent="0.2"/>
  <cols>
    <col min="1" max="1" width="11.6640625" customWidth="1"/>
    <col min="3" max="3" width="13.6640625" customWidth="1"/>
    <col min="4" max="4" width="14.5" customWidth="1"/>
  </cols>
  <sheetData>
    <row r="1" spans="1:5" x14ac:dyDescent="0.2">
      <c r="A1" t="s">
        <v>586</v>
      </c>
      <c r="B1" t="s">
        <v>1629</v>
      </c>
      <c r="C1" t="s">
        <v>1630</v>
      </c>
      <c r="D1" t="s">
        <v>1631</v>
      </c>
      <c r="E1" t="s">
        <v>1632</v>
      </c>
    </row>
    <row r="2" spans="1:5" x14ac:dyDescent="0.2">
      <c r="A2" t="s">
        <v>792</v>
      </c>
      <c r="B2" t="s">
        <v>1633</v>
      </c>
      <c r="C2" t="s">
        <v>1634</v>
      </c>
      <c r="D2" t="s">
        <v>1635</v>
      </c>
      <c r="E2">
        <v>104.0428</v>
      </c>
    </row>
    <row r="3" spans="1:5" x14ac:dyDescent="0.2">
      <c r="A3" t="s">
        <v>1559</v>
      </c>
      <c r="B3" t="s">
        <v>1633</v>
      </c>
      <c r="C3" t="s">
        <v>1634</v>
      </c>
      <c r="D3" t="s">
        <v>1636</v>
      </c>
      <c r="E3">
        <v>110.0232</v>
      </c>
    </row>
    <row r="4" spans="1:5" x14ac:dyDescent="0.2">
      <c r="A4" t="s">
        <v>955</v>
      </c>
      <c r="B4" t="s">
        <v>1633</v>
      </c>
      <c r="C4" t="s">
        <v>1634</v>
      </c>
      <c r="D4" t="s">
        <v>1637</v>
      </c>
      <c r="E4">
        <v>210.68600000000001</v>
      </c>
    </row>
    <row r="5" spans="1:5" x14ac:dyDescent="0.2">
      <c r="A5" t="s">
        <v>1036</v>
      </c>
      <c r="B5" t="s">
        <v>1633</v>
      </c>
      <c r="C5" t="s">
        <v>1634</v>
      </c>
      <c r="D5" t="s">
        <v>1638</v>
      </c>
      <c r="E5">
        <v>61.454999999999998</v>
      </c>
    </row>
    <row r="6" spans="1:5" x14ac:dyDescent="0.2">
      <c r="A6" t="s">
        <v>794</v>
      </c>
      <c r="B6" t="s">
        <v>1633</v>
      </c>
      <c r="C6" t="s">
        <v>1634</v>
      </c>
      <c r="D6" t="s">
        <v>1639</v>
      </c>
      <c r="E6">
        <v>104.6318</v>
      </c>
    </row>
    <row r="7" spans="1:5" x14ac:dyDescent="0.2">
      <c r="A7" t="s">
        <v>1145</v>
      </c>
      <c r="B7" t="s">
        <v>1633</v>
      </c>
      <c r="C7" t="s">
        <v>1634</v>
      </c>
      <c r="D7" t="s">
        <v>1640</v>
      </c>
      <c r="E7">
        <v>198.88200000000001</v>
      </c>
    </row>
    <row r="8" spans="1:5" x14ac:dyDescent="0.2">
      <c r="A8" t="s">
        <v>906</v>
      </c>
      <c r="B8" t="s">
        <v>1633</v>
      </c>
      <c r="C8" t="s">
        <v>1634</v>
      </c>
      <c r="D8" t="s">
        <v>1641</v>
      </c>
      <c r="E8">
        <v>405.12119999999999</v>
      </c>
    </row>
    <row r="9" spans="1:5" x14ac:dyDescent="0.2">
      <c r="A9" t="s">
        <v>1325</v>
      </c>
      <c r="B9" t="s">
        <v>1633</v>
      </c>
      <c r="C9" t="s">
        <v>1634</v>
      </c>
      <c r="D9" t="s">
        <v>1642</v>
      </c>
      <c r="E9">
        <v>77.754599999999996</v>
      </c>
    </row>
    <row r="10" spans="1:5" x14ac:dyDescent="0.2">
      <c r="A10" t="s">
        <v>894</v>
      </c>
      <c r="B10" t="s">
        <v>1633</v>
      </c>
      <c r="C10" t="s">
        <v>1634</v>
      </c>
      <c r="D10" t="s">
        <v>1643</v>
      </c>
      <c r="E10">
        <v>53.3416</v>
      </c>
    </row>
    <row r="11" spans="1:5" x14ac:dyDescent="0.2">
      <c r="A11" t="s">
        <v>1508</v>
      </c>
      <c r="B11" t="s">
        <v>1633</v>
      </c>
      <c r="C11" t="s">
        <v>1634</v>
      </c>
      <c r="D11" t="s">
        <v>1644</v>
      </c>
      <c r="E11">
        <v>143.6232</v>
      </c>
    </row>
    <row r="12" spans="1:5" x14ac:dyDescent="0.2">
      <c r="A12" t="s">
        <v>1405</v>
      </c>
      <c r="B12" t="s">
        <v>1633</v>
      </c>
      <c r="C12" t="s">
        <v>1634</v>
      </c>
      <c r="D12" t="s">
        <v>1645</v>
      </c>
      <c r="E12">
        <v>80.991900000000001</v>
      </c>
    </row>
    <row r="13" spans="1:5" x14ac:dyDescent="0.2">
      <c r="A13" t="s">
        <v>1550</v>
      </c>
      <c r="B13" t="s">
        <v>1633</v>
      </c>
      <c r="C13" t="s">
        <v>1634</v>
      </c>
      <c r="D13" t="s">
        <v>1646</v>
      </c>
      <c r="E13">
        <v>45.224400000000003</v>
      </c>
    </row>
    <row r="14" spans="1:5" x14ac:dyDescent="0.2">
      <c r="A14" t="s">
        <v>636</v>
      </c>
      <c r="B14" t="s">
        <v>1633</v>
      </c>
      <c r="C14" t="s">
        <v>1634</v>
      </c>
      <c r="D14" t="s">
        <v>1647</v>
      </c>
      <c r="E14">
        <v>678.3546</v>
      </c>
    </row>
    <row r="15" spans="1:5" x14ac:dyDescent="0.2">
      <c r="A15" t="s">
        <v>1121</v>
      </c>
      <c r="B15" t="s">
        <v>1633</v>
      </c>
      <c r="C15" t="s">
        <v>1648</v>
      </c>
      <c r="D15" t="s">
        <v>1649</v>
      </c>
      <c r="E15">
        <v>215.316</v>
      </c>
    </row>
    <row r="16" spans="1:5" x14ac:dyDescent="0.2">
      <c r="A16" t="s">
        <v>1500</v>
      </c>
      <c r="B16" t="s">
        <v>1633</v>
      </c>
      <c r="C16" t="s">
        <v>1648</v>
      </c>
      <c r="D16" t="s">
        <v>1650</v>
      </c>
      <c r="E16">
        <v>249.30160000000001</v>
      </c>
    </row>
    <row r="17" spans="1:5" x14ac:dyDescent="0.2">
      <c r="A17" t="s">
        <v>1016</v>
      </c>
      <c r="B17" t="s">
        <v>1633</v>
      </c>
      <c r="C17" t="s">
        <v>1648</v>
      </c>
      <c r="D17" t="s">
        <v>1651</v>
      </c>
      <c r="E17">
        <v>170.786</v>
      </c>
    </row>
    <row r="18" spans="1:5" x14ac:dyDescent="0.2">
      <c r="A18" t="s">
        <v>1156</v>
      </c>
      <c r="B18" t="s">
        <v>1633</v>
      </c>
      <c r="C18" t="s">
        <v>1648</v>
      </c>
      <c r="D18" t="s">
        <v>1652</v>
      </c>
      <c r="E18">
        <v>134.37219999999999</v>
      </c>
    </row>
    <row r="19" spans="1:5" x14ac:dyDescent="0.2">
      <c r="A19" t="s">
        <v>1239</v>
      </c>
      <c r="B19" t="s">
        <v>1633</v>
      </c>
      <c r="C19" t="s">
        <v>1648</v>
      </c>
      <c r="D19" t="s">
        <v>1653</v>
      </c>
      <c r="E19">
        <v>101.3832</v>
      </c>
    </row>
    <row r="20" spans="1:5" x14ac:dyDescent="0.2">
      <c r="A20" t="s">
        <v>1261</v>
      </c>
      <c r="B20" t="s">
        <v>1633</v>
      </c>
      <c r="C20" t="s">
        <v>1648</v>
      </c>
      <c r="D20" t="s">
        <v>1654</v>
      </c>
      <c r="E20">
        <v>116.5722</v>
      </c>
    </row>
    <row r="21" spans="1:5" x14ac:dyDescent="0.2">
      <c r="A21" t="s">
        <v>836</v>
      </c>
      <c r="B21" t="s">
        <v>1633</v>
      </c>
      <c r="C21" t="s">
        <v>1648</v>
      </c>
      <c r="D21" t="s">
        <v>1655</v>
      </c>
      <c r="E21">
        <v>266.7448</v>
      </c>
    </row>
    <row r="22" spans="1:5" x14ac:dyDescent="0.2">
      <c r="A22" t="s">
        <v>689</v>
      </c>
      <c r="B22" t="s">
        <v>1633</v>
      </c>
      <c r="C22" t="s">
        <v>1648</v>
      </c>
      <c r="D22" t="s">
        <v>1656</v>
      </c>
      <c r="E22">
        <v>70.065399999999997</v>
      </c>
    </row>
    <row r="23" spans="1:5" x14ac:dyDescent="0.2">
      <c r="A23" t="s">
        <v>844</v>
      </c>
      <c r="B23" t="s">
        <v>1633</v>
      </c>
      <c r="C23" t="s">
        <v>1648</v>
      </c>
      <c r="D23" t="s">
        <v>1657</v>
      </c>
      <c r="E23">
        <v>95.442800000000005</v>
      </c>
    </row>
    <row r="24" spans="1:5" x14ac:dyDescent="0.2">
      <c r="A24" t="s">
        <v>1186</v>
      </c>
      <c r="B24" t="s">
        <v>1633</v>
      </c>
      <c r="C24" t="s">
        <v>1648</v>
      </c>
      <c r="D24" t="s">
        <v>1658</v>
      </c>
      <c r="E24">
        <v>19.180800000000001</v>
      </c>
    </row>
    <row r="25" spans="1:5" x14ac:dyDescent="0.2">
      <c r="A25" t="s">
        <v>1340</v>
      </c>
      <c r="B25" t="s">
        <v>1633</v>
      </c>
      <c r="C25" t="s">
        <v>1648</v>
      </c>
      <c r="D25" t="s">
        <v>1659</v>
      </c>
      <c r="E25">
        <v>187.99379999999999</v>
      </c>
    </row>
    <row r="26" spans="1:5" x14ac:dyDescent="0.2">
      <c r="A26" t="s">
        <v>1043</v>
      </c>
      <c r="B26" t="s">
        <v>1633</v>
      </c>
      <c r="C26" t="s">
        <v>1648</v>
      </c>
      <c r="D26" t="s">
        <v>1660</v>
      </c>
      <c r="E26">
        <v>224.68600000000001</v>
      </c>
    </row>
    <row r="27" spans="1:5" x14ac:dyDescent="0.2">
      <c r="A27" t="s">
        <v>1541</v>
      </c>
      <c r="B27" t="s">
        <v>1633</v>
      </c>
      <c r="C27" t="s">
        <v>1648</v>
      </c>
      <c r="D27" t="s">
        <v>1661</v>
      </c>
      <c r="E27">
        <v>167.73580000000001</v>
      </c>
    </row>
    <row r="28" spans="1:5" x14ac:dyDescent="0.2">
      <c r="A28" t="s">
        <v>842</v>
      </c>
      <c r="B28" t="s">
        <v>1633</v>
      </c>
      <c r="C28" t="s">
        <v>1648</v>
      </c>
      <c r="D28" t="s">
        <v>1662</v>
      </c>
      <c r="E28">
        <v>71.2624</v>
      </c>
    </row>
    <row r="29" spans="1:5" x14ac:dyDescent="0.2">
      <c r="A29" t="s">
        <v>880</v>
      </c>
      <c r="B29" t="s">
        <v>1633</v>
      </c>
      <c r="C29" t="s">
        <v>1648</v>
      </c>
      <c r="D29" t="s">
        <v>1663</v>
      </c>
      <c r="E29">
        <v>43.082799999999999</v>
      </c>
    </row>
    <row r="30" spans="1:5" x14ac:dyDescent="0.2">
      <c r="A30" t="s">
        <v>951</v>
      </c>
      <c r="B30" t="s">
        <v>1633</v>
      </c>
      <c r="C30" t="s">
        <v>1648</v>
      </c>
      <c r="D30" t="s">
        <v>1664</v>
      </c>
      <c r="E30">
        <v>53.234999999999999</v>
      </c>
    </row>
    <row r="31" spans="1:5" x14ac:dyDescent="0.2">
      <c r="A31" t="s">
        <v>865</v>
      </c>
      <c r="B31" t="s">
        <v>1633</v>
      </c>
      <c r="C31" t="s">
        <v>1648</v>
      </c>
      <c r="D31" t="s">
        <v>1665</v>
      </c>
      <c r="E31">
        <v>36.195799999999998</v>
      </c>
    </row>
    <row r="32" spans="1:5" x14ac:dyDescent="0.2">
      <c r="A32" t="s">
        <v>1555</v>
      </c>
      <c r="B32" t="s">
        <v>1633</v>
      </c>
      <c r="C32" t="s">
        <v>1648</v>
      </c>
      <c r="D32" t="s">
        <v>1666</v>
      </c>
      <c r="E32">
        <v>69.144800000000004</v>
      </c>
    </row>
    <row r="33" spans="1:5" x14ac:dyDescent="0.2">
      <c r="A33" t="s">
        <v>762</v>
      </c>
      <c r="B33" t="s">
        <v>1633</v>
      </c>
      <c r="C33" t="s">
        <v>1648</v>
      </c>
      <c r="D33" t="s">
        <v>1667</v>
      </c>
      <c r="E33">
        <v>72.784000000000006</v>
      </c>
    </row>
    <row r="34" spans="1:5" x14ac:dyDescent="0.2">
      <c r="A34" t="s">
        <v>998</v>
      </c>
      <c r="B34" t="s">
        <v>1633</v>
      </c>
      <c r="C34" t="s">
        <v>1648</v>
      </c>
      <c r="D34" t="s">
        <v>1668</v>
      </c>
      <c r="E34">
        <v>119.1918</v>
      </c>
    </row>
    <row r="35" spans="1:5" x14ac:dyDescent="0.2">
      <c r="A35" t="s">
        <v>751</v>
      </c>
      <c r="B35" t="s">
        <v>1633</v>
      </c>
      <c r="C35" t="s">
        <v>1648</v>
      </c>
      <c r="D35" t="s">
        <v>1669</v>
      </c>
      <c r="E35">
        <v>261.31139999999999</v>
      </c>
    </row>
    <row r="36" spans="1:5" x14ac:dyDescent="0.2">
      <c r="A36" t="s">
        <v>819</v>
      </c>
      <c r="B36" t="s">
        <v>1633</v>
      </c>
      <c r="C36" t="s">
        <v>1648</v>
      </c>
      <c r="D36" t="s">
        <v>1670</v>
      </c>
      <c r="E36">
        <v>213.73500000000001</v>
      </c>
    </row>
    <row r="37" spans="1:5" x14ac:dyDescent="0.2">
      <c r="A37" t="s">
        <v>1115</v>
      </c>
      <c r="B37" t="s">
        <v>1633</v>
      </c>
      <c r="C37" t="s">
        <v>1648</v>
      </c>
      <c r="D37" t="s">
        <v>1671</v>
      </c>
      <c r="E37">
        <v>95.615399999999994</v>
      </c>
    </row>
    <row r="38" spans="1:5" x14ac:dyDescent="0.2">
      <c r="A38" t="s">
        <v>827</v>
      </c>
      <c r="B38" t="s">
        <v>1633</v>
      </c>
      <c r="C38" t="s">
        <v>1648</v>
      </c>
      <c r="D38" t="s">
        <v>1672</v>
      </c>
      <c r="E38">
        <v>79.152600000000007</v>
      </c>
    </row>
    <row r="39" spans="1:5" x14ac:dyDescent="0.2">
      <c r="A39" t="s">
        <v>925</v>
      </c>
      <c r="B39" t="s">
        <v>1633</v>
      </c>
      <c r="C39" t="s">
        <v>1648</v>
      </c>
      <c r="D39" t="s">
        <v>1673</v>
      </c>
      <c r="E39">
        <v>45.555</v>
      </c>
    </row>
    <row r="40" spans="1:5" x14ac:dyDescent="0.2">
      <c r="A40" t="s">
        <v>939</v>
      </c>
      <c r="B40" t="s">
        <v>1633</v>
      </c>
      <c r="C40" t="s">
        <v>1648</v>
      </c>
      <c r="D40" t="s">
        <v>1674</v>
      </c>
      <c r="E40">
        <v>84.8232</v>
      </c>
    </row>
    <row r="41" spans="1:5" x14ac:dyDescent="0.2">
      <c r="A41" t="s">
        <v>1421</v>
      </c>
      <c r="B41" t="s">
        <v>1633</v>
      </c>
      <c r="C41" t="s">
        <v>1648</v>
      </c>
      <c r="D41" t="s">
        <v>1675</v>
      </c>
      <c r="E41">
        <v>182.45580000000001</v>
      </c>
    </row>
    <row r="42" spans="1:5" x14ac:dyDescent="0.2">
      <c r="A42" t="s">
        <v>596</v>
      </c>
      <c r="B42" t="s">
        <v>1633</v>
      </c>
      <c r="C42" t="s">
        <v>1648</v>
      </c>
      <c r="D42" t="s">
        <v>1676</v>
      </c>
      <c r="E42">
        <v>203.04580000000001</v>
      </c>
    </row>
    <row r="43" spans="1:5" x14ac:dyDescent="0.2">
      <c r="A43" t="s">
        <v>1000</v>
      </c>
      <c r="B43" t="s">
        <v>1633</v>
      </c>
      <c r="C43" t="s">
        <v>1648</v>
      </c>
      <c r="D43" t="s">
        <v>1677</v>
      </c>
      <c r="E43">
        <v>43.231900000000003</v>
      </c>
    </row>
    <row r="44" spans="1:5" x14ac:dyDescent="0.2">
      <c r="A44" t="s">
        <v>1318</v>
      </c>
      <c r="B44" t="s">
        <v>1633</v>
      </c>
      <c r="C44" t="s">
        <v>1648</v>
      </c>
      <c r="D44" t="s">
        <v>1678</v>
      </c>
      <c r="E44">
        <v>76.676400000000001</v>
      </c>
    </row>
    <row r="45" spans="1:5" x14ac:dyDescent="0.2">
      <c r="A45" t="s">
        <v>1014</v>
      </c>
      <c r="B45" t="s">
        <v>1633</v>
      </c>
      <c r="C45" t="s">
        <v>1648</v>
      </c>
      <c r="D45" t="s">
        <v>1679</v>
      </c>
      <c r="E45">
        <v>58.305599999999998</v>
      </c>
    </row>
    <row r="46" spans="1:5" x14ac:dyDescent="0.2">
      <c r="A46" t="s">
        <v>899</v>
      </c>
      <c r="B46" t="s">
        <v>1633</v>
      </c>
      <c r="C46" t="s">
        <v>1648</v>
      </c>
      <c r="D46" t="s">
        <v>1680</v>
      </c>
      <c r="E46">
        <v>69.084000000000003</v>
      </c>
    </row>
    <row r="47" spans="1:5" x14ac:dyDescent="0.2">
      <c r="A47" t="s">
        <v>1583</v>
      </c>
      <c r="B47" t="s">
        <v>1633</v>
      </c>
      <c r="C47" t="s">
        <v>1648</v>
      </c>
      <c r="D47" t="s">
        <v>1681</v>
      </c>
      <c r="E47">
        <v>123.9546</v>
      </c>
    </row>
    <row r="48" spans="1:5" x14ac:dyDescent="0.2">
      <c r="A48" t="s">
        <v>758</v>
      </c>
      <c r="B48" t="s">
        <v>1633</v>
      </c>
      <c r="C48" t="s">
        <v>1682</v>
      </c>
      <c r="D48" t="s">
        <v>1683</v>
      </c>
      <c r="E48">
        <v>3.4293</v>
      </c>
    </row>
    <row r="49" spans="1:5" x14ac:dyDescent="0.2">
      <c r="A49" t="s">
        <v>1042</v>
      </c>
      <c r="B49" t="s">
        <v>1633</v>
      </c>
      <c r="C49" t="s">
        <v>1682</v>
      </c>
      <c r="D49" t="s">
        <v>1684</v>
      </c>
      <c r="E49">
        <v>3.2984</v>
      </c>
    </row>
    <row r="50" spans="1:5" x14ac:dyDescent="0.2">
      <c r="A50" t="s">
        <v>1535</v>
      </c>
      <c r="B50" t="s">
        <v>1633</v>
      </c>
      <c r="C50" t="s">
        <v>1682</v>
      </c>
      <c r="D50" t="s">
        <v>1685</v>
      </c>
      <c r="E50">
        <v>29.881599999999999</v>
      </c>
    </row>
    <row r="51" spans="1:5" x14ac:dyDescent="0.2">
      <c r="A51" t="s">
        <v>1080</v>
      </c>
      <c r="B51" t="s">
        <v>1633</v>
      </c>
      <c r="C51" t="s">
        <v>1682</v>
      </c>
      <c r="D51" t="s">
        <v>1686</v>
      </c>
      <c r="E51">
        <v>3.3527999999999998</v>
      </c>
    </row>
    <row r="52" spans="1:5" x14ac:dyDescent="0.2">
      <c r="A52" t="s">
        <v>1359</v>
      </c>
      <c r="B52" t="s">
        <v>1633</v>
      </c>
      <c r="C52" t="s">
        <v>1682</v>
      </c>
      <c r="D52" t="s">
        <v>1687</v>
      </c>
      <c r="E52">
        <v>48.500399999999999</v>
      </c>
    </row>
    <row r="53" spans="1:5" x14ac:dyDescent="0.2">
      <c r="A53" t="s">
        <v>1060</v>
      </c>
      <c r="B53" t="s">
        <v>1633</v>
      </c>
      <c r="C53" t="s">
        <v>1682</v>
      </c>
      <c r="D53" t="s">
        <v>1688</v>
      </c>
      <c r="E53">
        <v>15.180999999999999</v>
      </c>
    </row>
    <row r="54" spans="1:5" x14ac:dyDescent="0.2">
      <c r="A54" t="s">
        <v>1018</v>
      </c>
      <c r="B54" t="s">
        <v>1633</v>
      </c>
      <c r="C54" t="s">
        <v>1682</v>
      </c>
      <c r="D54" t="s">
        <v>1689</v>
      </c>
      <c r="E54">
        <v>3.3365999999999998</v>
      </c>
    </row>
    <row r="55" spans="1:5" x14ac:dyDescent="0.2">
      <c r="A55" t="s">
        <v>1023</v>
      </c>
      <c r="B55" t="s">
        <v>1633</v>
      </c>
      <c r="C55" t="s">
        <v>1682</v>
      </c>
      <c r="D55" t="s">
        <v>1690</v>
      </c>
      <c r="E55">
        <v>7.7615999999999996</v>
      </c>
    </row>
    <row r="56" spans="1:5" x14ac:dyDescent="0.2">
      <c r="A56" t="s">
        <v>1250</v>
      </c>
      <c r="B56" t="s">
        <v>1633</v>
      </c>
      <c r="C56" t="s">
        <v>1682</v>
      </c>
      <c r="D56" t="s">
        <v>1691</v>
      </c>
      <c r="E56">
        <v>38.163400000000003</v>
      </c>
    </row>
    <row r="57" spans="1:5" x14ac:dyDescent="0.2">
      <c r="A57" t="s">
        <v>1376</v>
      </c>
      <c r="B57" t="s">
        <v>1633</v>
      </c>
      <c r="C57" t="s">
        <v>1682</v>
      </c>
      <c r="D57" t="s">
        <v>1692</v>
      </c>
      <c r="E57">
        <v>6.0324</v>
      </c>
    </row>
    <row r="58" spans="1:5" x14ac:dyDescent="0.2">
      <c r="A58" t="s">
        <v>696</v>
      </c>
      <c r="B58" t="s">
        <v>1633</v>
      </c>
      <c r="C58" t="s">
        <v>1682</v>
      </c>
      <c r="D58" t="s">
        <v>1693</v>
      </c>
      <c r="E58">
        <v>30.644600000000001</v>
      </c>
    </row>
    <row r="59" spans="1:5" x14ac:dyDescent="0.2">
      <c r="A59" t="s">
        <v>1012</v>
      </c>
      <c r="B59" t="s">
        <v>1633</v>
      </c>
      <c r="C59" t="s">
        <v>1682</v>
      </c>
      <c r="D59" t="s">
        <v>1694</v>
      </c>
      <c r="E59">
        <v>16.4176</v>
      </c>
    </row>
    <row r="60" spans="1:5" x14ac:dyDescent="0.2">
      <c r="A60" t="s">
        <v>1599</v>
      </c>
      <c r="B60" t="s">
        <v>1633</v>
      </c>
      <c r="C60" t="s">
        <v>1682</v>
      </c>
      <c r="D60" t="s">
        <v>1695</v>
      </c>
      <c r="E60">
        <v>18.248699999999999</v>
      </c>
    </row>
    <row r="61" spans="1:5" x14ac:dyDescent="0.2">
      <c r="A61" t="s">
        <v>813</v>
      </c>
      <c r="B61" t="s">
        <v>1633</v>
      </c>
      <c r="C61" t="s">
        <v>1682</v>
      </c>
      <c r="D61" t="s">
        <v>1696</v>
      </c>
      <c r="E61">
        <v>4.0389999999999997</v>
      </c>
    </row>
    <row r="62" spans="1:5" x14ac:dyDescent="0.2">
      <c r="A62" t="s">
        <v>1498</v>
      </c>
      <c r="B62" t="s">
        <v>1633</v>
      </c>
      <c r="C62" t="s">
        <v>1682</v>
      </c>
      <c r="D62" t="s">
        <v>1697</v>
      </c>
      <c r="E62">
        <v>5.7618</v>
      </c>
    </row>
    <row r="63" spans="1:5" x14ac:dyDescent="0.2">
      <c r="A63" t="s">
        <v>755</v>
      </c>
      <c r="B63" t="s">
        <v>1633</v>
      </c>
      <c r="C63" t="s">
        <v>1682</v>
      </c>
      <c r="D63" t="s">
        <v>1698</v>
      </c>
      <c r="E63">
        <v>8.7872000000000003</v>
      </c>
    </row>
    <row r="64" spans="1:5" x14ac:dyDescent="0.2">
      <c r="A64" t="s">
        <v>911</v>
      </c>
      <c r="B64" t="s">
        <v>1633</v>
      </c>
      <c r="C64" t="s">
        <v>1682</v>
      </c>
      <c r="D64" t="s">
        <v>1699</v>
      </c>
      <c r="E64">
        <v>14.5068</v>
      </c>
    </row>
    <row r="65" spans="1:5" x14ac:dyDescent="0.2">
      <c r="A65" t="s">
        <v>1425</v>
      </c>
      <c r="B65" t="s">
        <v>1633</v>
      </c>
      <c r="C65" t="s">
        <v>1682</v>
      </c>
      <c r="D65" t="s">
        <v>1700</v>
      </c>
      <c r="E65">
        <v>8.01</v>
      </c>
    </row>
    <row r="66" spans="1:5" x14ac:dyDescent="0.2">
      <c r="A66" t="s">
        <v>989</v>
      </c>
      <c r="B66" t="s">
        <v>1633</v>
      </c>
      <c r="C66" t="s">
        <v>1682</v>
      </c>
      <c r="D66" t="s">
        <v>1701</v>
      </c>
      <c r="E66">
        <v>31.102599999999999</v>
      </c>
    </row>
    <row r="67" spans="1:5" x14ac:dyDescent="0.2">
      <c r="A67" t="s">
        <v>656</v>
      </c>
      <c r="B67" t="s">
        <v>1633</v>
      </c>
      <c r="C67" t="s">
        <v>1682</v>
      </c>
      <c r="D67" t="s">
        <v>1702</v>
      </c>
      <c r="E67">
        <v>13.5184</v>
      </c>
    </row>
    <row r="68" spans="1:5" x14ac:dyDescent="0.2">
      <c r="A68" t="s">
        <v>738</v>
      </c>
      <c r="B68" t="s">
        <v>1633</v>
      </c>
      <c r="C68" t="s">
        <v>1682</v>
      </c>
      <c r="D68" t="s">
        <v>1703</v>
      </c>
      <c r="E68">
        <v>7.6608000000000001</v>
      </c>
    </row>
    <row r="69" spans="1:5" x14ac:dyDescent="0.2">
      <c r="A69" t="s">
        <v>1581</v>
      </c>
      <c r="B69" t="s">
        <v>1633</v>
      </c>
      <c r="C69" t="s">
        <v>1682</v>
      </c>
      <c r="D69" t="s">
        <v>1704</v>
      </c>
      <c r="E69">
        <v>20.787199999999999</v>
      </c>
    </row>
    <row r="70" spans="1:5" x14ac:dyDescent="0.2">
      <c r="A70" t="s">
        <v>991</v>
      </c>
      <c r="B70" t="s">
        <v>1633</v>
      </c>
      <c r="C70" t="s">
        <v>1682</v>
      </c>
      <c r="D70" t="s">
        <v>1705</v>
      </c>
      <c r="E70">
        <v>2.8853</v>
      </c>
    </row>
    <row r="71" spans="1:5" x14ac:dyDescent="0.2">
      <c r="A71" t="s">
        <v>667</v>
      </c>
      <c r="B71" t="s">
        <v>1633</v>
      </c>
      <c r="C71" t="s">
        <v>1682</v>
      </c>
      <c r="D71" t="s">
        <v>1706</v>
      </c>
      <c r="E71">
        <v>2.1829999999999998</v>
      </c>
    </row>
    <row r="72" spans="1:5" x14ac:dyDescent="0.2">
      <c r="A72" t="s">
        <v>776</v>
      </c>
      <c r="B72" t="s">
        <v>1633</v>
      </c>
      <c r="C72" t="s">
        <v>1682</v>
      </c>
      <c r="D72" t="s">
        <v>1707</v>
      </c>
      <c r="E72">
        <v>14.9925</v>
      </c>
    </row>
    <row r="73" spans="1:5" x14ac:dyDescent="0.2">
      <c r="A73" t="s">
        <v>1437</v>
      </c>
      <c r="B73" t="s">
        <v>1633</v>
      </c>
      <c r="C73" t="s">
        <v>1682</v>
      </c>
      <c r="D73" t="s">
        <v>1708</v>
      </c>
      <c r="E73">
        <v>3.2896999999999998</v>
      </c>
    </row>
    <row r="74" spans="1:5" x14ac:dyDescent="0.2">
      <c r="A74" t="s">
        <v>1040</v>
      </c>
      <c r="B74" t="s">
        <v>1633</v>
      </c>
      <c r="C74" t="s">
        <v>1682</v>
      </c>
      <c r="D74" t="s">
        <v>1709</v>
      </c>
      <c r="E74">
        <v>5.2397999999999998</v>
      </c>
    </row>
    <row r="75" spans="1:5" x14ac:dyDescent="0.2">
      <c r="A75" t="s">
        <v>927</v>
      </c>
      <c r="B75" t="s">
        <v>1633</v>
      </c>
      <c r="C75" t="s">
        <v>1682</v>
      </c>
      <c r="D75" t="s">
        <v>1710</v>
      </c>
      <c r="E75">
        <v>5.6879999999999997</v>
      </c>
    </row>
    <row r="76" spans="1:5" x14ac:dyDescent="0.2">
      <c r="A76" t="s">
        <v>1399</v>
      </c>
      <c r="B76" t="s">
        <v>1633</v>
      </c>
      <c r="C76" t="s">
        <v>1682</v>
      </c>
      <c r="D76" t="s">
        <v>1711</v>
      </c>
      <c r="E76">
        <v>4.1496000000000004</v>
      </c>
    </row>
    <row r="77" spans="1:5" x14ac:dyDescent="0.2">
      <c r="A77" t="s">
        <v>1248</v>
      </c>
      <c r="B77" t="s">
        <v>1633</v>
      </c>
      <c r="C77" t="s">
        <v>1682</v>
      </c>
      <c r="D77" t="s">
        <v>1712</v>
      </c>
      <c r="E77">
        <v>2.8652000000000002</v>
      </c>
    </row>
    <row r="78" spans="1:5" x14ac:dyDescent="0.2">
      <c r="A78" t="s">
        <v>612</v>
      </c>
      <c r="B78" t="s">
        <v>1633</v>
      </c>
      <c r="C78" t="s">
        <v>1682</v>
      </c>
      <c r="D78" t="s">
        <v>1713</v>
      </c>
      <c r="E78">
        <v>6.968</v>
      </c>
    </row>
    <row r="79" spans="1:5" x14ac:dyDescent="0.2">
      <c r="A79" t="s">
        <v>1595</v>
      </c>
      <c r="B79" t="s">
        <v>1633</v>
      </c>
      <c r="C79" t="s">
        <v>1682</v>
      </c>
      <c r="D79" t="s">
        <v>1714</v>
      </c>
      <c r="E79">
        <v>17.942399999999999</v>
      </c>
    </row>
    <row r="80" spans="1:5" x14ac:dyDescent="0.2">
      <c r="A80" t="s">
        <v>1076</v>
      </c>
      <c r="B80" t="s">
        <v>1633</v>
      </c>
      <c r="C80" t="s">
        <v>1682</v>
      </c>
      <c r="D80" t="s">
        <v>1715</v>
      </c>
      <c r="E80">
        <v>2.9883999999999999</v>
      </c>
    </row>
    <row r="81" spans="1:5" x14ac:dyDescent="0.2">
      <c r="A81" t="s">
        <v>1518</v>
      </c>
      <c r="B81" t="s">
        <v>1633</v>
      </c>
      <c r="C81" t="s">
        <v>1682</v>
      </c>
      <c r="D81" t="s">
        <v>1716</v>
      </c>
      <c r="E81">
        <v>65.741600000000005</v>
      </c>
    </row>
    <row r="82" spans="1:5" x14ac:dyDescent="0.2">
      <c r="A82" t="s">
        <v>1176</v>
      </c>
      <c r="B82" t="s">
        <v>1633</v>
      </c>
      <c r="C82" t="s">
        <v>1682</v>
      </c>
      <c r="D82" t="s">
        <v>1717</v>
      </c>
      <c r="E82">
        <v>19.511399999999998</v>
      </c>
    </row>
    <row r="83" spans="1:5" x14ac:dyDescent="0.2">
      <c r="A83" t="s">
        <v>1323</v>
      </c>
      <c r="B83" t="s">
        <v>1633</v>
      </c>
      <c r="C83" t="s">
        <v>1682</v>
      </c>
      <c r="D83" t="s">
        <v>1718</v>
      </c>
      <c r="E83">
        <v>0.98560000000000003</v>
      </c>
    </row>
    <row r="84" spans="1:5" x14ac:dyDescent="0.2">
      <c r="A84" t="s">
        <v>685</v>
      </c>
      <c r="B84" t="s">
        <v>1633</v>
      </c>
      <c r="C84" t="s">
        <v>1682</v>
      </c>
      <c r="D84" t="s">
        <v>1719</v>
      </c>
      <c r="E84">
        <v>8.6620000000000008</v>
      </c>
    </row>
    <row r="85" spans="1:5" x14ac:dyDescent="0.2">
      <c r="A85" t="s">
        <v>1373</v>
      </c>
      <c r="B85" t="s">
        <v>1633</v>
      </c>
      <c r="C85" t="s">
        <v>1682</v>
      </c>
      <c r="D85" t="s">
        <v>1720</v>
      </c>
      <c r="E85">
        <v>35.524799999999999</v>
      </c>
    </row>
    <row r="86" spans="1:5" x14ac:dyDescent="0.2">
      <c r="A86" t="s">
        <v>677</v>
      </c>
      <c r="B86" t="s">
        <v>1633</v>
      </c>
      <c r="C86" t="s">
        <v>1682</v>
      </c>
      <c r="D86" t="s">
        <v>1721</v>
      </c>
      <c r="E86">
        <v>58.066800000000001</v>
      </c>
    </row>
    <row r="87" spans="1:5" x14ac:dyDescent="0.2">
      <c r="A87" t="s">
        <v>1093</v>
      </c>
      <c r="B87" t="s">
        <v>1633</v>
      </c>
      <c r="C87" t="s">
        <v>1682</v>
      </c>
      <c r="D87" t="s">
        <v>1722</v>
      </c>
      <c r="E87">
        <v>7.2624000000000004</v>
      </c>
    </row>
    <row r="88" spans="1:5" x14ac:dyDescent="0.2">
      <c r="A88" t="s">
        <v>1389</v>
      </c>
      <c r="B88" t="s">
        <v>1633</v>
      </c>
      <c r="C88" t="s">
        <v>1682</v>
      </c>
      <c r="D88" t="s">
        <v>1723</v>
      </c>
      <c r="E88">
        <v>67.776600000000002</v>
      </c>
    </row>
    <row r="89" spans="1:5" x14ac:dyDescent="0.2">
      <c r="A89" t="s">
        <v>962</v>
      </c>
      <c r="B89" t="s">
        <v>1633</v>
      </c>
      <c r="C89" t="s">
        <v>1682</v>
      </c>
      <c r="D89" t="s">
        <v>1724</v>
      </c>
      <c r="E89">
        <v>6.9160000000000004</v>
      </c>
    </row>
    <row r="90" spans="1:5" x14ac:dyDescent="0.2">
      <c r="A90" t="s">
        <v>976</v>
      </c>
      <c r="B90" t="s">
        <v>1633</v>
      </c>
      <c r="C90" t="s">
        <v>1682</v>
      </c>
      <c r="D90" t="s">
        <v>1725</v>
      </c>
      <c r="E90">
        <v>6.7535999999999996</v>
      </c>
    </row>
    <row r="91" spans="1:5" x14ac:dyDescent="0.2">
      <c r="A91" t="s">
        <v>1436</v>
      </c>
      <c r="B91" t="s">
        <v>1633</v>
      </c>
      <c r="C91" t="s">
        <v>1682</v>
      </c>
      <c r="D91" t="s">
        <v>1726</v>
      </c>
      <c r="E91">
        <v>10.0848</v>
      </c>
    </row>
    <row r="92" spans="1:5" x14ac:dyDescent="0.2">
      <c r="A92" t="s">
        <v>1106</v>
      </c>
      <c r="B92" t="s">
        <v>1633</v>
      </c>
      <c r="C92" t="s">
        <v>1682</v>
      </c>
      <c r="D92" t="s">
        <v>1727</v>
      </c>
      <c r="E92">
        <v>38.978999999999999</v>
      </c>
    </row>
    <row r="93" spans="1:5" x14ac:dyDescent="0.2">
      <c r="A93" t="s">
        <v>715</v>
      </c>
      <c r="B93" t="s">
        <v>1633</v>
      </c>
      <c r="C93" t="s">
        <v>1682</v>
      </c>
      <c r="D93" t="s">
        <v>1728</v>
      </c>
      <c r="E93">
        <v>75.701999999999998</v>
      </c>
    </row>
    <row r="94" spans="1:5" x14ac:dyDescent="0.2">
      <c r="A94" t="s">
        <v>796</v>
      </c>
      <c r="B94" t="s">
        <v>1633</v>
      </c>
      <c r="C94" t="s">
        <v>1682</v>
      </c>
      <c r="D94" t="s">
        <v>1729</v>
      </c>
      <c r="E94">
        <v>2.6751999999999998</v>
      </c>
    </row>
    <row r="95" spans="1:5" x14ac:dyDescent="0.2">
      <c r="A95" t="s">
        <v>683</v>
      </c>
      <c r="B95" t="s">
        <v>1633</v>
      </c>
      <c r="C95" t="s">
        <v>1682</v>
      </c>
      <c r="D95" t="s">
        <v>1730</v>
      </c>
      <c r="E95">
        <v>143.78200000000001</v>
      </c>
    </row>
    <row r="96" spans="1:5" x14ac:dyDescent="0.2">
      <c r="A96" t="s">
        <v>778</v>
      </c>
      <c r="B96" t="s">
        <v>1633</v>
      </c>
      <c r="C96" t="s">
        <v>1682</v>
      </c>
      <c r="D96" t="s">
        <v>1731</v>
      </c>
      <c r="E96">
        <v>3.0912000000000002</v>
      </c>
    </row>
    <row r="97" spans="1:5" x14ac:dyDescent="0.2">
      <c r="A97" t="s">
        <v>804</v>
      </c>
      <c r="B97" t="s">
        <v>1633</v>
      </c>
      <c r="C97" t="s">
        <v>1682</v>
      </c>
      <c r="D97" t="s">
        <v>1732</v>
      </c>
      <c r="E97">
        <v>25.145600000000002</v>
      </c>
    </row>
    <row r="98" spans="1:5" x14ac:dyDescent="0.2">
      <c r="A98" t="s">
        <v>1314</v>
      </c>
      <c r="B98" t="s">
        <v>1633</v>
      </c>
      <c r="C98" t="s">
        <v>1682</v>
      </c>
      <c r="D98" t="s">
        <v>1733</v>
      </c>
      <c r="E98">
        <v>3.4527999999999999</v>
      </c>
    </row>
    <row r="99" spans="1:5" x14ac:dyDescent="0.2">
      <c r="A99" t="s">
        <v>1304</v>
      </c>
      <c r="B99" t="s">
        <v>1633</v>
      </c>
      <c r="C99" t="s">
        <v>1682</v>
      </c>
      <c r="D99" t="s">
        <v>1734</v>
      </c>
      <c r="E99">
        <v>42.817999999999998</v>
      </c>
    </row>
    <row r="100" spans="1:5" x14ac:dyDescent="0.2">
      <c r="A100" t="s">
        <v>897</v>
      </c>
      <c r="B100" t="s">
        <v>1633</v>
      </c>
      <c r="C100" t="s">
        <v>1682</v>
      </c>
      <c r="D100" t="s">
        <v>1735</v>
      </c>
      <c r="E100">
        <v>101.3652</v>
      </c>
    </row>
    <row r="101" spans="1:5" x14ac:dyDescent="0.2">
      <c r="A101" t="s">
        <v>1346</v>
      </c>
      <c r="B101" t="s">
        <v>1633</v>
      </c>
      <c r="C101" t="s">
        <v>1682</v>
      </c>
      <c r="D101" t="s">
        <v>1736</v>
      </c>
      <c r="E101">
        <v>36.225000000000001</v>
      </c>
    </row>
    <row r="102" spans="1:5" x14ac:dyDescent="0.2">
      <c r="A102" t="s">
        <v>872</v>
      </c>
      <c r="B102" t="s">
        <v>1633</v>
      </c>
      <c r="C102" t="s">
        <v>1682</v>
      </c>
      <c r="D102" t="s">
        <v>1737</v>
      </c>
      <c r="E102">
        <v>43.479199999999999</v>
      </c>
    </row>
    <row r="103" spans="1:5" x14ac:dyDescent="0.2">
      <c r="A103" t="s">
        <v>1488</v>
      </c>
      <c r="B103" t="s">
        <v>1633</v>
      </c>
      <c r="C103" t="s">
        <v>1682</v>
      </c>
      <c r="D103" t="s">
        <v>1738</v>
      </c>
      <c r="E103">
        <v>10.927199999999999</v>
      </c>
    </row>
    <row r="104" spans="1:5" x14ac:dyDescent="0.2">
      <c r="A104" t="s">
        <v>1050</v>
      </c>
      <c r="B104" t="s">
        <v>1633</v>
      </c>
      <c r="C104" t="s">
        <v>1739</v>
      </c>
      <c r="D104" t="s">
        <v>1740</v>
      </c>
      <c r="E104">
        <v>180.81549999999999</v>
      </c>
    </row>
    <row r="105" spans="1:5" x14ac:dyDescent="0.2">
      <c r="A105" t="s">
        <v>931</v>
      </c>
      <c r="B105" t="s">
        <v>1633</v>
      </c>
      <c r="C105" t="s">
        <v>1739</v>
      </c>
      <c r="D105" t="s">
        <v>1741</v>
      </c>
      <c r="E105">
        <v>137.6891</v>
      </c>
    </row>
    <row r="106" spans="1:5" x14ac:dyDescent="0.2">
      <c r="A106" t="s">
        <v>943</v>
      </c>
      <c r="B106" t="s">
        <v>1633</v>
      </c>
      <c r="C106" t="s">
        <v>1739</v>
      </c>
      <c r="D106" t="s">
        <v>1742</v>
      </c>
      <c r="E106">
        <v>59.237099999999998</v>
      </c>
    </row>
    <row r="107" spans="1:5" x14ac:dyDescent="0.2">
      <c r="A107" t="s">
        <v>1226</v>
      </c>
      <c r="B107" t="s">
        <v>1633</v>
      </c>
      <c r="C107" t="s">
        <v>1739</v>
      </c>
      <c r="D107" t="s">
        <v>1743</v>
      </c>
      <c r="E107">
        <v>36.432600000000001</v>
      </c>
    </row>
    <row r="108" spans="1:5" x14ac:dyDescent="0.2">
      <c r="A108" t="s">
        <v>864</v>
      </c>
      <c r="B108" t="s">
        <v>1633</v>
      </c>
      <c r="C108" t="s">
        <v>1739</v>
      </c>
      <c r="D108" t="s">
        <v>1744</v>
      </c>
      <c r="E108">
        <v>139.84620000000001</v>
      </c>
    </row>
    <row r="109" spans="1:5" x14ac:dyDescent="0.2">
      <c r="A109" t="s">
        <v>814</v>
      </c>
      <c r="B109" t="s">
        <v>1633</v>
      </c>
      <c r="C109" t="s">
        <v>1739</v>
      </c>
      <c r="D109" t="s">
        <v>1745</v>
      </c>
      <c r="E109">
        <v>347.85219999999998</v>
      </c>
    </row>
    <row r="110" spans="1:5" x14ac:dyDescent="0.2">
      <c r="A110" t="s">
        <v>1474</v>
      </c>
      <c r="B110" t="s">
        <v>1633</v>
      </c>
      <c r="C110" t="s">
        <v>1739</v>
      </c>
      <c r="D110" t="s">
        <v>1746</v>
      </c>
      <c r="E110">
        <v>406.30590000000001</v>
      </c>
    </row>
    <row r="111" spans="1:5" x14ac:dyDescent="0.2">
      <c r="A111" t="s">
        <v>753</v>
      </c>
      <c r="B111" t="s">
        <v>1633</v>
      </c>
      <c r="C111" t="s">
        <v>1739</v>
      </c>
      <c r="D111" t="s">
        <v>1747</v>
      </c>
      <c r="E111">
        <v>199.20359999999999</v>
      </c>
    </row>
    <row r="112" spans="1:5" x14ac:dyDescent="0.2">
      <c r="A112" t="s">
        <v>1222</v>
      </c>
      <c r="B112" t="s">
        <v>1633</v>
      </c>
      <c r="C112" t="s">
        <v>1739</v>
      </c>
      <c r="D112" t="s">
        <v>1748</v>
      </c>
      <c r="E112">
        <v>128.333</v>
      </c>
    </row>
    <row r="113" spans="1:5" x14ac:dyDescent="0.2">
      <c r="A113" t="s">
        <v>1194</v>
      </c>
      <c r="B113" t="s">
        <v>1633</v>
      </c>
      <c r="C113" t="s">
        <v>1739</v>
      </c>
      <c r="D113" t="s">
        <v>1749</v>
      </c>
      <c r="E113">
        <v>59.547600000000003</v>
      </c>
    </row>
    <row r="114" spans="1:5" x14ac:dyDescent="0.2">
      <c r="A114" t="s">
        <v>1182</v>
      </c>
      <c r="B114" t="s">
        <v>1633</v>
      </c>
      <c r="C114" t="s">
        <v>1739</v>
      </c>
      <c r="D114" t="s">
        <v>1750</v>
      </c>
      <c r="E114">
        <v>188.8665</v>
      </c>
    </row>
    <row r="115" spans="1:5" x14ac:dyDescent="0.2">
      <c r="A115" t="s">
        <v>1450</v>
      </c>
      <c r="B115" t="s">
        <v>1633</v>
      </c>
      <c r="C115" t="s">
        <v>1739</v>
      </c>
      <c r="D115" t="s">
        <v>1751</v>
      </c>
      <c r="E115">
        <v>127.92789999999999</v>
      </c>
    </row>
    <row r="116" spans="1:5" x14ac:dyDescent="0.2">
      <c r="A116" t="s">
        <v>832</v>
      </c>
      <c r="B116" t="s">
        <v>1633</v>
      </c>
      <c r="C116" t="s">
        <v>1739</v>
      </c>
      <c r="D116" t="s">
        <v>1752</v>
      </c>
      <c r="E116">
        <v>115.6086</v>
      </c>
    </row>
    <row r="117" spans="1:5" x14ac:dyDescent="0.2">
      <c r="A117" t="s">
        <v>1368</v>
      </c>
      <c r="B117" t="s">
        <v>1633</v>
      </c>
      <c r="C117" t="s">
        <v>1739</v>
      </c>
      <c r="D117" t="s">
        <v>1753</v>
      </c>
      <c r="E117">
        <v>158.8185</v>
      </c>
    </row>
    <row r="118" spans="1:5" x14ac:dyDescent="0.2">
      <c r="A118" t="s">
        <v>1044</v>
      </c>
      <c r="B118" t="s">
        <v>1633</v>
      </c>
      <c r="C118" t="s">
        <v>1739</v>
      </c>
      <c r="D118" t="s">
        <v>1754</v>
      </c>
      <c r="E118">
        <v>446.29379999999998</v>
      </c>
    </row>
    <row r="119" spans="1:5" x14ac:dyDescent="0.2">
      <c r="A119" t="s">
        <v>1078</v>
      </c>
      <c r="B119" t="s">
        <v>1633</v>
      </c>
      <c r="C119" t="s">
        <v>1739</v>
      </c>
      <c r="D119" t="s">
        <v>1755</v>
      </c>
      <c r="E119">
        <v>227.59379999999999</v>
      </c>
    </row>
    <row r="120" spans="1:5" x14ac:dyDescent="0.2">
      <c r="A120" t="s">
        <v>1485</v>
      </c>
      <c r="B120" t="s">
        <v>1633</v>
      </c>
      <c r="C120" t="s">
        <v>1739</v>
      </c>
      <c r="D120" t="s">
        <v>1756</v>
      </c>
      <c r="E120">
        <v>300.73500000000001</v>
      </c>
    </row>
    <row r="121" spans="1:5" x14ac:dyDescent="0.2">
      <c r="A121" t="s">
        <v>883</v>
      </c>
      <c r="B121" t="s">
        <v>1633</v>
      </c>
      <c r="C121" t="s">
        <v>1739</v>
      </c>
      <c r="D121" t="s">
        <v>1757</v>
      </c>
      <c r="E121">
        <v>97.102199999999996</v>
      </c>
    </row>
    <row r="122" spans="1:5" x14ac:dyDescent="0.2">
      <c r="A122" t="s">
        <v>1331</v>
      </c>
      <c r="B122" t="s">
        <v>1633</v>
      </c>
      <c r="C122" t="s">
        <v>1739</v>
      </c>
      <c r="D122" t="s">
        <v>1758</v>
      </c>
      <c r="E122">
        <v>269.52379999999999</v>
      </c>
    </row>
    <row r="123" spans="1:5" x14ac:dyDescent="0.2">
      <c r="A123" t="s">
        <v>1418</v>
      </c>
      <c r="B123" t="s">
        <v>1633</v>
      </c>
      <c r="C123" t="s">
        <v>1739</v>
      </c>
      <c r="D123" t="s">
        <v>1759</v>
      </c>
      <c r="E123">
        <v>87.328800000000001</v>
      </c>
    </row>
    <row r="124" spans="1:5" x14ac:dyDescent="0.2">
      <c r="A124" t="s">
        <v>1272</v>
      </c>
      <c r="B124" t="s">
        <v>1633</v>
      </c>
      <c r="C124" t="s">
        <v>1739</v>
      </c>
      <c r="D124" t="s">
        <v>1760</v>
      </c>
      <c r="E124">
        <v>74.591999999999999</v>
      </c>
    </row>
    <row r="125" spans="1:5" x14ac:dyDescent="0.2">
      <c r="A125" t="s">
        <v>618</v>
      </c>
      <c r="B125" t="s">
        <v>1633</v>
      </c>
      <c r="C125" t="s">
        <v>1739</v>
      </c>
      <c r="D125" t="s">
        <v>1761</v>
      </c>
      <c r="E125">
        <v>238.6036</v>
      </c>
    </row>
    <row r="126" spans="1:5" x14ac:dyDescent="0.2">
      <c r="A126" t="s">
        <v>1527</v>
      </c>
      <c r="B126" t="s">
        <v>1633</v>
      </c>
      <c r="C126" t="s">
        <v>1739</v>
      </c>
      <c r="D126" t="s">
        <v>1762</v>
      </c>
      <c r="E126">
        <v>111.517</v>
      </c>
    </row>
    <row r="127" spans="1:5" x14ac:dyDescent="0.2">
      <c r="A127" t="s">
        <v>630</v>
      </c>
      <c r="B127" t="s">
        <v>1633</v>
      </c>
      <c r="C127" t="s">
        <v>1739</v>
      </c>
      <c r="D127" t="s">
        <v>1763</v>
      </c>
      <c r="E127">
        <v>255.1584</v>
      </c>
    </row>
    <row r="128" spans="1:5" x14ac:dyDescent="0.2">
      <c r="A128" t="s">
        <v>1137</v>
      </c>
      <c r="B128" t="s">
        <v>1764</v>
      </c>
      <c r="C128" t="s">
        <v>1765</v>
      </c>
      <c r="D128" t="s">
        <v>1766</v>
      </c>
      <c r="E128">
        <v>22.736000000000001</v>
      </c>
    </row>
    <row r="129" spans="1:5" x14ac:dyDescent="0.2">
      <c r="A129" t="s">
        <v>785</v>
      </c>
      <c r="B129" t="s">
        <v>1764</v>
      </c>
      <c r="C129" t="s">
        <v>1765</v>
      </c>
      <c r="D129" t="s">
        <v>1767</v>
      </c>
      <c r="E129">
        <v>37.970799999999997</v>
      </c>
    </row>
    <row r="130" spans="1:5" x14ac:dyDescent="0.2">
      <c r="A130" t="s">
        <v>852</v>
      </c>
      <c r="B130" t="s">
        <v>1764</v>
      </c>
      <c r="C130" t="s">
        <v>1765</v>
      </c>
      <c r="D130" t="s">
        <v>1768</v>
      </c>
      <c r="E130">
        <v>7.6050000000000004</v>
      </c>
    </row>
    <row r="131" spans="1:5" x14ac:dyDescent="0.2">
      <c r="A131" t="s">
        <v>1408</v>
      </c>
      <c r="B131" t="s">
        <v>1764</v>
      </c>
      <c r="C131" t="s">
        <v>1765</v>
      </c>
      <c r="D131" t="s">
        <v>1769</v>
      </c>
      <c r="E131">
        <v>236.26079999999999</v>
      </c>
    </row>
    <row r="132" spans="1:5" x14ac:dyDescent="0.2">
      <c r="A132" t="s">
        <v>815</v>
      </c>
      <c r="B132" t="s">
        <v>1764</v>
      </c>
      <c r="C132" t="s">
        <v>1765</v>
      </c>
      <c r="D132" t="s">
        <v>1770</v>
      </c>
      <c r="E132">
        <v>9.2157999999999998</v>
      </c>
    </row>
    <row r="133" spans="1:5" x14ac:dyDescent="0.2">
      <c r="A133" t="s">
        <v>721</v>
      </c>
      <c r="B133" t="s">
        <v>1764</v>
      </c>
      <c r="C133" t="s">
        <v>1765</v>
      </c>
      <c r="D133" t="s">
        <v>1771</v>
      </c>
      <c r="E133">
        <v>90.734999999999999</v>
      </c>
    </row>
    <row r="134" spans="1:5" x14ac:dyDescent="0.2">
      <c r="A134" t="s">
        <v>848</v>
      </c>
      <c r="B134" t="s">
        <v>1764</v>
      </c>
      <c r="C134" t="s">
        <v>1765</v>
      </c>
      <c r="D134" t="s">
        <v>1772</v>
      </c>
      <c r="E134">
        <v>14.5944</v>
      </c>
    </row>
    <row r="135" spans="1:5" x14ac:dyDescent="0.2">
      <c r="A135" t="s">
        <v>1497</v>
      </c>
      <c r="B135" t="s">
        <v>1764</v>
      </c>
      <c r="C135" t="s">
        <v>1765</v>
      </c>
      <c r="D135" t="s">
        <v>1773</v>
      </c>
      <c r="E135">
        <v>56.335999999999999</v>
      </c>
    </row>
    <row r="136" spans="1:5" x14ac:dyDescent="0.2">
      <c r="A136" t="s">
        <v>1396</v>
      </c>
      <c r="B136" t="s">
        <v>1764</v>
      </c>
      <c r="C136" t="s">
        <v>1765</v>
      </c>
      <c r="D136" t="s">
        <v>1774</v>
      </c>
      <c r="E136">
        <v>8.0153999999999996</v>
      </c>
    </row>
    <row r="137" spans="1:5" x14ac:dyDescent="0.2">
      <c r="A137" t="s">
        <v>1058</v>
      </c>
      <c r="B137" t="s">
        <v>1764</v>
      </c>
      <c r="C137" t="s">
        <v>1765</v>
      </c>
      <c r="D137" t="s">
        <v>1775</v>
      </c>
      <c r="E137">
        <v>120.96</v>
      </c>
    </row>
    <row r="138" spans="1:5" x14ac:dyDescent="0.2">
      <c r="A138" t="s">
        <v>665</v>
      </c>
      <c r="B138" t="s">
        <v>1764</v>
      </c>
      <c r="C138" t="s">
        <v>1765</v>
      </c>
      <c r="D138" t="s">
        <v>1776</v>
      </c>
      <c r="E138">
        <v>34.491799999999998</v>
      </c>
    </row>
    <row r="139" spans="1:5" x14ac:dyDescent="0.2">
      <c r="A139" t="s">
        <v>1205</v>
      </c>
      <c r="B139" t="s">
        <v>1764</v>
      </c>
      <c r="C139" t="s">
        <v>1765</v>
      </c>
      <c r="D139" t="s">
        <v>1777</v>
      </c>
      <c r="E139">
        <v>2.8786</v>
      </c>
    </row>
    <row r="140" spans="1:5" x14ac:dyDescent="0.2">
      <c r="A140" t="s">
        <v>788</v>
      </c>
      <c r="B140" t="s">
        <v>1764</v>
      </c>
      <c r="C140" t="s">
        <v>1765</v>
      </c>
      <c r="D140" t="s">
        <v>1778</v>
      </c>
      <c r="E140">
        <v>14.157</v>
      </c>
    </row>
    <row r="141" spans="1:5" x14ac:dyDescent="0.2">
      <c r="A141" t="s">
        <v>1553</v>
      </c>
      <c r="B141" t="s">
        <v>1764</v>
      </c>
      <c r="C141" t="s">
        <v>1765</v>
      </c>
      <c r="D141" t="s">
        <v>1779</v>
      </c>
      <c r="E141">
        <v>38.5336</v>
      </c>
    </row>
    <row r="142" spans="1:5" x14ac:dyDescent="0.2">
      <c r="A142" t="s">
        <v>985</v>
      </c>
      <c r="B142" t="s">
        <v>1764</v>
      </c>
      <c r="C142" t="s">
        <v>1765</v>
      </c>
      <c r="D142" t="s">
        <v>1780</v>
      </c>
      <c r="E142">
        <v>52.517800000000001</v>
      </c>
    </row>
    <row r="143" spans="1:5" x14ac:dyDescent="0.2">
      <c r="A143" t="s">
        <v>1296</v>
      </c>
      <c r="B143" t="s">
        <v>1764</v>
      </c>
      <c r="C143" t="s">
        <v>1765</v>
      </c>
      <c r="D143" t="s">
        <v>1781</v>
      </c>
      <c r="E143">
        <v>205.56630000000001</v>
      </c>
    </row>
    <row r="144" spans="1:5" x14ac:dyDescent="0.2">
      <c r="A144" t="s">
        <v>1123</v>
      </c>
      <c r="B144" t="s">
        <v>1764</v>
      </c>
      <c r="C144" t="s">
        <v>1765</v>
      </c>
      <c r="D144" t="s">
        <v>1782</v>
      </c>
      <c r="E144">
        <v>48.636000000000003</v>
      </c>
    </row>
    <row r="145" spans="1:5" x14ac:dyDescent="0.2">
      <c r="A145" t="s">
        <v>609</v>
      </c>
      <c r="B145" t="s">
        <v>1764</v>
      </c>
      <c r="C145" t="s">
        <v>1765</v>
      </c>
      <c r="D145" t="s">
        <v>1783</v>
      </c>
      <c r="E145">
        <v>85.105999999999995</v>
      </c>
    </row>
    <row r="146" spans="1:5" x14ac:dyDescent="0.2">
      <c r="A146" t="s">
        <v>859</v>
      </c>
      <c r="B146" t="s">
        <v>1764</v>
      </c>
      <c r="C146" t="s">
        <v>1765</v>
      </c>
      <c r="D146" t="s">
        <v>1784</v>
      </c>
      <c r="E146">
        <v>19.072800000000001</v>
      </c>
    </row>
    <row r="147" spans="1:5" x14ac:dyDescent="0.2">
      <c r="A147" t="s">
        <v>1428</v>
      </c>
      <c r="B147" t="s">
        <v>1764</v>
      </c>
      <c r="C147" t="s">
        <v>1765</v>
      </c>
      <c r="D147" t="s">
        <v>1785</v>
      </c>
      <c r="E147">
        <v>16.085999999999999</v>
      </c>
    </row>
    <row r="148" spans="1:5" x14ac:dyDescent="0.2">
      <c r="A148" t="s">
        <v>884</v>
      </c>
      <c r="B148" t="s">
        <v>1764</v>
      </c>
      <c r="C148" t="s">
        <v>1765</v>
      </c>
      <c r="D148" t="s">
        <v>1786</v>
      </c>
      <c r="E148">
        <v>122.6254</v>
      </c>
    </row>
    <row r="149" spans="1:5" x14ac:dyDescent="0.2">
      <c r="A149" t="s">
        <v>1522</v>
      </c>
      <c r="B149" t="s">
        <v>1764</v>
      </c>
      <c r="C149" t="s">
        <v>1765</v>
      </c>
      <c r="D149" t="s">
        <v>1787</v>
      </c>
      <c r="E149">
        <v>10.3378</v>
      </c>
    </row>
    <row r="150" spans="1:5" x14ac:dyDescent="0.2">
      <c r="A150" t="s">
        <v>1243</v>
      </c>
      <c r="B150" t="s">
        <v>1764</v>
      </c>
      <c r="C150" t="s">
        <v>1765</v>
      </c>
      <c r="D150" t="s">
        <v>1788</v>
      </c>
      <c r="E150">
        <v>8.0586000000000002</v>
      </c>
    </row>
    <row r="151" spans="1:5" x14ac:dyDescent="0.2">
      <c r="A151" t="s">
        <v>1461</v>
      </c>
      <c r="B151" t="s">
        <v>1764</v>
      </c>
      <c r="C151" t="s">
        <v>1765</v>
      </c>
      <c r="D151" t="s">
        <v>1789</v>
      </c>
      <c r="E151">
        <v>30.734999999999999</v>
      </c>
    </row>
    <row r="152" spans="1:5" x14ac:dyDescent="0.2">
      <c r="A152" t="s">
        <v>873</v>
      </c>
      <c r="B152" t="s">
        <v>1764</v>
      </c>
      <c r="C152" t="s">
        <v>1765</v>
      </c>
      <c r="D152" t="s">
        <v>1790</v>
      </c>
      <c r="E152">
        <v>57.715200000000003</v>
      </c>
    </row>
    <row r="153" spans="1:5" x14ac:dyDescent="0.2">
      <c r="A153" t="s">
        <v>1557</v>
      </c>
      <c r="B153" t="s">
        <v>1764</v>
      </c>
      <c r="C153" t="s">
        <v>1765</v>
      </c>
      <c r="D153" t="s">
        <v>1791</v>
      </c>
      <c r="E153">
        <v>7.4711999999999996</v>
      </c>
    </row>
    <row r="154" spans="1:5" x14ac:dyDescent="0.2">
      <c r="A154" t="s">
        <v>1352</v>
      </c>
      <c r="B154" t="s">
        <v>1764</v>
      </c>
      <c r="C154" t="s">
        <v>1765</v>
      </c>
      <c r="D154" t="s">
        <v>1792</v>
      </c>
      <c r="E154">
        <v>5.6721000000000004</v>
      </c>
    </row>
    <row r="155" spans="1:5" x14ac:dyDescent="0.2">
      <c r="A155" t="s">
        <v>1057</v>
      </c>
      <c r="B155" t="s">
        <v>1764</v>
      </c>
      <c r="C155" t="s">
        <v>1793</v>
      </c>
      <c r="D155" t="s">
        <v>1794</v>
      </c>
      <c r="E155">
        <v>4.1849999999999996</v>
      </c>
    </row>
    <row r="156" spans="1:5" x14ac:dyDescent="0.2">
      <c r="A156" t="s">
        <v>829</v>
      </c>
      <c r="B156" t="s">
        <v>1764</v>
      </c>
      <c r="C156" t="s">
        <v>1793</v>
      </c>
      <c r="D156" t="s">
        <v>1795</v>
      </c>
      <c r="E156">
        <v>2.3288000000000002</v>
      </c>
    </row>
    <row r="157" spans="1:5" x14ac:dyDescent="0.2">
      <c r="A157" t="s">
        <v>1209</v>
      </c>
      <c r="B157" t="s">
        <v>1764</v>
      </c>
      <c r="C157" t="s">
        <v>1793</v>
      </c>
      <c r="D157" t="s">
        <v>1796</v>
      </c>
      <c r="E157">
        <v>2.0571999999999999</v>
      </c>
    </row>
    <row r="158" spans="1:5" x14ac:dyDescent="0.2">
      <c r="A158" t="s">
        <v>1579</v>
      </c>
      <c r="B158" t="s">
        <v>1764</v>
      </c>
      <c r="C158" t="s">
        <v>1793</v>
      </c>
      <c r="D158" t="s">
        <v>1797</v>
      </c>
      <c r="E158">
        <v>26.585999999999999</v>
      </c>
    </row>
    <row r="159" spans="1:5" x14ac:dyDescent="0.2">
      <c r="A159" t="s">
        <v>1095</v>
      </c>
      <c r="B159" t="s">
        <v>1764</v>
      </c>
      <c r="C159" t="s">
        <v>1793</v>
      </c>
      <c r="D159" t="s">
        <v>1798</v>
      </c>
      <c r="E159">
        <v>2.2302</v>
      </c>
    </row>
    <row r="160" spans="1:5" x14ac:dyDescent="0.2">
      <c r="A160" t="s">
        <v>1479</v>
      </c>
      <c r="B160" t="s">
        <v>1764</v>
      </c>
      <c r="C160" t="s">
        <v>1793</v>
      </c>
      <c r="D160" t="s">
        <v>1799</v>
      </c>
      <c r="E160">
        <v>14.6816</v>
      </c>
    </row>
    <row r="161" spans="1:5" x14ac:dyDescent="0.2">
      <c r="A161" t="s">
        <v>627</v>
      </c>
      <c r="B161" t="s">
        <v>1764</v>
      </c>
      <c r="C161" t="s">
        <v>1793</v>
      </c>
      <c r="D161" t="s">
        <v>1800</v>
      </c>
      <c r="E161">
        <v>8.3160000000000007</v>
      </c>
    </row>
    <row r="162" spans="1:5" x14ac:dyDescent="0.2">
      <c r="A162" t="s">
        <v>1406</v>
      </c>
      <c r="B162" t="s">
        <v>1764</v>
      </c>
      <c r="C162" t="s">
        <v>1793</v>
      </c>
      <c r="D162" t="s">
        <v>1801</v>
      </c>
      <c r="E162">
        <v>3.4037999999999999</v>
      </c>
    </row>
    <row r="163" spans="1:5" x14ac:dyDescent="0.2">
      <c r="A163" t="s">
        <v>854</v>
      </c>
      <c r="B163" t="s">
        <v>1764</v>
      </c>
      <c r="C163" t="s">
        <v>1793</v>
      </c>
      <c r="D163" t="s">
        <v>1802</v>
      </c>
      <c r="E163">
        <v>2.1461999999999999</v>
      </c>
    </row>
    <row r="164" spans="1:5" x14ac:dyDescent="0.2">
      <c r="A164" t="s">
        <v>1140</v>
      </c>
      <c r="B164" t="s">
        <v>1764</v>
      </c>
      <c r="C164" t="s">
        <v>1793</v>
      </c>
      <c r="D164" t="s">
        <v>1803</v>
      </c>
      <c r="E164">
        <v>2.1461999999999999</v>
      </c>
    </row>
    <row r="165" spans="1:5" x14ac:dyDescent="0.2">
      <c r="A165" t="s">
        <v>662</v>
      </c>
      <c r="B165" t="s">
        <v>1764</v>
      </c>
      <c r="C165" t="s">
        <v>1793</v>
      </c>
      <c r="D165" t="s">
        <v>1804</v>
      </c>
      <c r="E165">
        <v>2.0874000000000001</v>
      </c>
    </row>
    <row r="166" spans="1:5" x14ac:dyDescent="0.2">
      <c r="A166" t="s">
        <v>1423</v>
      </c>
      <c r="B166" t="s">
        <v>1764</v>
      </c>
      <c r="C166" t="s">
        <v>1793</v>
      </c>
      <c r="D166" t="s">
        <v>1805</v>
      </c>
      <c r="E166">
        <v>1.2496</v>
      </c>
    </row>
    <row r="167" spans="1:5" x14ac:dyDescent="0.2">
      <c r="A167" t="s">
        <v>953</v>
      </c>
      <c r="B167" t="s">
        <v>1764</v>
      </c>
      <c r="C167" t="s">
        <v>1793</v>
      </c>
      <c r="D167" t="s">
        <v>1806</v>
      </c>
      <c r="E167">
        <v>4.4063999999999997</v>
      </c>
    </row>
    <row r="168" spans="1:5" x14ac:dyDescent="0.2">
      <c r="A168" t="s">
        <v>1125</v>
      </c>
      <c r="B168" t="s">
        <v>1764</v>
      </c>
      <c r="C168" t="s">
        <v>1793</v>
      </c>
      <c r="D168" t="s">
        <v>1807</v>
      </c>
      <c r="E168">
        <v>4.4252000000000002</v>
      </c>
    </row>
    <row r="169" spans="1:5" x14ac:dyDescent="0.2">
      <c r="A169" t="s">
        <v>806</v>
      </c>
      <c r="B169" t="s">
        <v>1764</v>
      </c>
      <c r="C169" t="s">
        <v>1793</v>
      </c>
      <c r="D169" t="s">
        <v>1808</v>
      </c>
      <c r="E169">
        <v>8.0850000000000009</v>
      </c>
    </row>
    <row r="170" spans="1:5" x14ac:dyDescent="0.2">
      <c r="A170" t="s">
        <v>702</v>
      </c>
      <c r="B170" t="s">
        <v>1764</v>
      </c>
      <c r="C170" t="s">
        <v>1793</v>
      </c>
      <c r="D170" t="s">
        <v>1809</v>
      </c>
      <c r="E170">
        <v>22.8384</v>
      </c>
    </row>
    <row r="171" spans="1:5" x14ac:dyDescent="0.2">
      <c r="A171" t="s">
        <v>1038</v>
      </c>
      <c r="B171" t="s">
        <v>1764</v>
      </c>
      <c r="C171" t="s">
        <v>1793</v>
      </c>
      <c r="D171" t="s">
        <v>1810</v>
      </c>
      <c r="E171">
        <v>6.1070000000000002</v>
      </c>
    </row>
    <row r="172" spans="1:5" x14ac:dyDescent="0.2">
      <c r="A172" t="s">
        <v>1096</v>
      </c>
      <c r="B172" t="s">
        <v>1764</v>
      </c>
      <c r="C172" t="s">
        <v>1793</v>
      </c>
      <c r="D172" t="s">
        <v>1811</v>
      </c>
      <c r="E172">
        <v>17.501000000000001</v>
      </c>
    </row>
    <row r="173" spans="1:5" x14ac:dyDescent="0.2">
      <c r="A173" t="s">
        <v>1607</v>
      </c>
      <c r="B173" t="s">
        <v>1764</v>
      </c>
      <c r="C173" t="s">
        <v>1793</v>
      </c>
      <c r="D173" t="s">
        <v>1812</v>
      </c>
      <c r="E173">
        <v>3.7376</v>
      </c>
    </row>
    <row r="174" spans="1:5" x14ac:dyDescent="0.2">
      <c r="A174" t="s">
        <v>1002</v>
      </c>
      <c r="B174" t="s">
        <v>1764</v>
      </c>
      <c r="C174" t="s">
        <v>1793</v>
      </c>
      <c r="D174" t="s">
        <v>1813</v>
      </c>
      <c r="E174">
        <v>1.9683999999999999</v>
      </c>
    </row>
    <row r="175" spans="1:5" x14ac:dyDescent="0.2">
      <c r="A175" t="s">
        <v>870</v>
      </c>
      <c r="B175" t="s">
        <v>1764</v>
      </c>
      <c r="C175" t="s">
        <v>1793</v>
      </c>
      <c r="D175" t="s">
        <v>1814</v>
      </c>
      <c r="E175">
        <v>0.84</v>
      </c>
    </row>
    <row r="176" spans="1:5" x14ac:dyDescent="0.2">
      <c r="A176" t="s">
        <v>1006</v>
      </c>
      <c r="B176" t="s">
        <v>1764</v>
      </c>
      <c r="C176" t="s">
        <v>1793</v>
      </c>
      <c r="D176" t="s">
        <v>1815</v>
      </c>
      <c r="E176">
        <v>1.3348</v>
      </c>
    </row>
    <row r="177" spans="1:5" x14ac:dyDescent="0.2">
      <c r="A177" t="s">
        <v>1113</v>
      </c>
      <c r="B177" t="s">
        <v>1764</v>
      </c>
      <c r="C177" t="s">
        <v>1793</v>
      </c>
      <c r="D177" t="s">
        <v>1816</v>
      </c>
      <c r="E177">
        <v>1.2432000000000001</v>
      </c>
    </row>
    <row r="178" spans="1:5" x14ac:dyDescent="0.2">
      <c r="A178" t="s">
        <v>979</v>
      </c>
      <c r="B178" t="s">
        <v>1764</v>
      </c>
      <c r="C178" t="s">
        <v>1793</v>
      </c>
      <c r="D178" t="s">
        <v>1817</v>
      </c>
      <c r="E178">
        <v>2.1456</v>
      </c>
    </row>
    <row r="179" spans="1:5" x14ac:dyDescent="0.2">
      <c r="A179" t="s">
        <v>1495</v>
      </c>
      <c r="B179" t="s">
        <v>1764</v>
      </c>
      <c r="C179" t="s">
        <v>1793</v>
      </c>
      <c r="D179" t="s">
        <v>1818</v>
      </c>
      <c r="E179">
        <v>2.3046000000000002</v>
      </c>
    </row>
    <row r="180" spans="1:5" x14ac:dyDescent="0.2">
      <c r="A180" t="s">
        <v>811</v>
      </c>
      <c r="B180" t="s">
        <v>1764</v>
      </c>
      <c r="C180" t="s">
        <v>1793</v>
      </c>
      <c r="D180" t="s">
        <v>1819</v>
      </c>
      <c r="E180">
        <v>3.5585</v>
      </c>
    </row>
    <row r="181" spans="1:5" x14ac:dyDescent="0.2">
      <c r="A181" t="s">
        <v>1564</v>
      </c>
      <c r="B181" t="s">
        <v>1764</v>
      </c>
      <c r="C181" t="s">
        <v>1793</v>
      </c>
      <c r="D181" t="s">
        <v>1820</v>
      </c>
      <c r="E181">
        <v>4.3895999999999997</v>
      </c>
    </row>
    <row r="182" spans="1:5" x14ac:dyDescent="0.2">
      <c r="A182" t="s">
        <v>1419</v>
      </c>
      <c r="B182" t="s">
        <v>1764</v>
      </c>
      <c r="C182" t="s">
        <v>1793</v>
      </c>
      <c r="D182" t="s">
        <v>1821</v>
      </c>
      <c r="E182">
        <v>2.0448</v>
      </c>
    </row>
    <row r="183" spans="1:5" x14ac:dyDescent="0.2">
      <c r="A183" t="s">
        <v>790</v>
      </c>
      <c r="B183" t="s">
        <v>1764</v>
      </c>
      <c r="C183" t="s">
        <v>1793</v>
      </c>
      <c r="D183" t="s">
        <v>1822</v>
      </c>
      <c r="E183">
        <v>1.3286</v>
      </c>
    </row>
    <row r="184" spans="1:5" x14ac:dyDescent="0.2">
      <c r="A184" t="s">
        <v>1312</v>
      </c>
      <c r="B184" t="s">
        <v>1764</v>
      </c>
      <c r="C184" t="s">
        <v>1793</v>
      </c>
      <c r="D184" t="s">
        <v>1823</v>
      </c>
      <c r="E184">
        <v>1.617</v>
      </c>
    </row>
    <row r="185" spans="1:5" x14ac:dyDescent="0.2">
      <c r="A185" t="s">
        <v>1029</v>
      </c>
      <c r="B185" t="s">
        <v>1764</v>
      </c>
      <c r="C185" t="s">
        <v>1793</v>
      </c>
      <c r="D185" t="s">
        <v>1824</v>
      </c>
      <c r="E185">
        <v>3.0388000000000002</v>
      </c>
    </row>
    <row r="186" spans="1:5" x14ac:dyDescent="0.2">
      <c r="A186" t="s">
        <v>1238</v>
      </c>
      <c r="B186" t="s">
        <v>1764</v>
      </c>
      <c r="C186" t="s">
        <v>1793</v>
      </c>
      <c r="D186" t="s">
        <v>1825</v>
      </c>
      <c r="E186">
        <v>7.5183999999999997</v>
      </c>
    </row>
    <row r="187" spans="1:5" x14ac:dyDescent="0.2">
      <c r="A187" t="s">
        <v>958</v>
      </c>
      <c r="B187" t="s">
        <v>1764</v>
      </c>
      <c r="C187" t="s">
        <v>1793</v>
      </c>
      <c r="D187" t="s">
        <v>1826</v>
      </c>
      <c r="E187">
        <v>2.3380000000000001</v>
      </c>
    </row>
    <row r="188" spans="1:5" x14ac:dyDescent="0.2">
      <c r="A188" t="s">
        <v>1118</v>
      </c>
      <c r="B188" t="s">
        <v>1764</v>
      </c>
      <c r="C188" t="s">
        <v>1793</v>
      </c>
      <c r="D188" t="s">
        <v>1827</v>
      </c>
      <c r="E188">
        <v>5.58</v>
      </c>
    </row>
    <row r="189" spans="1:5" x14ac:dyDescent="0.2">
      <c r="A189" t="s">
        <v>775</v>
      </c>
      <c r="B189" t="s">
        <v>1764</v>
      </c>
      <c r="C189" t="s">
        <v>1793</v>
      </c>
      <c r="D189" t="s">
        <v>1828</v>
      </c>
      <c r="E189">
        <v>22.615400000000001</v>
      </c>
    </row>
    <row r="190" spans="1:5" x14ac:dyDescent="0.2">
      <c r="A190" t="s">
        <v>1259</v>
      </c>
      <c r="B190" t="s">
        <v>1764</v>
      </c>
      <c r="C190" t="s">
        <v>1793</v>
      </c>
      <c r="D190" t="s">
        <v>1829</v>
      </c>
      <c r="E190">
        <v>0.91520000000000001</v>
      </c>
    </row>
    <row r="191" spans="1:5" x14ac:dyDescent="0.2">
      <c r="A191" t="s">
        <v>769</v>
      </c>
      <c r="B191" t="s">
        <v>1764</v>
      </c>
      <c r="C191" t="s">
        <v>1793</v>
      </c>
      <c r="D191" t="s">
        <v>1830</v>
      </c>
      <c r="E191">
        <v>3.0388000000000002</v>
      </c>
    </row>
    <row r="192" spans="1:5" x14ac:dyDescent="0.2">
      <c r="A192" t="s">
        <v>653</v>
      </c>
      <c r="B192" t="s">
        <v>1764</v>
      </c>
      <c r="C192" t="s">
        <v>1793</v>
      </c>
      <c r="D192" t="s">
        <v>1831</v>
      </c>
      <c r="E192">
        <v>4.0128000000000004</v>
      </c>
    </row>
    <row r="193" spans="1:5" x14ac:dyDescent="0.2">
      <c r="A193" t="s">
        <v>1308</v>
      </c>
      <c r="B193" t="s">
        <v>1764</v>
      </c>
      <c r="C193" t="s">
        <v>1793</v>
      </c>
      <c r="D193" t="s">
        <v>1832</v>
      </c>
      <c r="E193">
        <v>2.3288000000000002</v>
      </c>
    </row>
    <row r="194" spans="1:5" x14ac:dyDescent="0.2">
      <c r="A194" t="s">
        <v>1321</v>
      </c>
      <c r="B194" t="s">
        <v>1764</v>
      </c>
      <c r="C194" t="s">
        <v>1793</v>
      </c>
      <c r="D194" t="s">
        <v>1833</v>
      </c>
      <c r="E194">
        <v>12.062900000000001</v>
      </c>
    </row>
    <row r="195" spans="1:5" x14ac:dyDescent="0.2">
      <c r="A195" t="s">
        <v>1147</v>
      </c>
      <c r="B195" t="s">
        <v>1764</v>
      </c>
      <c r="C195" t="s">
        <v>1793</v>
      </c>
      <c r="D195" t="s">
        <v>1834</v>
      </c>
      <c r="E195">
        <v>2.0571999999999999</v>
      </c>
    </row>
    <row r="196" spans="1:5" x14ac:dyDescent="0.2">
      <c r="A196" t="s">
        <v>1077</v>
      </c>
      <c r="B196" t="s">
        <v>1764</v>
      </c>
      <c r="C196" t="s">
        <v>1793</v>
      </c>
      <c r="D196" t="s">
        <v>1835</v>
      </c>
      <c r="E196">
        <v>6.125</v>
      </c>
    </row>
    <row r="197" spans="1:5" x14ac:dyDescent="0.2">
      <c r="A197" t="s">
        <v>1324</v>
      </c>
      <c r="B197" t="s">
        <v>1764</v>
      </c>
      <c r="C197" t="s">
        <v>1793</v>
      </c>
      <c r="D197" t="s">
        <v>1836</v>
      </c>
      <c r="E197">
        <v>2.3288000000000002</v>
      </c>
    </row>
    <row r="198" spans="1:5" x14ac:dyDescent="0.2">
      <c r="A198" t="s">
        <v>1600</v>
      </c>
      <c r="B198" t="s">
        <v>1764</v>
      </c>
      <c r="C198" t="s">
        <v>1793</v>
      </c>
      <c r="D198" t="s">
        <v>1837</v>
      </c>
      <c r="E198">
        <v>2.0571999999999999</v>
      </c>
    </row>
    <row r="199" spans="1:5" x14ac:dyDescent="0.2">
      <c r="A199" t="s">
        <v>1582</v>
      </c>
      <c r="B199" t="s">
        <v>1764</v>
      </c>
      <c r="C199" t="s">
        <v>1793</v>
      </c>
      <c r="D199" t="s">
        <v>1838</v>
      </c>
      <c r="E199">
        <v>1.8255999999999999</v>
      </c>
    </row>
    <row r="200" spans="1:5" x14ac:dyDescent="0.2">
      <c r="A200" t="s">
        <v>692</v>
      </c>
      <c r="B200" t="s">
        <v>1764</v>
      </c>
      <c r="C200" t="s">
        <v>1793</v>
      </c>
      <c r="D200" t="s">
        <v>1839</v>
      </c>
      <c r="E200">
        <v>2.3288000000000002</v>
      </c>
    </row>
    <row r="201" spans="1:5" x14ac:dyDescent="0.2">
      <c r="A201" t="s">
        <v>1063</v>
      </c>
      <c r="B201" t="s">
        <v>1764</v>
      </c>
      <c r="C201" t="s">
        <v>1793</v>
      </c>
      <c r="D201" t="s">
        <v>1819</v>
      </c>
      <c r="E201">
        <v>7.86</v>
      </c>
    </row>
    <row r="202" spans="1:5" x14ac:dyDescent="0.2">
      <c r="A202" t="s">
        <v>1219</v>
      </c>
      <c r="B202" t="s">
        <v>1764</v>
      </c>
      <c r="C202" t="s">
        <v>1793</v>
      </c>
      <c r="D202" t="s">
        <v>1840</v>
      </c>
      <c r="E202">
        <v>4.0880000000000001</v>
      </c>
    </row>
    <row r="203" spans="1:5" x14ac:dyDescent="0.2">
      <c r="A203" t="s">
        <v>820</v>
      </c>
      <c r="B203" t="s">
        <v>1764</v>
      </c>
      <c r="C203" t="s">
        <v>1793</v>
      </c>
      <c r="D203" t="s">
        <v>1841</v>
      </c>
      <c r="E203">
        <v>0.90200000000000002</v>
      </c>
    </row>
    <row r="204" spans="1:5" x14ac:dyDescent="0.2">
      <c r="A204" t="s">
        <v>1294</v>
      </c>
      <c r="B204" t="s">
        <v>1764</v>
      </c>
      <c r="C204" t="s">
        <v>1793</v>
      </c>
      <c r="D204" t="s">
        <v>1842</v>
      </c>
      <c r="E204">
        <v>15.821199999999999</v>
      </c>
    </row>
    <row r="205" spans="1:5" x14ac:dyDescent="0.2">
      <c r="A205" t="s">
        <v>1612</v>
      </c>
      <c r="B205" t="s">
        <v>1764</v>
      </c>
      <c r="C205" t="s">
        <v>1793</v>
      </c>
      <c r="D205" t="s">
        <v>1843</v>
      </c>
      <c r="E205">
        <v>1.9224000000000001</v>
      </c>
    </row>
    <row r="206" spans="1:5" x14ac:dyDescent="0.2">
      <c r="A206" t="s">
        <v>1567</v>
      </c>
      <c r="B206" t="s">
        <v>1764</v>
      </c>
      <c r="C206" t="s">
        <v>1793</v>
      </c>
      <c r="D206" t="s">
        <v>1844</v>
      </c>
      <c r="E206">
        <v>2.1976</v>
      </c>
    </row>
    <row r="207" spans="1:5" x14ac:dyDescent="0.2">
      <c r="A207" t="s">
        <v>734</v>
      </c>
      <c r="B207" t="s">
        <v>1764</v>
      </c>
      <c r="C207" t="s">
        <v>1793</v>
      </c>
      <c r="D207" t="s">
        <v>1845</v>
      </c>
      <c r="E207">
        <v>3.6636000000000002</v>
      </c>
    </row>
    <row r="208" spans="1:5" x14ac:dyDescent="0.2">
      <c r="A208" t="s">
        <v>1409</v>
      </c>
      <c r="B208" t="s">
        <v>1764</v>
      </c>
      <c r="C208" t="s">
        <v>1793</v>
      </c>
      <c r="D208" t="s">
        <v>1846</v>
      </c>
      <c r="E208">
        <v>4.4850000000000003</v>
      </c>
    </row>
    <row r="209" spans="1:5" x14ac:dyDescent="0.2">
      <c r="A209" t="s">
        <v>1459</v>
      </c>
      <c r="B209" t="s">
        <v>1764</v>
      </c>
      <c r="C209" t="s">
        <v>1847</v>
      </c>
      <c r="D209" t="s">
        <v>1848</v>
      </c>
      <c r="E209">
        <v>5.7823000000000002</v>
      </c>
    </row>
    <row r="210" spans="1:5" x14ac:dyDescent="0.2">
      <c r="A210" t="s">
        <v>767</v>
      </c>
      <c r="B210" t="s">
        <v>1764</v>
      </c>
      <c r="C210" t="s">
        <v>1847</v>
      </c>
      <c r="D210" t="s">
        <v>1849</v>
      </c>
      <c r="E210">
        <v>5.5998000000000001</v>
      </c>
    </row>
    <row r="211" spans="1:5" x14ac:dyDescent="0.2">
      <c r="A211" t="s">
        <v>1197</v>
      </c>
      <c r="B211" t="s">
        <v>1764</v>
      </c>
      <c r="C211" t="s">
        <v>1847</v>
      </c>
      <c r="D211" t="s">
        <v>1850</v>
      </c>
      <c r="E211">
        <v>2.4336000000000002</v>
      </c>
    </row>
    <row r="212" spans="1:5" x14ac:dyDescent="0.2">
      <c r="A212" t="s">
        <v>969</v>
      </c>
      <c r="B212" t="s">
        <v>1764</v>
      </c>
      <c r="C212" t="s">
        <v>1847</v>
      </c>
      <c r="D212" t="s">
        <v>1851</v>
      </c>
      <c r="E212">
        <v>1.5911999999999999</v>
      </c>
    </row>
    <row r="213" spans="1:5" x14ac:dyDescent="0.2">
      <c r="A213" t="s">
        <v>1228</v>
      </c>
      <c r="B213" t="s">
        <v>1764</v>
      </c>
      <c r="C213" t="s">
        <v>1847</v>
      </c>
      <c r="D213" t="s">
        <v>1852</v>
      </c>
      <c r="E213">
        <v>7.7622</v>
      </c>
    </row>
    <row r="214" spans="1:5" x14ac:dyDescent="0.2">
      <c r="A214" t="s">
        <v>1257</v>
      </c>
      <c r="B214" t="s">
        <v>1764</v>
      </c>
      <c r="C214" t="s">
        <v>1847</v>
      </c>
      <c r="D214" t="s">
        <v>1853</v>
      </c>
      <c r="E214">
        <v>9.8748000000000005</v>
      </c>
    </row>
    <row r="215" spans="1:5" x14ac:dyDescent="0.2">
      <c r="A215" t="s">
        <v>1361</v>
      </c>
      <c r="B215" t="s">
        <v>1764</v>
      </c>
      <c r="C215" t="s">
        <v>1847</v>
      </c>
      <c r="D215" t="s">
        <v>1854</v>
      </c>
      <c r="E215">
        <v>2.6023000000000001</v>
      </c>
    </row>
    <row r="216" spans="1:5" x14ac:dyDescent="0.2">
      <c r="A216" t="s">
        <v>650</v>
      </c>
      <c r="B216" t="s">
        <v>1764</v>
      </c>
      <c r="C216" t="s">
        <v>1847</v>
      </c>
      <c r="D216" t="s">
        <v>1855</v>
      </c>
      <c r="E216">
        <v>4.5579999999999998</v>
      </c>
    </row>
    <row r="217" spans="1:5" x14ac:dyDescent="0.2">
      <c r="A217" t="s">
        <v>713</v>
      </c>
      <c r="B217" t="s">
        <v>1764</v>
      </c>
      <c r="C217" t="s">
        <v>1847</v>
      </c>
      <c r="D217" t="s">
        <v>1856</v>
      </c>
      <c r="E217">
        <v>8.3355999999999995</v>
      </c>
    </row>
    <row r="218" spans="1:5" x14ac:dyDescent="0.2">
      <c r="A218" t="s">
        <v>1524</v>
      </c>
      <c r="B218" t="s">
        <v>1764</v>
      </c>
      <c r="C218" t="s">
        <v>1847</v>
      </c>
      <c r="D218" t="s">
        <v>1857</v>
      </c>
      <c r="E218">
        <v>380.49</v>
      </c>
    </row>
    <row r="219" spans="1:5" x14ac:dyDescent="0.2">
      <c r="A219" t="s">
        <v>1484</v>
      </c>
      <c r="B219" t="s">
        <v>1764</v>
      </c>
      <c r="C219" t="s">
        <v>1847</v>
      </c>
      <c r="D219" t="s">
        <v>1858</v>
      </c>
      <c r="E219">
        <v>2.0192999999999999</v>
      </c>
    </row>
    <row r="220" spans="1:5" x14ac:dyDescent="0.2">
      <c r="A220" t="s">
        <v>868</v>
      </c>
      <c r="B220" t="s">
        <v>1764</v>
      </c>
      <c r="C220" t="s">
        <v>1847</v>
      </c>
      <c r="D220" t="s">
        <v>1859</v>
      </c>
      <c r="E220">
        <v>23.441400000000002</v>
      </c>
    </row>
    <row r="221" spans="1:5" x14ac:dyDescent="0.2">
      <c r="A221" t="s">
        <v>657</v>
      </c>
      <c r="B221" t="s">
        <v>1764</v>
      </c>
      <c r="C221" t="s">
        <v>1847</v>
      </c>
      <c r="D221" t="s">
        <v>1860</v>
      </c>
      <c r="E221">
        <v>4.2506000000000004</v>
      </c>
    </row>
    <row r="222" spans="1:5" x14ac:dyDescent="0.2">
      <c r="A222" t="s">
        <v>608</v>
      </c>
      <c r="B222" t="s">
        <v>1764</v>
      </c>
      <c r="C222" t="s">
        <v>1847</v>
      </c>
      <c r="D222" t="s">
        <v>1861</v>
      </c>
      <c r="E222">
        <v>60.49</v>
      </c>
    </row>
    <row r="223" spans="1:5" x14ac:dyDescent="0.2">
      <c r="A223" t="s">
        <v>904</v>
      </c>
      <c r="B223" t="s">
        <v>1764</v>
      </c>
      <c r="C223" t="s">
        <v>1847</v>
      </c>
      <c r="D223" t="s">
        <v>1862</v>
      </c>
      <c r="E223">
        <v>2.4245999999999999</v>
      </c>
    </row>
    <row r="224" spans="1:5" x14ac:dyDescent="0.2">
      <c r="A224" t="s">
        <v>661</v>
      </c>
      <c r="B224" t="s">
        <v>1764</v>
      </c>
      <c r="C224" t="s">
        <v>1847</v>
      </c>
      <c r="D224" t="s">
        <v>1863</v>
      </c>
      <c r="E224">
        <v>2.9538000000000002</v>
      </c>
    </row>
    <row r="225" spans="1:5" x14ac:dyDescent="0.2">
      <c r="A225" t="s">
        <v>1127</v>
      </c>
      <c r="B225" t="s">
        <v>1764</v>
      </c>
      <c r="C225" t="s">
        <v>1847</v>
      </c>
      <c r="D225" t="s">
        <v>1864</v>
      </c>
      <c r="E225">
        <v>2.8302</v>
      </c>
    </row>
    <row r="226" spans="1:5" x14ac:dyDescent="0.2">
      <c r="A226" t="s">
        <v>747</v>
      </c>
      <c r="B226" t="s">
        <v>1764</v>
      </c>
      <c r="C226" t="s">
        <v>1847</v>
      </c>
      <c r="D226" t="s">
        <v>1865</v>
      </c>
      <c r="E226">
        <v>4.57</v>
      </c>
    </row>
    <row r="227" spans="1:5" x14ac:dyDescent="0.2">
      <c r="A227" t="s">
        <v>856</v>
      </c>
      <c r="B227" t="s">
        <v>1764</v>
      </c>
      <c r="C227" t="s">
        <v>1847</v>
      </c>
      <c r="D227" t="s">
        <v>1866</v>
      </c>
      <c r="E227">
        <v>10.9038</v>
      </c>
    </row>
    <row r="228" spans="1:5" x14ac:dyDescent="0.2">
      <c r="A228" t="s">
        <v>1027</v>
      </c>
      <c r="B228" t="s">
        <v>1764</v>
      </c>
      <c r="C228" t="s">
        <v>1847</v>
      </c>
      <c r="D228" t="s">
        <v>1867</v>
      </c>
      <c r="E228">
        <v>7.6744000000000003</v>
      </c>
    </row>
    <row r="229" spans="1:5" x14ac:dyDescent="0.2">
      <c r="A229" t="s">
        <v>1441</v>
      </c>
      <c r="B229" t="s">
        <v>1764</v>
      </c>
      <c r="C229" t="s">
        <v>1847</v>
      </c>
      <c r="D229" t="s">
        <v>1868</v>
      </c>
      <c r="E229">
        <v>3.4540000000000002</v>
      </c>
    </row>
    <row r="230" spans="1:5" x14ac:dyDescent="0.2">
      <c r="A230" t="s">
        <v>808</v>
      </c>
      <c r="B230" t="s">
        <v>1764</v>
      </c>
      <c r="C230" t="s">
        <v>1847</v>
      </c>
      <c r="D230" t="s">
        <v>1869</v>
      </c>
      <c r="E230">
        <v>475.40469999999999</v>
      </c>
    </row>
    <row r="231" spans="1:5" x14ac:dyDescent="0.2">
      <c r="A231" t="s">
        <v>1350</v>
      </c>
      <c r="B231" t="s">
        <v>1764</v>
      </c>
      <c r="C231" t="s">
        <v>1847</v>
      </c>
      <c r="D231" t="s">
        <v>1870</v>
      </c>
      <c r="E231">
        <v>8.0295000000000005</v>
      </c>
    </row>
    <row r="232" spans="1:5" x14ac:dyDescent="0.2">
      <c r="A232" t="s">
        <v>779</v>
      </c>
      <c r="B232" t="s">
        <v>1764</v>
      </c>
      <c r="C232" t="s">
        <v>1847</v>
      </c>
      <c r="D232" t="s">
        <v>1871</v>
      </c>
      <c r="E232">
        <v>12.606</v>
      </c>
    </row>
    <row r="233" spans="1:5" x14ac:dyDescent="0.2">
      <c r="A233" t="s">
        <v>900</v>
      </c>
      <c r="B233" t="s">
        <v>1764</v>
      </c>
      <c r="C233" t="s">
        <v>1847</v>
      </c>
      <c r="D233" t="s">
        <v>1872</v>
      </c>
      <c r="E233">
        <v>2.0954999999999999</v>
      </c>
    </row>
    <row r="234" spans="1:5" x14ac:dyDescent="0.2">
      <c r="A234" t="s">
        <v>658</v>
      </c>
      <c r="B234" t="s">
        <v>1764</v>
      </c>
      <c r="C234" t="s">
        <v>1847</v>
      </c>
      <c r="D234" t="s">
        <v>1873</v>
      </c>
      <c r="E234">
        <v>18.7148</v>
      </c>
    </row>
    <row r="235" spans="1:5" x14ac:dyDescent="0.2">
      <c r="A235" t="s">
        <v>1173</v>
      </c>
      <c r="B235" t="s">
        <v>1764</v>
      </c>
      <c r="C235" t="s">
        <v>1847</v>
      </c>
      <c r="D235" t="s">
        <v>1874</v>
      </c>
      <c r="E235">
        <v>4.7527999999999997</v>
      </c>
    </row>
    <row r="236" spans="1:5" x14ac:dyDescent="0.2">
      <c r="A236" t="s">
        <v>968</v>
      </c>
      <c r="B236" t="s">
        <v>1764</v>
      </c>
      <c r="C236" t="s">
        <v>1847</v>
      </c>
      <c r="D236" t="s">
        <v>1875</v>
      </c>
      <c r="E236">
        <v>5.4802</v>
      </c>
    </row>
    <row r="237" spans="1:5" x14ac:dyDescent="0.2">
      <c r="A237" t="s">
        <v>1343</v>
      </c>
      <c r="B237" t="s">
        <v>1764</v>
      </c>
      <c r="C237" t="s">
        <v>1847</v>
      </c>
      <c r="D237" t="s">
        <v>1876</v>
      </c>
      <c r="E237">
        <v>5.7365000000000004</v>
      </c>
    </row>
    <row r="238" spans="1:5" x14ac:dyDescent="0.2">
      <c r="A238" t="s">
        <v>1088</v>
      </c>
      <c r="B238" t="s">
        <v>1764</v>
      </c>
      <c r="C238" t="s">
        <v>1847</v>
      </c>
      <c r="D238" t="s">
        <v>1877</v>
      </c>
      <c r="E238">
        <v>18.850000000000001</v>
      </c>
    </row>
    <row r="239" spans="1:5" x14ac:dyDescent="0.2">
      <c r="A239" t="s">
        <v>850</v>
      </c>
      <c r="B239" t="s">
        <v>1764</v>
      </c>
      <c r="C239" t="s">
        <v>1847</v>
      </c>
      <c r="D239" t="s">
        <v>1878</v>
      </c>
      <c r="E239">
        <v>33.909399999999998</v>
      </c>
    </row>
    <row r="240" spans="1:5" x14ac:dyDescent="0.2">
      <c r="A240" t="s">
        <v>1415</v>
      </c>
      <c r="B240" t="s">
        <v>1764</v>
      </c>
      <c r="C240" t="s">
        <v>1847</v>
      </c>
      <c r="D240" t="s">
        <v>1879</v>
      </c>
      <c r="E240">
        <v>3.3353999999999999</v>
      </c>
    </row>
    <row r="241" spans="1:5" x14ac:dyDescent="0.2">
      <c r="A241" t="s">
        <v>1503</v>
      </c>
      <c r="B241" t="s">
        <v>1764</v>
      </c>
      <c r="C241" t="s">
        <v>1847</v>
      </c>
      <c r="D241" t="s">
        <v>1880</v>
      </c>
      <c r="E241">
        <v>1.8615999999999999</v>
      </c>
    </row>
    <row r="242" spans="1:5" x14ac:dyDescent="0.2">
      <c r="A242" t="s">
        <v>793</v>
      </c>
      <c r="B242" t="s">
        <v>1764</v>
      </c>
      <c r="C242" t="s">
        <v>1847</v>
      </c>
      <c r="D242" t="s">
        <v>1881</v>
      </c>
      <c r="E242">
        <v>3.1747000000000001</v>
      </c>
    </row>
    <row r="243" spans="1:5" x14ac:dyDescent="0.2">
      <c r="A243" t="s">
        <v>937</v>
      </c>
      <c r="B243" t="s">
        <v>1764</v>
      </c>
      <c r="C243" t="s">
        <v>1847</v>
      </c>
      <c r="D243" t="s">
        <v>1882</v>
      </c>
      <c r="E243">
        <v>3.1482000000000001</v>
      </c>
    </row>
    <row r="244" spans="1:5" x14ac:dyDescent="0.2">
      <c r="A244" t="s">
        <v>625</v>
      </c>
      <c r="B244" t="s">
        <v>1764</v>
      </c>
      <c r="C244" t="s">
        <v>1847</v>
      </c>
      <c r="D244" t="s">
        <v>1883</v>
      </c>
      <c r="E244">
        <v>2.7744</v>
      </c>
    </row>
    <row r="245" spans="1:5" x14ac:dyDescent="0.2">
      <c r="A245" t="s">
        <v>1615</v>
      </c>
      <c r="B245" t="s">
        <v>1764</v>
      </c>
      <c r="C245" t="s">
        <v>1847</v>
      </c>
      <c r="D245" t="s">
        <v>1884</v>
      </c>
      <c r="E245">
        <v>20.311199999999999</v>
      </c>
    </row>
    <row r="246" spans="1:5" x14ac:dyDescent="0.2">
      <c r="A246" t="s">
        <v>802</v>
      </c>
      <c r="B246" t="s">
        <v>1764</v>
      </c>
      <c r="C246" t="s">
        <v>1847</v>
      </c>
      <c r="D246" t="s">
        <v>1885</v>
      </c>
      <c r="E246">
        <v>21.827999999999999</v>
      </c>
    </row>
    <row r="247" spans="1:5" x14ac:dyDescent="0.2">
      <c r="A247" t="s">
        <v>622</v>
      </c>
      <c r="B247" t="s">
        <v>1764</v>
      </c>
      <c r="C247" t="s">
        <v>1847</v>
      </c>
      <c r="D247" t="s">
        <v>1886</v>
      </c>
      <c r="E247">
        <v>1.9812000000000001</v>
      </c>
    </row>
    <row r="248" spans="1:5" x14ac:dyDescent="0.2">
      <c r="A248" t="s">
        <v>633</v>
      </c>
      <c r="B248" t="s">
        <v>1764</v>
      </c>
      <c r="C248" t="s">
        <v>1847</v>
      </c>
      <c r="D248" t="s">
        <v>1887</v>
      </c>
      <c r="E248">
        <v>10.732799999999999</v>
      </c>
    </row>
    <row r="249" spans="1:5" x14ac:dyDescent="0.2">
      <c r="A249" t="s">
        <v>1268</v>
      </c>
      <c r="B249" t="s">
        <v>1764</v>
      </c>
      <c r="C249" t="s">
        <v>1847</v>
      </c>
      <c r="D249" t="s">
        <v>1888</v>
      </c>
      <c r="E249">
        <v>7.72</v>
      </c>
    </row>
    <row r="250" spans="1:5" x14ac:dyDescent="0.2">
      <c r="A250" t="s">
        <v>831</v>
      </c>
      <c r="B250" t="s">
        <v>1764</v>
      </c>
      <c r="C250" t="s">
        <v>1847</v>
      </c>
      <c r="D250" t="s">
        <v>1889</v>
      </c>
      <c r="E250">
        <v>3.0996000000000001</v>
      </c>
    </row>
    <row r="251" spans="1:5" x14ac:dyDescent="0.2">
      <c r="A251" t="s">
        <v>960</v>
      </c>
      <c r="B251" t="s">
        <v>1764</v>
      </c>
      <c r="C251" t="s">
        <v>1847</v>
      </c>
      <c r="D251" t="s">
        <v>1890</v>
      </c>
      <c r="E251">
        <v>15.828799999999999</v>
      </c>
    </row>
    <row r="252" spans="1:5" x14ac:dyDescent="0.2">
      <c r="A252" t="s">
        <v>1471</v>
      </c>
      <c r="B252" t="s">
        <v>1764</v>
      </c>
      <c r="C252" t="s">
        <v>1847</v>
      </c>
      <c r="D252" t="s">
        <v>1891</v>
      </c>
      <c r="E252">
        <v>2.6818</v>
      </c>
    </row>
    <row r="253" spans="1:5" x14ac:dyDescent="0.2">
      <c r="A253" t="s">
        <v>1333</v>
      </c>
      <c r="B253" t="s">
        <v>1764</v>
      </c>
      <c r="C253" t="s">
        <v>1847</v>
      </c>
      <c r="D253" t="s">
        <v>1892</v>
      </c>
      <c r="E253">
        <v>9.9056999999999995</v>
      </c>
    </row>
    <row r="254" spans="1:5" x14ac:dyDescent="0.2">
      <c r="A254" t="s">
        <v>1401</v>
      </c>
      <c r="B254" t="s">
        <v>1764</v>
      </c>
      <c r="C254" t="s">
        <v>1847</v>
      </c>
      <c r="D254" t="s">
        <v>1893</v>
      </c>
      <c r="E254">
        <v>1.6092</v>
      </c>
    </row>
    <row r="255" spans="1:5" x14ac:dyDescent="0.2">
      <c r="A255" t="s">
        <v>935</v>
      </c>
      <c r="B255" t="s">
        <v>1764</v>
      </c>
      <c r="C255" t="s">
        <v>1847</v>
      </c>
      <c r="D255" t="s">
        <v>1894</v>
      </c>
      <c r="E255">
        <v>7.7111999999999998</v>
      </c>
    </row>
    <row r="256" spans="1:5" x14ac:dyDescent="0.2">
      <c r="A256" t="s">
        <v>1310</v>
      </c>
      <c r="B256" t="s">
        <v>1764</v>
      </c>
      <c r="C256" t="s">
        <v>1847</v>
      </c>
      <c r="D256" t="s">
        <v>1895</v>
      </c>
      <c r="E256">
        <v>18.1843</v>
      </c>
    </row>
    <row r="257" spans="1:5" x14ac:dyDescent="0.2">
      <c r="A257" t="s">
        <v>1585</v>
      </c>
      <c r="B257" t="s">
        <v>1764</v>
      </c>
      <c r="C257" t="s">
        <v>1847</v>
      </c>
      <c r="D257" t="s">
        <v>1896</v>
      </c>
      <c r="E257">
        <v>1.6473</v>
      </c>
    </row>
    <row r="258" spans="1:5" x14ac:dyDescent="0.2">
      <c r="A258" t="s">
        <v>997</v>
      </c>
      <c r="B258" t="s">
        <v>1764</v>
      </c>
      <c r="C258" t="s">
        <v>1847</v>
      </c>
      <c r="D258" t="s">
        <v>1897</v>
      </c>
      <c r="E258">
        <v>2.7972000000000001</v>
      </c>
    </row>
    <row r="259" spans="1:5" x14ac:dyDescent="0.2">
      <c r="A259" t="s">
        <v>1161</v>
      </c>
      <c r="B259" t="s">
        <v>1764</v>
      </c>
      <c r="C259" t="s">
        <v>1847</v>
      </c>
      <c r="D259" t="s">
        <v>1898</v>
      </c>
      <c r="E259">
        <v>2.9862000000000002</v>
      </c>
    </row>
    <row r="260" spans="1:5" x14ac:dyDescent="0.2">
      <c r="A260" t="s">
        <v>1539</v>
      </c>
      <c r="B260" t="s">
        <v>1764</v>
      </c>
      <c r="C260" t="s">
        <v>1847</v>
      </c>
      <c r="D260" t="s">
        <v>1899</v>
      </c>
      <c r="E260">
        <v>20.97</v>
      </c>
    </row>
    <row r="261" spans="1:5" x14ac:dyDescent="0.2">
      <c r="A261" t="s">
        <v>926</v>
      </c>
      <c r="B261" t="s">
        <v>1764</v>
      </c>
      <c r="C261" t="s">
        <v>1847</v>
      </c>
      <c r="D261" t="s">
        <v>1900</v>
      </c>
      <c r="E261">
        <v>3.2223999999999999</v>
      </c>
    </row>
    <row r="262" spans="1:5" x14ac:dyDescent="0.2">
      <c r="A262" t="s">
        <v>728</v>
      </c>
      <c r="B262" t="s">
        <v>1764</v>
      </c>
      <c r="C262" t="s">
        <v>1847</v>
      </c>
      <c r="D262" t="s">
        <v>1901</v>
      </c>
      <c r="E262">
        <v>2.1888999999999998</v>
      </c>
    </row>
    <row r="263" spans="1:5" x14ac:dyDescent="0.2">
      <c r="A263" t="s">
        <v>1191</v>
      </c>
      <c r="B263" t="s">
        <v>1764</v>
      </c>
      <c r="C263" t="s">
        <v>1847</v>
      </c>
      <c r="D263" t="s">
        <v>1902</v>
      </c>
      <c r="E263">
        <v>3.5411999999999999</v>
      </c>
    </row>
    <row r="264" spans="1:5" x14ac:dyDescent="0.2">
      <c r="A264" t="s">
        <v>1174</v>
      </c>
      <c r="B264" t="s">
        <v>1764</v>
      </c>
      <c r="C264" t="s">
        <v>1847</v>
      </c>
      <c r="D264" t="s">
        <v>1903</v>
      </c>
      <c r="E264">
        <v>20.941199999999998</v>
      </c>
    </row>
    <row r="265" spans="1:5" x14ac:dyDescent="0.2">
      <c r="A265" t="s">
        <v>1286</v>
      </c>
      <c r="B265" t="s">
        <v>1764</v>
      </c>
      <c r="C265" t="s">
        <v>1847</v>
      </c>
      <c r="D265" t="s">
        <v>1904</v>
      </c>
      <c r="E265">
        <v>5.9695999999999998</v>
      </c>
    </row>
    <row r="266" spans="1:5" x14ac:dyDescent="0.2">
      <c r="A266" t="s">
        <v>1084</v>
      </c>
      <c r="B266" t="s">
        <v>1764</v>
      </c>
      <c r="C266" t="s">
        <v>1847</v>
      </c>
      <c r="D266" t="s">
        <v>1905</v>
      </c>
      <c r="E266">
        <v>2.1093999999999999</v>
      </c>
    </row>
    <row r="267" spans="1:5" x14ac:dyDescent="0.2">
      <c r="A267" t="s">
        <v>996</v>
      </c>
      <c r="B267" t="s">
        <v>1764</v>
      </c>
      <c r="C267" t="s">
        <v>1847</v>
      </c>
      <c r="D267" t="s">
        <v>1906</v>
      </c>
      <c r="E267">
        <v>4.6269</v>
      </c>
    </row>
    <row r="268" spans="1:5" x14ac:dyDescent="0.2">
      <c r="A268" t="s">
        <v>1020</v>
      </c>
      <c r="B268" t="s">
        <v>1764</v>
      </c>
      <c r="C268" t="s">
        <v>1847</v>
      </c>
      <c r="D268" t="s">
        <v>1907</v>
      </c>
      <c r="E268">
        <v>3.2292000000000001</v>
      </c>
    </row>
    <row r="269" spans="1:5" x14ac:dyDescent="0.2">
      <c r="A269" t="s">
        <v>617</v>
      </c>
      <c r="B269" t="s">
        <v>1764</v>
      </c>
      <c r="C269" t="s">
        <v>1847</v>
      </c>
      <c r="D269" t="s">
        <v>1908</v>
      </c>
      <c r="E269">
        <v>2.4582000000000002</v>
      </c>
    </row>
    <row r="270" spans="1:5" x14ac:dyDescent="0.2">
      <c r="A270" t="s">
        <v>1603</v>
      </c>
      <c r="B270" t="s">
        <v>1764</v>
      </c>
      <c r="C270" t="s">
        <v>1847</v>
      </c>
      <c r="D270" t="s">
        <v>1909</v>
      </c>
      <c r="E270">
        <v>3.4451999999999998</v>
      </c>
    </row>
    <row r="271" spans="1:5" x14ac:dyDescent="0.2">
      <c r="A271" t="s">
        <v>1326</v>
      </c>
      <c r="B271" t="s">
        <v>1764</v>
      </c>
      <c r="C271" t="s">
        <v>1847</v>
      </c>
      <c r="D271" t="s">
        <v>1910</v>
      </c>
      <c r="E271">
        <v>2.5895999999999999</v>
      </c>
    </row>
    <row r="272" spans="1:5" x14ac:dyDescent="0.2">
      <c r="A272" t="s">
        <v>726</v>
      </c>
      <c r="B272" t="s">
        <v>1764</v>
      </c>
      <c r="C272" t="s">
        <v>1847</v>
      </c>
      <c r="D272" t="s">
        <v>1911</v>
      </c>
      <c r="E272">
        <v>3.2282999999999999</v>
      </c>
    </row>
    <row r="273" spans="1:5" x14ac:dyDescent="0.2">
      <c r="A273" t="s">
        <v>712</v>
      </c>
      <c r="B273" t="s">
        <v>1764</v>
      </c>
      <c r="C273" t="s">
        <v>1847</v>
      </c>
      <c r="D273" t="s">
        <v>1912</v>
      </c>
      <c r="E273">
        <v>2.2776000000000001</v>
      </c>
    </row>
    <row r="274" spans="1:5" x14ac:dyDescent="0.2">
      <c r="A274" t="s">
        <v>1365</v>
      </c>
      <c r="B274" t="s">
        <v>1764</v>
      </c>
      <c r="C274" t="s">
        <v>1847</v>
      </c>
      <c r="D274" t="s">
        <v>1913</v>
      </c>
      <c r="E274">
        <v>2.9796</v>
      </c>
    </row>
    <row r="275" spans="1:5" x14ac:dyDescent="0.2">
      <c r="A275" t="s">
        <v>1430</v>
      </c>
      <c r="B275" t="s">
        <v>1764</v>
      </c>
      <c r="C275" t="s">
        <v>1847</v>
      </c>
      <c r="D275" t="s">
        <v>1914</v>
      </c>
      <c r="E275">
        <v>10.449</v>
      </c>
    </row>
    <row r="276" spans="1:5" x14ac:dyDescent="0.2">
      <c r="A276" t="s">
        <v>700</v>
      </c>
      <c r="B276" t="s">
        <v>1764</v>
      </c>
      <c r="C276" t="s">
        <v>1847</v>
      </c>
      <c r="D276" t="s">
        <v>1915</v>
      </c>
      <c r="E276">
        <v>273.50959999999998</v>
      </c>
    </row>
    <row r="277" spans="1:5" x14ac:dyDescent="0.2">
      <c r="A277" t="s">
        <v>743</v>
      </c>
      <c r="B277" t="s">
        <v>1764</v>
      </c>
      <c r="C277" t="s">
        <v>1847</v>
      </c>
      <c r="D277" t="s">
        <v>1916</v>
      </c>
      <c r="E277">
        <v>5.6375999999999999</v>
      </c>
    </row>
    <row r="278" spans="1:5" x14ac:dyDescent="0.2">
      <c r="A278" t="s">
        <v>760</v>
      </c>
      <c r="B278" t="s">
        <v>1764</v>
      </c>
      <c r="C278" t="s">
        <v>1847</v>
      </c>
      <c r="D278" t="s">
        <v>1917</v>
      </c>
      <c r="E278">
        <v>4.0975000000000001</v>
      </c>
    </row>
    <row r="279" spans="1:5" x14ac:dyDescent="0.2">
      <c r="A279" t="s">
        <v>698</v>
      </c>
      <c r="B279" t="s">
        <v>1764</v>
      </c>
      <c r="C279" t="s">
        <v>1847</v>
      </c>
      <c r="D279" t="s">
        <v>1918</v>
      </c>
      <c r="E279">
        <v>2.5041000000000002</v>
      </c>
    </row>
    <row r="280" spans="1:5" x14ac:dyDescent="0.2">
      <c r="A280" t="s">
        <v>1128</v>
      </c>
      <c r="B280" t="s">
        <v>1764</v>
      </c>
      <c r="C280" t="s">
        <v>1847</v>
      </c>
      <c r="D280" t="s">
        <v>1919</v>
      </c>
      <c r="E280">
        <v>2.1736</v>
      </c>
    </row>
    <row r="281" spans="1:5" x14ac:dyDescent="0.2">
      <c r="A281" t="s">
        <v>1112</v>
      </c>
      <c r="B281" t="s">
        <v>1764</v>
      </c>
      <c r="C281" t="s">
        <v>1847</v>
      </c>
      <c r="D281" t="s">
        <v>1920</v>
      </c>
      <c r="E281">
        <v>21.4</v>
      </c>
    </row>
    <row r="282" spans="1:5" x14ac:dyDescent="0.2">
      <c r="A282" t="s">
        <v>992</v>
      </c>
      <c r="B282" t="s">
        <v>1764</v>
      </c>
      <c r="C282" t="s">
        <v>1847</v>
      </c>
      <c r="D282" t="s">
        <v>1921</v>
      </c>
      <c r="E282">
        <v>4.2404999999999999</v>
      </c>
    </row>
    <row r="283" spans="1:5" x14ac:dyDescent="0.2">
      <c r="A283" t="s">
        <v>1345</v>
      </c>
      <c r="B283" t="s">
        <v>1764</v>
      </c>
      <c r="C283" t="s">
        <v>1847</v>
      </c>
      <c r="D283" t="s">
        <v>1922</v>
      </c>
      <c r="E283">
        <v>3.8584000000000001</v>
      </c>
    </row>
    <row r="284" spans="1:5" x14ac:dyDescent="0.2">
      <c r="A284" t="s">
        <v>1041</v>
      </c>
      <c r="B284" t="s">
        <v>1764</v>
      </c>
      <c r="C284" t="s">
        <v>1847</v>
      </c>
      <c r="D284" t="s">
        <v>1923</v>
      </c>
      <c r="E284">
        <v>9.2015999999999991</v>
      </c>
    </row>
    <row r="285" spans="1:5" x14ac:dyDescent="0.2">
      <c r="A285" t="s">
        <v>1101</v>
      </c>
      <c r="B285" t="s">
        <v>1764</v>
      </c>
      <c r="C285" t="s">
        <v>1847</v>
      </c>
      <c r="D285" t="s">
        <v>1924</v>
      </c>
      <c r="E285">
        <v>1.5012000000000001</v>
      </c>
    </row>
    <row r="286" spans="1:5" x14ac:dyDescent="0.2">
      <c r="A286" t="s">
        <v>1467</v>
      </c>
      <c r="B286" t="s">
        <v>1764</v>
      </c>
      <c r="C286" t="s">
        <v>1847</v>
      </c>
      <c r="D286" t="s">
        <v>1925</v>
      </c>
      <c r="E286">
        <v>2.6417999999999999</v>
      </c>
    </row>
    <row r="287" spans="1:5" x14ac:dyDescent="0.2">
      <c r="A287" t="s">
        <v>1199</v>
      </c>
      <c r="B287" t="s">
        <v>1764</v>
      </c>
      <c r="C287" t="s">
        <v>1847</v>
      </c>
      <c r="D287" t="s">
        <v>1926</v>
      </c>
      <c r="E287">
        <v>3.84</v>
      </c>
    </row>
    <row r="288" spans="1:5" x14ac:dyDescent="0.2">
      <c r="A288" t="s">
        <v>1380</v>
      </c>
      <c r="B288" t="s">
        <v>1764</v>
      </c>
      <c r="C288" t="s">
        <v>1847</v>
      </c>
      <c r="D288" t="s">
        <v>1927</v>
      </c>
      <c r="E288">
        <v>8.0024999999999995</v>
      </c>
    </row>
    <row r="289" spans="1:5" x14ac:dyDescent="0.2">
      <c r="A289" t="s">
        <v>1052</v>
      </c>
      <c r="B289" t="s">
        <v>1764</v>
      </c>
      <c r="C289" t="s">
        <v>1847</v>
      </c>
      <c r="D289" t="s">
        <v>1862</v>
      </c>
      <c r="E289">
        <v>2.4695</v>
      </c>
    </row>
    <row r="290" spans="1:5" x14ac:dyDescent="0.2">
      <c r="A290" t="s">
        <v>1266</v>
      </c>
      <c r="B290" t="s">
        <v>1764</v>
      </c>
      <c r="C290" t="s">
        <v>1847</v>
      </c>
      <c r="D290" t="s">
        <v>1928</v>
      </c>
      <c r="E290">
        <v>1.7172000000000001</v>
      </c>
    </row>
    <row r="291" spans="1:5" x14ac:dyDescent="0.2">
      <c r="A291" t="s">
        <v>867</v>
      </c>
      <c r="B291" t="s">
        <v>1764</v>
      </c>
      <c r="C291" t="s">
        <v>1847</v>
      </c>
      <c r="D291" t="s">
        <v>1929</v>
      </c>
      <c r="E291">
        <v>0.97760000000000002</v>
      </c>
    </row>
    <row r="292" spans="1:5" x14ac:dyDescent="0.2">
      <c r="A292" t="s">
        <v>1329</v>
      </c>
      <c r="B292" t="s">
        <v>1764</v>
      </c>
      <c r="C292" t="s">
        <v>1847</v>
      </c>
      <c r="D292" t="s">
        <v>1930</v>
      </c>
      <c r="E292">
        <v>4.4219999999999997</v>
      </c>
    </row>
    <row r="293" spans="1:5" x14ac:dyDescent="0.2">
      <c r="A293" t="s">
        <v>1229</v>
      </c>
      <c r="B293" t="s">
        <v>1764</v>
      </c>
      <c r="C293" t="s">
        <v>1847</v>
      </c>
      <c r="D293" t="s">
        <v>1931</v>
      </c>
      <c r="E293">
        <v>37.003999999999998</v>
      </c>
    </row>
    <row r="294" spans="1:5" x14ac:dyDescent="0.2">
      <c r="A294" t="s">
        <v>907</v>
      </c>
      <c r="B294" t="s">
        <v>1764</v>
      </c>
      <c r="C294" t="s">
        <v>1847</v>
      </c>
      <c r="D294" t="s">
        <v>1932</v>
      </c>
      <c r="E294">
        <v>8.3148</v>
      </c>
    </row>
    <row r="295" spans="1:5" x14ac:dyDescent="0.2">
      <c r="A295" t="s">
        <v>1064</v>
      </c>
      <c r="B295" t="s">
        <v>1764</v>
      </c>
      <c r="C295" t="s">
        <v>1847</v>
      </c>
      <c r="D295" t="s">
        <v>1933</v>
      </c>
      <c r="E295">
        <v>20.338999999999999</v>
      </c>
    </row>
    <row r="296" spans="1:5" x14ac:dyDescent="0.2">
      <c r="A296" t="s">
        <v>858</v>
      </c>
      <c r="B296" t="s">
        <v>1764</v>
      </c>
      <c r="C296" t="s">
        <v>1847</v>
      </c>
      <c r="D296" t="s">
        <v>1934</v>
      </c>
      <c r="E296">
        <v>210.49</v>
      </c>
    </row>
    <row r="297" spans="1:5" x14ac:dyDescent="0.2">
      <c r="A297" t="s">
        <v>725</v>
      </c>
      <c r="B297" t="s">
        <v>1764</v>
      </c>
      <c r="C297" t="s">
        <v>1847</v>
      </c>
      <c r="D297" t="s">
        <v>1935</v>
      </c>
      <c r="E297">
        <v>28.295999999999999</v>
      </c>
    </row>
    <row r="298" spans="1:5" x14ac:dyDescent="0.2">
      <c r="A298" t="s">
        <v>1055</v>
      </c>
      <c r="B298" t="s">
        <v>1764</v>
      </c>
      <c r="C298" t="s">
        <v>1847</v>
      </c>
      <c r="D298" t="s">
        <v>1936</v>
      </c>
      <c r="E298">
        <v>202.39449999999999</v>
      </c>
    </row>
    <row r="299" spans="1:5" x14ac:dyDescent="0.2">
      <c r="A299" t="s">
        <v>1025</v>
      </c>
      <c r="B299" t="s">
        <v>1764</v>
      </c>
      <c r="C299" t="s">
        <v>1847</v>
      </c>
      <c r="D299" t="s">
        <v>1937</v>
      </c>
      <c r="E299">
        <v>167.74449999999999</v>
      </c>
    </row>
    <row r="300" spans="1:5" x14ac:dyDescent="0.2">
      <c r="A300" t="s">
        <v>722</v>
      </c>
      <c r="B300" t="s">
        <v>1764</v>
      </c>
      <c r="C300" t="s">
        <v>1847</v>
      </c>
      <c r="D300" t="s">
        <v>1938</v>
      </c>
      <c r="E300">
        <v>2.8849999999999998</v>
      </c>
    </row>
    <row r="301" spans="1:5" x14ac:dyDescent="0.2">
      <c r="A301" t="s">
        <v>929</v>
      </c>
      <c r="B301" t="s">
        <v>1764</v>
      </c>
      <c r="C301" t="s">
        <v>1847</v>
      </c>
      <c r="D301" t="s">
        <v>1939</v>
      </c>
      <c r="E301">
        <v>1.1232</v>
      </c>
    </row>
    <row r="302" spans="1:5" x14ac:dyDescent="0.2">
      <c r="A302" t="s">
        <v>1596</v>
      </c>
      <c r="B302" t="s">
        <v>1764</v>
      </c>
      <c r="C302" t="s">
        <v>1847</v>
      </c>
      <c r="D302" t="s">
        <v>1940</v>
      </c>
      <c r="E302">
        <v>6.2295999999999996</v>
      </c>
    </row>
    <row r="303" spans="1:5" x14ac:dyDescent="0.2">
      <c r="A303" t="s">
        <v>874</v>
      </c>
      <c r="B303" t="s">
        <v>1764</v>
      </c>
      <c r="C303" t="s">
        <v>1847</v>
      </c>
      <c r="D303" t="s">
        <v>1941</v>
      </c>
      <c r="E303">
        <v>6.3250000000000002</v>
      </c>
    </row>
    <row r="304" spans="1:5" x14ac:dyDescent="0.2">
      <c r="A304" t="s">
        <v>1158</v>
      </c>
      <c r="B304" t="s">
        <v>1764</v>
      </c>
      <c r="C304" t="s">
        <v>1847</v>
      </c>
      <c r="D304" t="s">
        <v>1942</v>
      </c>
      <c r="E304">
        <v>1.1024</v>
      </c>
    </row>
    <row r="305" spans="1:5" x14ac:dyDescent="0.2">
      <c r="A305" t="s">
        <v>816</v>
      </c>
      <c r="B305" t="s">
        <v>1764</v>
      </c>
      <c r="C305" t="s">
        <v>1847</v>
      </c>
      <c r="D305" t="s">
        <v>1943</v>
      </c>
      <c r="E305">
        <v>2.1888999999999998</v>
      </c>
    </row>
    <row r="306" spans="1:5" x14ac:dyDescent="0.2">
      <c r="A306" t="s">
        <v>623</v>
      </c>
      <c r="B306" t="s">
        <v>1764</v>
      </c>
      <c r="C306" t="s">
        <v>1847</v>
      </c>
      <c r="D306" t="s">
        <v>1944</v>
      </c>
      <c r="E306">
        <v>734.93460000000005</v>
      </c>
    </row>
    <row r="307" spans="1:5" x14ac:dyDescent="0.2">
      <c r="A307" t="s">
        <v>706</v>
      </c>
      <c r="B307" t="s">
        <v>1764</v>
      </c>
      <c r="C307" t="s">
        <v>1945</v>
      </c>
      <c r="D307" t="s">
        <v>1946</v>
      </c>
      <c r="E307">
        <v>4.6322000000000001</v>
      </c>
    </row>
    <row r="308" spans="1:5" x14ac:dyDescent="0.2">
      <c r="A308" t="s">
        <v>833</v>
      </c>
      <c r="B308" t="s">
        <v>1764</v>
      </c>
      <c r="C308" t="s">
        <v>1945</v>
      </c>
      <c r="D308" t="s">
        <v>1946</v>
      </c>
      <c r="E308">
        <v>4.6322000000000001</v>
      </c>
    </row>
    <row r="309" spans="1:5" x14ac:dyDescent="0.2">
      <c r="A309" t="s">
        <v>679</v>
      </c>
      <c r="B309" t="s">
        <v>1764</v>
      </c>
      <c r="C309" t="s">
        <v>1945</v>
      </c>
      <c r="D309" t="s">
        <v>1947</v>
      </c>
      <c r="E309">
        <v>3.8963999999999999</v>
      </c>
    </row>
    <row r="310" spans="1:5" x14ac:dyDescent="0.2">
      <c r="A310" t="s">
        <v>1163</v>
      </c>
      <c r="B310" t="s">
        <v>1764</v>
      </c>
      <c r="C310" t="s">
        <v>1945</v>
      </c>
      <c r="D310" t="s">
        <v>1948</v>
      </c>
      <c r="E310">
        <v>26.882100000000001</v>
      </c>
    </row>
    <row r="311" spans="1:5" x14ac:dyDescent="0.2">
      <c r="A311" t="s">
        <v>876</v>
      </c>
      <c r="B311" t="s">
        <v>1764</v>
      </c>
      <c r="C311" t="s">
        <v>1945</v>
      </c>
      <c r="D311" t="s">
        <v>1949</v>
      </c>
      <c r="E311">
        <v>3.0104000000000002</v>
      </c>
    </row>
    <row r="312" spans="1:5" x14ac:dyDescent="0.2">
      <c r="A312" t="s">
        <v>1275</v>
      </c>
      <c r="B312" t="s">
        <v>1764</v>
      </c>
      <c r="C312" t="s">
        <v>1945</v>
      </c>
      <c r="D312" t="s">
        <v>1950</v>
      </c>
      <c r="E312">
        <v>14.4054</v>
      </c>
    </row>
    <row r="313" spans="1:5" x14ac:dyDescent="0.2">
      <c r="A313" t="s">
        <v>1215</v>
      </c>
      <c r="B313" t="s">
        <v>1764</v>
      </c>
      <c r="C313" t="s">
        <v>1945</v>
      </c>
      <c r="D313" t="s">
        <v>1951</v>
      </c>
      <c r="E313">
        <v>5.79</v>
      </c>
    </row>
    <row r="314" spans="1:5" x14ac:dyDescent="0.2">
      <c r="A314" t="s">
        <v>1454</v>
      </c>
      <c r="B314" t="s">
        <v>1764</v>
      </c>
      <c r="C314" t="s">
        <v>1945</v>
      </c>
      <c r="D314" t="s">
        <v>1949</v>
      </c>
      <c r="E314">
        <v>4.8899999999999997</v>
      </c>
    </row>
    <row r="315" spans="1:5" x14ac:dyDescent="0.2">
      <c r="A315" t="s">
        <v>886</v>
      </c>
      <c r="B315" t="s">
        <v>1764</v>
      </c>
      <c r="C315" t="s">
        <v>1945</v>
      </c>
      <c r="D315" t="s">
        <v>1952</v>
      </c>
      <c r="E315">
        <v>2.3296000000000001</v>
      </c>
    </row>
    <row r="316" spans="1:5" x14ac:dyDescent="0.2">
      <c r="A316" t="s">
        <v>1081</v>
      </c>
      <c r="B316" t="s">
        <v>1764</v>
      </c>
      <c r="C316" t="s">
        <v>1945</v>
      </c>
      <c r="D316" t="s">
        <v>1953</v>
      </c>
      <c r="E316">
        <v>11.6494</v>
      </c>
    </row>
    <row r="317" spans="1:5" x14ac:dyDescent="0.2">
      <c r="A317" t="s">
        <v>641</v>
      </c>
      <c r="B317" t="s">
        <v>1764</v>
      </c>
      <c r="C317" t="s">
        <v>1945</v>
      </c>
      <c r="D317" t="s">
        <v>1954</v>
      </c>
      <c r="E317">
        <v>1.9925999999999999</v>
      </c>
    </row>
    <row r="318" spans="1:5" x14ac:dyDescent="0.2">
      <c r="A318" t="s">
        <v>1211</v>
      </c>
      <c r="B318" t="s">
        <v>1764</v>
      </c>
      <c r="C318" t="s">
        <v>1945</v>
      </c>
      <c r="D318" t="s">
        <v>1955</v>
      </c>
      <c r="E318">
        <v>3.0497999999999998</v>
      </c>
    </row>
    <row r="319" spans="1:5" x14ac:dyDescent="0.2">
      <c r="A319" t="s">
        <v>1284</v>
      </c>
      <c r="B319" t="s">
        <v>1764</v>
      </c>
      <c r="C319" t="s">
        <v>1945</v>
      </c>
      <c r="D319" t="s">
        <v>1956</v>
      </c>
      <c r="E319">
        <v>11.994999999999999</v>
      </c>
    </row>
    <row r="320" spans="1:5" x14ac:dyDescent="0.2">
      <c r="A320" t="s">
        <v>1546</v>
      </c>
      <c r="B320" t="s">
        <v>1764</v>
      </c>
      <c r="C320" t="s">
        <v>1945</v>
      </c>
      <c r="D320" t="s">
        <v>1957</v>
      </c>
      <c r="E320">
        <v>3.8963999999999999</v>
      </c>
    </row>
    <row r="321" spans="1:5" x14ac:dyDescent="0.2">
      <c r="A321" t="s">
        <v>1370</v>
      </c>
      <c r="B321" t="s">
        <v>1764</v>
      </c>
      <c r="C321" t="s">
        <v>1945</v>
      </c>
      <c r="D321" t="s">
        <v>1949</v>
      </c>
      <c r="E321">
        <v>15.799799999999999</v>
      </c>
    </row>
    <row r="322" spans="1:5" x14ac:dyDescent="0.2">
      <c r="A322" t="s">
        <v>1492</v>
      </c>
      <c r="B322" t="s">
        <v>1764</v>
      </c>
      <c r="C322" t="s">
        <v>1958</v>
      </c>
      <c r="D322" t="s">
        <v>1959</v>
      </c>
      <c r="E322">
        <v>1.79</v>
      </c>
    </row>
    <row r="323" spans="1:5" x14ac:dyDescent="0.2">
      <c r="A323" t="s">
        <v>878</v>
      </c>
      <c r="B323" t="s">
        <v>1764</v>
      </c>
      <c r="C323" t="s">
        <v>1958</v>
      </c>
      <c r="D323" t="s">
        <v>1960</v>
      </c>
      <c r="E323">
        <v>1.8815</v>
      </c>
    </row>
    <row r="324" spans="1:5" x14ac:dyDescent="0.2">
      <c r="A324" t="s">
        <v>1476</v>
      </c>
      <c r="B324" t="s">
        <v>1764</v>
      </c>
      <c r="C324" t="s">
        <v>1958</v>
      </c>
      <c r="D324" t="s">
        <v>1961</v>
      </c>
      <c r="E324">
        <v>1.9403999999999999</v>
      </c>
    </row>
    <row r="325" spans="1:5" x14ac:dyDescent="0.2">
      <c r="A325" t="s">
        <v>1167</v>
      </c>
      <c r="B325" t="s">
        <v>1764</v>
      </c>
      <c r="C325" t="s">
        <v>1958</v>
      </c>
      <c r="D325" t="s">
        <v>1962</v>
      </c>
      <c r="E325">
        <v>1.5264</v>
      </c>
    </row>
    <row r="326" spans="1:5" x14ac:dyDescent="0.2">
      <c r="A326" t="s">
        <v>716</v>
      </c>
      <c r="B326" t="s">
        <v>1764</v>
      </c>
      <c r="C326" t="s">
        <v>1958</v>
      </c>
      <c r="D326" t="s">
        <v>1963</v>
      </c>
      <c r="E326">
        <v>1.4605999999999999</v>
      </c>
    </row>
    <row r="327" spans="1:5" x14ac:dyDescent="0.2">
      <c r="A327" t="s">
        <v>1075</v>
      </c>
      <c r="B327" t="s">
        <v>1764</v>
      </c>
      <c r="C327" t="s">
        <v>1958</v>
      </c>
      <c r="D327" t="s">
        <v>1964</v>
      </c>
      <c r="E327">
        <v>2.6</v>
      </c>
    </row>
    <row r="328" spans="1:5" x14ac:dyDescent="0.2">
      <c r="A328" t="s">
        <v>1253</v>
      </c>
      <c r="B328" t="s">
        <v>1764</v>
      </c>
      <c r="C328" t="s">
        <v>1958</v>
      </c>
      <c r="D328" t="s">
        <v>1965</v>
      </c>
      <c r="E328">
        <v>1.6128</v>
      </c>
    </row>
    <row r="329" spans="1:5" x14ac:dyDescent="0.2">
      <c r="A329" t="s">
        <v>994</v>
      </c>
      <c r="B329" t="s">
        <v>1764</v>
      </c>
      <c r="C329" t="s">
        <v>1958</v>
      </c>
      <c r="D329" t="s">
        <v>1966</v>
      </c>
      <c r="E329">
        <v>2.6859999999999999</v>
      </c>
    </row>
    <row r="330" spans="1:5" x14ac:dyDescent="0.2">
      <c r="A330" t="s">
        <v>1338</v>
      </c>
      <c r="B330" t="s">
        <v>1764</v>
      </c>
      <c r="C330" t="s">
        <v>1958</v>
      </c>
      <c r="D330" t="s">
        <v>1967</v>
      </c>
      <c r="E330">
        <v>2.0411999999999999</v>
      </c>
    </row>
    <row r="331" spans="1:5" x14ac:dyDescent="0.2">
      <c r="A331" t="s">
        <v>1151</v>
      </c>
      <c r="B331" t="s">
        <v>1764</v>
      </c>
      <c r="C331" t="s">
        <v>1958</v>
      </c>
      <c r="D331" t="s">
        <v>1968</v>
      </c>
      <c r="E331">
        <v>1.7732000000000001</v>
      </c>
    </row>
    <row r="332" spans="1:5" x14ac:dyDescent="0.2">
      <c r="A332" t="s">
        <v>1486</v>
      </c>
      <c r="B332" t="s">
        <v>1764</v>
      </c>
      <c r="C332" t="s">
        <v>1958</v>
      </c>
      <c r="D332" t="s">
        <v>1969</v>
      </c>
      <c r="E332">
        <v>1.2126999999999999</v>
      </c>
    </row>
    <row r="333" spans="1:5" x14ac:dyDescent="0.2">
      <c r="A333" t="s">
        <v>1614</v>
      </c>
      <c r="B333" t="s">
        <v>1764</v>
      </c>
      <c r="C333" t="s">
        <v>1958</v>
      </c>
      <c r="D333" t="s">
        <v>1970</v>
      </c>
      <c r="E333">
        <v>1.98</v>
      </c>
    </row>
    <row r="334" spans="1:5" x14ac:dyDescent="0.2">
      <c r="A334" t="s">
        <v>1073</v>
      </c>
      <c r="B334" t="s">
        <v>1764</v>
      </c>
      <c r="C334" t="s">
        <v>1958</v>
      </c>
      <c r="D334" t="s">
        <v>1967</v>
      </c>
      <c r="E334">
        <v>3.04</v>
      </c>
    </row>
    <row r="335" spans="1:5" x14ac:dyDescent="0.2">
      <c r="A335" t="s">
        <v>1306</v>
      </c>
      <c r="B335" t="s">
        <v>1764</v>
      </c>
      <c r="C335" t="s">
        <v>1971</v>
      </c>
      <c r="D335" t="s">
        <v>1972</v>
      </c>
      <c r="E335">
        <v>1.6015999999999999</v>
      </c>
    </row>
    <row r="336" spans="1:5" x14ac:dyDescent="0.2">
      <c r="A336" t="s">
        <v>895</v>
      </c>
      <c r="B336" t="s">
        <v>1764</v>
      </c>
      <c r="C336" t="s">
        <v>1971</v>
      </c>
      <c r="D336" t="s">
        <v>1973</v>
      </c>
      <c r="E336">
        <v>1.9557</v>
      </c>
    </row>
    <row r="337" spans="1:5" x14ac:dyDescent="0.2">
      <c r="A337" t="s">
        <v>1223</v>
      </c>
      <c r="B337" t="s">
        <v>1764</v>
      </c>
      <c r="C337" t="s">
        <v>1971</v>
      </c>
      <c r="D337" t="s">
        <v>1974</v>
      </c>
      <c r="E337">
        <v>2.6892</v>
      </c>
    </row>
    <row r="338" spans="1:5" x14ac:dyDescent="0.2">
      <c r="A338" t="s">
        <v>1433</v>
      </c>
      <c r="B338" t="s">
        <v>1764</v>
      </c>
      <c r="C338" t="s">
        <v>1971</v>
      </c>
      <c r="D338" t="s">
        <v>1975</v>
      </c>
      <c r="E338">
        <v>1.6379999999999999</v>
      </c>
    </row>
    <row r="339" spans="1:5" x14ac:dyDescent="0.2">
      <c r="A339" t="s">
        <v>1130</v>
      </c>
      <c r="B339" t="s">
        <v>1764</v>
      </c>
      <c r="C339" t="s">
        <v>1971</v>
      </c>
      <c r="D339" t="s">
        <v>1976</v>
      </c>
      <c r="E339">
        <v>1.4094</v>
      </c>
    </row>
    <row r="340" spans="1:5" x14ac:dyDescent="0.2">
      <c r="A340" t="s">
        <v>1102</v>
      </c>
      <c r="B340" t="s">
        <v>1764</v>
      </c>
      <c r="C340" t="s">
        <v>1971</v>
      </c>
      <c r="D340" t="s">
        <v>1977</v>
      </c>
      <c r="E340">
        <v>5.3819999999999997</v>
      </c>
    </row>
    <row r="341" spans="1:5" x14ac:dyDescent="0.2">
      <c r="A341" t="s">
        <v>909</v>
      </c>
      <c r="B341" t="s">
        <v>1764</v>
      </c>
      <c r="C341" t="s">
        <v>1971</v>
      </c>
      <c r="D341" t="s">
        <v>1978</v>
      </c>
      <c r="E341">
        <v>1.4688000000000001</v>
      </c>
    </row>
    <row r="342" spans="1:5" x14ac:dyDescent="0.2">
      <c r="A342" t="s">
        <v>909</v>
      </c>
      <c r="B342" t="s">
        <v>1764</v>
      </c>
      <c r="C342" t="s">
        <v>1971</v>
      </c>
      <c r="D342" t="s">
        <v>1978</v>
      </c>
      <c r="E342">
        <v>1.4688000000000001</v>
      </c>
    </row>
    <row r="343" spans="1:5" x14ac:dyDescent="0.2">
      <c r="A343" t="s">
        <v>1184</v>
      </c>
      <c r="B343" t="s">
        <v>1764</v>
      </c>
      <c r="C343" t="s">
        <v>1971</v>
      </c>
      <c r="D343" t="s">
        <v>1979</v>
      </c>
      <c r="E343">
        <v>5.3819999999999997</v>
      </c>
    </row>
    <row r="344" spans="1:5" x14ac:dyDescent="0.2">
      <c r="A344" t="s">
        <v>1022</v>
      </c>
      <c r="B344" t="s">
        <v>1764</v>
      </c>
      <c r="C344" t="s">
        <v>1971</v>
      </c>
      <c r="D344" t="s">
        <v>1980</v>
      </c>
      <c r="E344">
        <v>16.4862</v>
      </c>
    </row>
    <row r="345" spans="1:5" x14ac:dyDescent="0.2">
      <c r="A345" t="s">
        <v>705</v>
      </c>
      <c r="B345" t="s">
        <v>1764</v>
      </c>
      <c r="C345" t="s">
        <v>1971</v>
      </c>
      <c r="D345" t="s">
        <v>1981</v>
      </c>
      <c r="E345">
        <v>2.6892</v>
      </c>
    </row>
    <row r="346" spans="1:5" x14ac:dyDescent="0.2">
      <c r="A346" t="s">
        <v>818</v>
      </c>
      <c r="B346" t="s">
        <v>1764</v>
      </c>
      <c r="C346" t="s">
        <v>1971</v>
      </c>
      <c r="D346" t="s">
        <v>1982</v>
      </c>
      <c r="E346">
        <v>1.6379999999999999</v>
      </c>
    </row>
    <row r="347" spans="1:5" x14ac:dyDescent="0.2">
      <c r="A347" t="s">
        <v>1265</v>
      </c>
      <c r="B347" t="s">
        <v>1764</v>
      </c>
      <c r="C347" t="s">
        <v>1971</v>
      </c>
      <c r="D347" t="s">
        <v>1983</v>
      </c>
      <c r="E347">
        <v>1.95</v>
      </c>
    </row>
    <row r="348" spans="1:5" x14ac:dyDescent="0.2">
      <c r="A348" t="s">
        <v>606</v>
      </c>
      <c r="B348" t="s">
        <v>1764</v>
      </c>
      <c r="C348" t="s">
        <v>1971</v>
      </c>
      <c r="D348" t="s">
        <v>1984</v>
      </c>
      <c r="E348">
        <v>5.3819999999999997</v>
      </c>
    </row>
    <row r="349" spans="1:5" x14ac:dyDescent="0.2">
      <c r="A349" t="s">
        <v>1048</v>
      </c>
      <c r="B349" t="s">
        <v>1764</v>
      </c>
      <c r="C349" t="s">
        <v>1971</v>
      </c>
      <c r="D349" t="s">
        <v>1985</v>
      </c>
      <c r="E349">
        <v>1.6015999999999999</v>
      </c>
    </row>
    <row r="350" spans="1:5" x14ac:dyDescent="0.2">
      <c r="A350" t="s">
        <v>786</v>
      </c>
      <c r="B350" t="s">
        <v>1764</v>
      </c>
      <c r="C350" t="s">
        <v>1971</v>
      </c>
      <c r="D350" t="s">
        <v>1986</v>
      </c>
      <c r="E350">
        <v>1.6015999999999999</v>
      </c>
    </row>
    <row r="351" spans="1:5" x14ac:dyDescent="0.2">
      <c r="A351" t="s">
        <v>1105</v>
      </c>
      <c r="B351" t="s">
        <v>1764</v>
      </c>
      <c r="C351" t="s">
        <v>1971</v>
      </c>
      <c r="D351" t="s">
        <v>1987</v>
      </c>
      <c r="E351">
        <v>3.8742999999999999</v>
      </c>
    </row>
    <row r="352" spans="1:5" x14ac:dyDescent="0.2">
      <c r="A352" t="s">
        <v>1511</v>
      </c>
      <c r="B352" t="s">
        <v>1764</v>
      </c>
      <c r="C352" t="s">
        <v>1971</v>
      </c>
      <c r="D352" t="s">
        <v>1988</v>
      </c>
      <c r="E352">
        <v>3.4020000000000001</v>
      </c>
    </row>
    <row r="353" spans="1:5" x14ac:dyDescent="0.2">
      <c r="A353" t="s">
        <v>810</v>
      </c>
      <c r="B353" t="s">
        <v>1764</v>
      </c>
      <c r="C353" t="s">
        <v>1971</v>
      </c>
      <c r="D353" t="s">
        <v>1989</v>
      </c>
      <c r="E353">
        <v>1.4688000000000001</v>
      </c>
    </row>
    <row r="354" spans="1:5" x14ac:dyDescent="0.2">
      <c r="A354" t="s">
        <v>1445</v>
      </c>
      <c r="B354" t="s">
        <v>1764</v>
      </c>
      <c r="C354" t="s">
        <v>1971</v>
      </c>
      <c r="D354" t="s">
        <v>1990</v>
      </c>
      <c r="E354">
        <v>2.5041000000000002</v>
      </c>
    </row>
    <row r="355" spans="1:5" x14ac:dyDescent="0.2">
      <c r="A355" t="s">
        <v>1054</v>
      </c>
      <c r="B355" t="s">
        <v>1764</v>
      </c>
      <c r="C355" t="s">
        <v>1971</v>
      </c>
      <c r="D355" t="s">
        <v>1991</v>
      </c>
      <c r="E355">
        <v>1.9557</v>
      </c>
    </row>
    <row r="356" spans="1:5" x14ac:dyDescent="0.2">
      <c r="A356" t="s">
        <v>1411</v>
      </c>
      <c r="B356" t="s">
        <v>1764</v>
      </c>
      <c r="C356" t="s">
        <v>1971</v>
      </c>
      <c r="D356" t="s">
        <v>1992</v>
      </c>
      <c r="E356">
        <v>7.4</v>
      </c>
    </row>
    <row r="357" spans="1:5" x14ac:dyDescent="0.2">
      <c r="A357" t="s">
        <v>1532</v>
      </c>
      <c r="B357" t="s">
        <v>1764</v>
      </c>
      <c r="C357" t="s">
        <v>1971</v>
      </c>
      <c r="D357" t="s">
        <v>1993</v>
      </c>
      <c r="E357">
        <v>2.2302</v>
      </c>
    </row>
    <row r="358" spans="1:5" x14ac:dyDescent="0.2">
      <c r="A358" t="s">
        <v>695</v>
      </c>
      <c r="B358" t="s">
        <v>1764</v>
      </c>
      <c r="C358" t="s">
        <v>1971</v>
      </c>
      <c r="D358" t="s">
        <v>1994</v>
      </c>
      <c r="E358">
        <v>1.5317000000000001</v>
      </c>
    </row>
    <row r="359" spans="1:5" x14ac:dyDescent="0.2">
      <c r="A359" t="s">
        <v>1560</v>
      </c>
      <c r="B359" t="s">
        <v>1764</v>
      </c>
      <c r="C359" t="s">
        <v>1971</v>
      </c>
      <c r="D359" t="s">
        <v>1995</v>
      </c>
      <c r="E359">
        <v>1.5551999999999999</v>
      </c>
    </row>
    <row r="360" spans="1:5" x14ac:dyDescent="0.2">
      <c r="A360" t="s">
        <v>732</v>
      </c>
      <c r="B360" t="s">
        <v>1764</v>
      </c>
      <c r="C360" t="s">
        <v>1971</v>
      </c>
      <c r="D360" t="s">
        <v>1996</v>
      </c>
      <c r="E360">
        <v>1.5317000000000001</v>
      </c>
    </row>
    <row r="361" spans="1:5" x14ac:dyDescent="0.2">
      <c r="A361" t="s">
        <v>1007</v>
      </c>
      <c r="B361" t="s">
        <v>1764</v>
      </c>
      <c r="C361" t="s">
        <v>1971</v>
      </c>
      <c r="D361" t="s">
        <v>1997</v>
      </c>
      <c r="E361">
        <v>7.4</v>
      </c>
    </row>
    <row r="362" spans="1:5" x14ac:dyDescent="0.2">
      <c r="A362" t="s">
        <v>1384</v>
      </c>
      <c r="B362" t="s">
        <v>1764</v>
      </c>
      <c r="C362" t="s">
        <v>1971</v>
      </c>
      <c r="D362" t="s">
        <v>1998</v>
      </c>
      <c r="E362">
        <v>1.4688000000000001</v>
      </c>
    </row>
    <row r="363" spans="1:5" x14ac:dyDescent="0.2">
      <c r="A363" t="s">
        <v>1280</v>
      </c>
      <c r="B363" t="s">
        <v>1764</v>
      </c>
      <c r="C363" t="s">
        <v>1999</v>
      </c>
      <c r="D363" t="s">
        <v>2000</v>
      </c>
      <c r="E363">
        <v>3.3696000000000002</v>
      </c>
    </row>
    <row r="364" spans="1:5" x14ac:dyDescent="0.2">
      <c r="A364" t="s">
        <v>905</v>
      </c>
      <c r="B364" t="s">
        <v>1764</v>
      </c>
      <c r="C364" t="s">
        <v>1999</v>
      </c>
      <c r="D364" t="s">
        <v>2001</v>
      </c>
      <c r="E364">
        <v>28.029599999999999</v>
      </c>
    </row>
    <row r="365" spans="1:5" x14ac:dyDescent="0.2">
      <c r="A365" t="s">
        <v>1289</v>
      </c>
      <c r="B365" t="s">
        <v>1764</v>
      </c>
      <c r="C365" t="s">
        <v>1999</v>
      </c>
      <c r="D365" t="s">
        <v>2002</v>
      </c>
      <c r="E365">
        <v>1.1554</v>
      </c>
    </row>
    <row r="366" spans="1:5" x14ac:dyDescent="0.2">
      <c r="A366" t="s">
        <v>1577</v>
      </c>
      <c r="B366" t="s">
        <v>1764</v>
      </c>
      <c r="C366" t="s">
        <v>1999</v>
      </c>
      <c r="D366" t="s">
        <v>2003</v>
      </c>
      <c r="E366">
        <v>10.589399999999999</v>
      </c>
    </row>
    <row r="367" spans="1:5" x14ac:dyDescent="0.2">
      <c r="A367" t="s">
        <v>983</v>
      </c>
      <c r="B367" t="s">
        <v>1764</v>
      </c>
      <c r="C367" t="s">
        <v>1999</v>
      </c>
      <c r="D367" t="s">
        <v>2004</v>
      </c>
      <c r="E367">
        <v>5.4484000000000004</v>
      </c>
    </row>
    <row r="368" spans="1:5" x14ac:dyDescent="0.2">
      <c r="A368" t="s">
        <v>1281</v>
      </c>
      <c r="B368" t="s">
        <v>1764</v>
      </c>
      <c r="C368" t="s">
        <v>1999</v>
      </c>
      <c r="D368" t="s">
        <v>2005</v>
      </c>
      <c r="E368">
        <v>9.8643999999999998</v>
      </c>
    </row>
    <row r="369" spans="1:5" x14ac:dyDescent="0.2">
      <c r="A369" t="s">
        <v>932</v>
      </c>
      <c r="B369" t="s">
        <v>1764</v>
      </c>
      <c r="C369" t="s">
        <v>1999</v>
      </c>
      <c r="D369" t="s">
        <v>2006</v>
      </c>
      <c r="E369">
        <v>2.6394000000000002</v>
      </c>
    </row>
    <row r="370" spans="1:5" x14ac:dyDescent="0.2">
      <c r="A370" t="s">
        <v>1499</v>
      </c>
      <c r="B370" t="s">
        <v>1764</v>
      </c>
      <c r="C370" t="s">
        <v>1999</v>
      </c>
      <c r="D370" t="s">
        <v>2007</v>
      </c>
      <c r="E370">
        <v>3.3048000000000002</v>
      </c>
    </row>
    <row r="371" spans="1:5" x14ac:dyDescent="0.2">
      <c r="A371" t="s">
        <v>1448</v>
      </c>
      <c r="B371" t="s">
        <v>1764</v>
      </c>
      <c r="C371" t="s">
        <v>1999</v>
      </c>
      <c r="D371" t="s">
        <v>2008</v>
      </c>
      <c r="E371">
        <v>6.5084</v>
      </c>
    </row>
    <row r="372" spans="1:5" x14ac:dyDescent="0.2">
      <c r="A372" t="s">
        <v>773</v>
      </c>
      <c r="B372" t="s">
        <v>1764</v>
      </c>
      <c r="C372" t="s">
        <v>1999</v>
      </c>
      <c r="D372" t="s">
        <v>2009</v>
      </c>
      <c r="E372">
        <v>2.9039999999999999</v>
      </c>
    </row>
    <row r="373" spans="1:5" x14ac:dyDescent="0.2">
      <c r="A373" t="s">
        <v>1398</v>
      </c>
      <c r="B373" t="s">
        <v>1764</v>
      </c>
      <c r="C373" t="s">
        <v>1999</v>
      </c>
      <c r="D373" t="s">
        <v>2008</v>
      </c>
      <c r="E373">
        <v>2.6394000000000002</v>
      </c>
    </row>
    <row r="374" spans="1:5" x14ac:dyDescent="0.2">
      <c r="A374" t="s">
        <v>1414</v>
      </c>
      <c r="B374" t="s">
        <v>1764</v>
      </c>
      <c r="C374" t="s">
        <v>1999</v>
      </c>
      <c r="D374" t="s">
        <v>2010</v>
      </c>
      <c r="E374">
        <v>20.904900000000001</v>
      </c>
    </row>
    <row r="375" spans="1:5" x14ac:dyDescent="0.2">
      <c r="A375" t="s">
        <v>971</v>
      </c>
      <c r="B375" t="s">
        <v>1764</v>
      </c>
      <c r="C375" t="s">
        <v>1999</v>
      </c>
      <c r="D375" t="s">
        <v>2008</v>
      </c>
      <c r="E375">
        <v>18.783200000000001</v>
      </c>
    </row>
    <row r="376" spans="1:5" x14ac:dyDescent="0.2">
      <c r="A376" t="s">
        <v>902</v>
      </c>
      <c r="B376" t="s">
        <v>1764</v>
      </c>
      <c r="C376" t="s">
        <v>1999</v>
      </c>
      <c r="D376" t="s">
        <v>2011</v>
      </c>
      <c r="E376">
        <v>2.6394000000000002</v>
      </c>
    </row>
    <row r="377" spans="1:5" x14ac:dyDescent="0.2">
      <c r="A377" t="s">
        <v>1019</v>
      </c>
      <c r="B377" t="s">
        <v>1764</v>
      </c>
      <c r="C377" t="s">
        <v>1999</v>
      </c>
      <c r="D377" t="s">
        <v>2012</v>
      </c>
      <c r="E377">
        <v>2.9039999999999999</v>
      </c>
    </row>
    <row r="378" spans="1:5" x14ac:dyDescent="0.2">
      <c r="A378" t="s">
        <v>837</v>
      </c>
      <c r="B378" t="s">
        <v>1764</v>
      </c>
      <c r="C378" t="s">
        <v>1999</v>
      </c>
      <c r="D378" t="s">
        <v>2013</v>
      </c>
      <c r="E378">
        <v>3.5316000000000001</v>
      </c>
    </row>
    <row r="379" spans="1:5" x14ac:dyDescent="0.2">
      <c r="A379" t="s">
        <v>1570</v>
      </c>
      <c r="B379" t="s">
        <v>1764</v>
      </c>
      <c r="C379" t="s">
        <v>1999</v>
      </c>
      <c r="D379" t="s">
        <v>2008</v>
      </c>
      <c r="E379">
        <v>28.549800000000001</v>
      </c>
    </row>
    <row r="380" spans="1:5" x14ac:dyDescent="0.2">
      <c r="A380" t="s">
        <v>1417</v>
      </c>
      <c r="B380" t="s">
        <v>1764</v>
      </c>
      <c r="C380" t="s">
        <v>1999</v>
      </c>
      <c r="D380" t="s">
        <v>2014</v>
      </c>
      <c r="E380">
        <v>2.9478</v>
      </c>
    </row>
    <row r="381" spans="1:5" x14ac:dyDescent="0.2">
      <c r="A381" t="s">
        <v>1514</v>
      </c>
      <c r="B381" t="s">
        <v>1764</v>
      </c>
      <c r="C381" t="s">
        <v>1999</v>
      </c>
      <c r="D381" t="s">
        <v>2015</v>
      </c>
      <c r="E381">
        <v>9.1104000000000003</v>
      </c>
    </row>
    <row r="382" spans="1:5" x14ac:dyDescent="0.2">
      <c r="A382" t="s">
        <v>603</v>
      </c>
      <c r="B382" t="s">
        <v>1764</v>
      </c>
      <c r="C382" t="s">
        <v>1999</v>
      </c>
      <c r="D382" t="s">
        <v>2016</v>
      </c>
      <c r="E382">
        <v>3.7856000000000001</v>
      </c>
    </row>
    <row r="383" spans="1:5" x14ac:dyDescent="0.2">
      <c r="A383" t="s">
        <v>1180</v>
      </c>
      <c r="B383" t="s">
        <v>1764</v>
      </c>
      <c r="C383" t="s">
        <v>1999</v>
      </c>
      <c r="D383" t="s">
        <v>2017</v>
      </c>
      <c r="E383">
        <v>20.904900000000001</v>
      </c>
    </row>
    <row r="384" spans="1:5" x14ac:dyDescent="0.2">
      <c r="A384" t="s">
        <v>675</v>
      </c>
      <c r="B384" t="s">
        <v>1764</v>
      </c>
      <c r="C384" t="s">
        <v>1999</v>
      </c>
      <c r="D384" t="s">
        <v>2018</v>
      </c>
      <c r="E384">
        <v>3.4735999999999998</v>
      </c>
    </row>
    <row r="385" spans="1:5" x14ac:dyDescent="0.2">
      <c r="A385" t="s">
        <v>781</v>
      </c>
      <c r="B385" t="s">
        <v>1764</v>
      </c>
      <c r="C385" t="s">
        <v>1999</v>
      </c>
      <c r="D385" t="s">
        <v>2019</v>
      </c>
      <c r="E385">
        <v>3.3696000000000002</v>
      </c>
    </row>
    <row r="386" spans="1:5" x14ac:dyDescent="0.2">
      <c r="A386" t="s">
        <v>1201</v>
      </c>
      <c r="B386" t="s">
        <v>1764</v>
      </c>
      <c r="C386" t="s">
        <v>1999</v>
      </c>
      <c r="D386" t="s">
        <v>2020</v>
      </c>
      <c r="E386">
        <v>1.99</v>
      </c>
    </row>
    <row r="387" spans="1:5" x14ac:dyDescent="0.2">
      <c r="A387" t="s">
        <v>711</v>
      </c>
      <c r="B387" t="s">
        <v>1764</v>
      </c>
      <c r="C387" t="s">
        <v>1999</v>
      </c>
      <c r="D387" t="s">
        <v>2021</v>
      </c>
      <c r="E387">
        <v>3.5316000000000001</v>
      </c>
    </row>
    <row r="388" spans="1:5" x14ac:dyDescent="0.2">
      <c r="A388" t="s">
        <v>1290</v>
      </c>
      <c r="B388" t="s">
        <v>1764</v>
      </c>
      <c r="C388" t="s">
        <v>1999</v>
      </c>
      <c r="D388" t="s">
        <v>2022</v>
      </c>
      <c r="E388">
        <v>10.589399999999999</v>
      </c>
    </row>
    <row r="389" spans="1:5" x14ac:dyDescent="0.2">
      <c r="A389" t="s">
        <v>1270</v>
      </c>
      <c r="B389" t="s">
        <v>1764</v>
      </c>
      <c r="C389" t="s">
        <v>1999</v>
      </c>
      <c r="D389" t="s">
        <v>2023</v>
      </c>
      <c r="E389">
        <v>20.904900000000001</v>
      </c>
    </row>
    <row r="390" spans="1:5" x14ac:dyDescent="0.2">
      <c r="A390" t="s">
        <v>851</v>
      </c>
      <c r="B390" t="s">
        <v>1764</v>
      </c>
      <c r="C390" t="s">
        <v>1999</v>
      </c>
      <c r="D390" t="s">
        <v>2024</v>
      </c>
      <c r="E390">
        <v>17.039000000000001</v>
      </c>
    </row>
    <row r="391" spans="1:5" x14ac:dyDescent="0.2">
      <c r="A391" t="s">
        <v>1195</v>
      </c>
      <c r="B391" t="s">
        <v>1764</v>
      </c>
      <c r="C391" t="s">
        <v>1999</v>
      </c>
      <c r="D391" t="s">
        <v>2025</v>
      </c>
      <c r="E391">
        <v>3.3696000000000002</v>
      </c>
    </row>
    <row r="392" spans="1:5" x14ac:dyDescent="0.2">
      <c r="A392" t="s">
        <v>1601</v>
      </c>
      <c r="B392" t="s">
        <v>1764</v>
      </c>
      <c r="C392" t="s">
        <v>1999</v>
      </c>
      <c r="D392" t="s">
        <v>2026</v>
      </c>
      <c r="E392">
        <v>2.9039999999999999</v>
      </c>
    </row>
    <row r="393" spans="1:5" x14ac:dyDescent="0.2">
      <c r="A393" t="s">
        <v>913</v>
      </c>
      <c r="B393" t="s">
        <v>1764</v>
      </c>
      <c r="C393" t="s">
        <v>1999</v>
      </c>
      <c r="D393" t="s">
        <v>2027</v>
      </c>
      <c r="E393">
        <v>3.3696000000000002</v>
      </c>
    </row>
    <row r="394" spans="1:5" x14ac:dyDescent="0.2">
      <c r="A394" t="s">
        <v>1319</v>
      </c>
      <c r="B394" t="s">
        <v>1764</v>
      </c>
      <c r="C394" t="s">
        <v>1999</v>
      </c>
      <c r="D394" t="s">
        <v>2028</v>
      </c>
      <c r="E394">
        <v>4.4055</v>
      </c>
    </row>
    <row r="395" spans="1:5" x14ac:dyDescent="0.2">
      <c r="A395" t="s">
        <v>1138</v>
      </c>
      <c r="B395" t="s">
        <v>1764</v>
      </c>
      <c r="C395" t="s">
        <v>1999</v>
      </c>
      <c r="D395" t="s">
        <v>2029</v>
      </c>
      <c r="E395">
        <v>6.5084</v>
      </c>
    </row>
    <row r="396" spans="1:5" x14ac:dyDescent="0.2">
      <c r="A396" t="s">
        <v>945</v>
      </c>
      <c r="B396" t="s">
        <v>1764</v>
      </c>
      <c r="C396" t="s">
        <v>1999</v>
      </c>
      <c r="D396" t="s">
        <v>2030</v>
      </c>
      <c r="E396">
        <v>3.9474</v>
      </c>
    </row>
    <row r="397" spans="1:5" x14ac:dyDescent="0.2">
      <c r="A397" t="s">
        <v>771</v>
      </c>
      <c r="B397" t="s">
        <v>1764</v>
      </c>
      <c r="C397" t="s">
        <v>1999</v>
      </c>
      <c r="D397" t="s">
        <v>2031</v>
      </c>
      <c r="E397">
        <v>2.5398000000000001</v>
      </c>
    </row>
    <row r="398" spans="1:5" x14ac:dyDescent="0.2">
      <c r="A398" t="s">
        <v>1431</v>
      </c>
      <c r="B398" t="s">
        <v>1764</v>
      </c>
      <c r="C398" t="s">
        <v>1999</v>
      </c>
      <c r="D398" t="s">
        <v>2032</v>
      </c>
      <c r="E398">
        <v>3.3696000000000002</v>
      </c>
    </row>
    <row r="399" spans="1:5" x14ac:dyDescent="0.2">
      <c r="A399" t="s">
        <v>1593</v>
      </c>
      <c r="B399" t="s">
        <v>1764</v>
      </c>
      <c r="C399" t="s">
        <v>1999</v>
      </c>
      <c r="D399" t="s">
        <v>2033</v>
      </c>
      <c r="E399">
        <v>3.8955000000000002</v>
      </c>
    </row>
    <row r="400" spans="1:5" x14ac:dyDescent="0.2">
      <c r="A400" t="s">
        <v>645</v>
      </c>
      <c r="B400" t="s">
        <v>1764</v>
      </c>
      <c r="C400" t="s">
        <v>1999</v>
      </c>
      <c r="D400" t="s">
        <v>2034</v>
      </c>
      <c r="E400">
        <v>3.2890000000000001</v>
      </c>
    </row>
    <row r="401" spans="1:5" x14ac:dyDescent="0.2">
      <c r="A401" t="s">
        <v>1142</v>
      </c>
      <c r="B401" t="s">
        <v>1764</v>
      </c>
      <c r="C401" t="s">
        <v>1999</v>
      </c>
      <c r="D401" t="s">
        <v>2035</v>
      </c>
      <c r="E401">
        <v>4.9131</v>
      </c>
    </row>
    <row r="402" spans="1:5" x14ac:dyDescent="0.2">
      <c r="A402" t="s">
        <v>914</v>
      </c>
      <c r="B402" t="s">
        <v>1764</v>
      </c>
      <c r="C402" t="s">
        <v>1999</v>
      </c>
      <c r="D402" t="s">
        <v>2036</v>
      </c>
      <c r="E402">
        <v>24.980799999999999</v>
      </c>
    </row>
    <row r="403" spans="1:5" x14ac:dyDescent="0.2">
      <c r="A403" t="s">
        <v>1354</v>
      </c>
      <c r="B403" t="s">
        <v>1764</v>
      </c>
      <c r="C403" t="s">
        <v>1999</v>
      </c>
      <c r="D403" t="s">
        <v>2037</v>
      </c>
      <c r="E403">
        <v>3.3696000000000002</v>
      </c>
    </row>
    <row r="404" spans="1:5" x14ac:dyDescent="0.2">
      <c r="A404" t="s">
        <v>1388</v>
      </c>
      <c r="B404" t="s">
        <v>1764</v>
      </c>
      <c r="C404" t="s">
        <v>1999</v>
      </c>
      <c r="D404" t="s">
        <v>2038</v>
      </c>
      <c r="E404">
        <v>2.9988000000000001</v>
      </c>
    </row>
    <row r="405" spans="1:5" x14ac:dyDescent="0.2">
      <c r="A405" t="s">
        <v>1098</v>
      </c>
      <c r="B405" t="s">
        <v>1764</v>
      </c>
      <c r="C405" t="s">
        <v>1999</v>
      </c>
      <c r="D405" t="s">
        <v>2039</v>
      </c>
      <c r="E405">
        <v>25.9223</v>
      </c>
    </row>
    <row r="406" spans="1:5" x14ac:dyDescent="0.2">
      <c r="A406" t="s">
        <v>947</v>
      </c>
      <c r="B406" t="s">
        <v>1764</v>
      </c>
      <c r="C406" t="s">
        <v>1999</v>
      </c>
      <c r="D406" t="s">
        <v>2040</v>
      </c>
      <c r="E406">
        <v>3.8963999999999999</v>
      </c>
    </row>
    <row r="407" spans="1:5" x14ac:dyDescent="0.2">
      <c r="A407" t="s">
        <v>948</v>
      </c>
      <c r="B407" t="s">
        <v>1764</v>
      </c>
      <c r="C407" t="s">
        <v>1999</v>
      </c>
      <c r="D407" t="s">
        <v>2041</v>
      </c>
      <c r="E407">
        <v>3.3048000000000002</v>
      </c>
    </row>
    <row r="408" spans="1:5" x14ac:dyDescent="0.2">
      <c r="A408" t="s">
        <v>615</v>
      </c>
      <c r="B408" t="s">
        <v>1764</v>
      </c>
      <c r="C408" t="s">
        <v>1999</v>
      </c>
      <c r="D408" t="s">
        <v>2042</v>
      </c>
      <c r="E408">
        <v>3.3696000000000002</v>
      </c>
    </row>
    <row r="409" spans="1:5" x14ac:dyDescent="0.2">
      <c r="A409" t="s">
        <v>599</v>
      </c>
      <c r="B409" t="s">
        <v>1764</v>
      </c>
      <c r="C409" t="s">
        <v>1999</v>
      </c>
      <c r="D409" t="s">
        <v>2043</v>
      </c>
      <c r="E409">
        <v>4.5869999999999997</v>
      </c>
    </row>
    <row r="410" spans="1:5" x14ac:dyDescent="0.2">
      <c r="A410" t="s">
        <v>621</v>
      </c>
      <c r="B410" t="s">
        <v>1764</v>
      </c>
      <c r="C410" t="s">
        <v>1999</v>
      </c>
      <c r="D410" t="s">
        <v>2044</v>
      </c>
      <c r="E410">
        <v>6.5084</v>
      </c>
    </row>
    <row r="411" spans="1:5" x14ac:dyDescent="0.2">
      <c r="A411" t="s">
        <v>1120</v>
      </c>
      <c r="B411" t="s">
        <v>1764</v>
      </c>
      <c r="C411" t="s">
        <v>1999</v>
      </c>
      <c r="D411" t="s">
        <v>2045</v>
      </c>
      <c r="E411">
        <v>3.3696000000000002</v>
      </c>
    </row>
    <row r="412" spans="1:5" x14ac:dyDescent="0.2">
      <c r="A412" t="s">
        <v>1010</v>
      </c>
      <c r="B412" t="s">
        <v>1764</v>
      </c>
      <c r="C412" t="s">
        <v>1999</v>
      </c>
      <c r="D412" t="s">
        <v>2046</v>
      </c>
      <c r="E412">
        <v>28.849599999999999</v>
      </c>
    </row>
    <row r="413" spans="1:5" x14ac:dyDescent="0.2">
      <c r="A413" t="s">
        <v>717</v>
      </c>
      <c r="B413" t="s">
        <v>1764</v>
      </c>
      <c r="C413" t="s">
        <v>1999</v>
      </c>
      <c r="D413" t="s">
        <v>2047</v>
      </c>
      <c r="E413">
        <v>3.3696000000000002</v>
      </c>
    </row>
    <row r="414" spans="1:5" x14ac:dyDescent="0.2">
      <c r="A414" t="s">
        <v>659</v>
      </c>
      <c r="B414" t="s">
        <v>1764</v>
      </c>
      <c r="C414" t="s">
        <v>1999</v>
      </c>
      <c r="D414" t="s">
        <v>2048</v>
      </c>
      <c r="E414">
        <v>28.029599999999999</v>
      </c>
    </row>
    <row r="415" spans="1:5" x14ac:dyDescent="0.2">
      <c r="A415" t="s">
        <v>834</v>
      </c>
      <c r="B415" t="s">
        <v>1764</v>
      </c>
      <c r="C415" t="s">
        <v>1999</v>
      </c>
      <c r="D415" t="s">
        <v>2049</v>
      </c>
      <c r="E415">
        <v>2.9478</v>
      </c>
    </row>
    <row r="416" spans="1:5" x14ac:dyDescent="0.2">
      <c r="A416" t="s">
        <v>1039</v>
      </c>
      <c r="B416" t="s">
        <v>1764</v>
      </c>
      <c r="C416" t="s">
        <v>1999</v>
      </c>
      <c r="D416" t="s">
        <v>2050</v>
      </c>
      <c r="E416">
        <v>2.6924000000000001</v>
      </c>
    </row>
    <row r="417" spans="1:5" x14ac:dyDescent="0.2">
      <c r="A417" t="s">
        <v>1116</v>
      </c>
      <c r="B417" t="s">
        <v>1764</v>
      </c>
      <c r="C417" t="s">
        <v>1999</v>
      </c>
      <c r="D417" t="s">
        <v>2051</v>
      </c>
      <c r="E417">
        <v>2.5398000000000001</v>
      </c>
    </row>
    <row r="418" spans="1:5" x14ac:dyDescent="0.2">
      <c r="A418" t="s">
        <v>1334</v>
      </c>
      <c r="B418" t="s">
        <v>1764</v>
      </c>
      <c r="C418" t="s">
        <v>1999</v>
      </c>
      <c r="D418" t="s">
        <v>2052</v>
      </c>
      <c r="E418">
        <v>3.2890000000000001</v>
      </c>
    </row>
    <row r="419" spans="1:5" x14ac:dyDescent="0.2">
      <c r="A419" t="s">
        <v>1387</v>
      </c>
      <c r="B419" t="s">
        <v>1764</v>
      </c>
      <c r="C419" t="s">
        <v>1999</v>
      </c>
      <c r="D419" t="s">
        <v>2053</v>
      </c>
      <c r="E419">
        <v>3.0524</v>
      </c>
    </row>
    <row r="420" spans="1:5" x14ac:dyDescent="0.2">
      <c r="A420" t="s">
        <v>592</v>
      </c>
      <c r="B420" t="s">
        <v>1764</v>
      </c>
      <c r="C420" t="s">
        <v>1999</v>
      </c>
      <c r="D420" t="s">
        <v>2054</v>
      </c>
      <c r="E420">
        <v>3.3696000000000002</v>
      </c>
    </row>
    <row r="421" spans="1:5" x14ac:dyDescent="0.2">
      <c r="A421" t="s">
        <v>1136</v>
      </c>
      <c r="B421" t="s">
        <v>1764</v>
      </c>
      <c r="C421" t="s">
        <v>1999</v>
      </c>
      <c r="D421" t="s">
        <v>2055</v>
      </c>
      <c r="E421">
        <v>11.7364</v>
      </c>
    </row>
    <row r="422" spans="1:5" x14ac:dyDescent="0.2">
      <c r="A422" t="s">
        <v>1549</v>
      </c>
      <c r="B422" t="s">
        <v>1764</v>
      </c>
      <c r="C422" t="s">
        <v>1999</v>
      </c>
      <c r="D422" t="s">
        <v>2056</v>
      </c>
      <c r="E422">
        <v>2.9478</v>
      </c>
    </row>
    <row r="423" spans="1:5" x14ac:dyDescent="0.2">
      <c r="A423" t="s">
        <v>862</v>
      </c>
      <c r="B423" t="s">
        <v>1764</v>
      </c>
      <c r="C423" t="s">
        <v>1999</v>
      </c>
      <c r="D423" t="s">
        <v>2057</v>
      </c>
      <c r="E423">
        <v>2.9039999999999999</v>
      </c>
    </row>
    <row r="424" spans="1:5" x14ac:dyDescent="0.2">
      <c r="A424" t="s">
        <v>1598</v>
      </c>
      <c r="B424" t="s">
        <v>1764</v>
      </c>
      <c r="C424" t="s">
        <v>1999</v>
      </c>
      <c r="D424" t="s">
        <v>2058</v>
      </c>
      <c r="E424">
        <v>17.039000000000001</v>
      </c>
    </row>
    <row r="425" spans="1:5" x14ac:dyDescent="0.2">
      <c r="A425" t="s">
        <v>846</v>
      </c>
      <c r="B425" t="s">
        <v>1764</v>
      </c>
      <c r="C425" t="s">
        <v>1999</v>
      </c>
      <c r="D425" t="s">
        <v>2059</v>
      </c>
      <c r="E425">
        <v>2.6394000000000002</v>
      </c>
    </row>
    <row r="426" spans="1:5" x14ac:dyDescent="0.2">
      <c r="A426" t="s">
        <v>1569</v>
      </c>
      <c r="B426" t="s">
        <v>1764</v>
      </c>
      <c r="C426" t="s">
        <v>1999</v>
      </c>
      <c r="D426" t="s">
        <v>2060</v>
      </c>
      <c r="E426">
        <v>2.3814000000000002</v>
      </c>
    </row>
    <row r="427" spans="1:5" x14ac:dyDescent="0.2">
      <c r="A427" t="s">
        <v>1576</v>
      </c>
      <c r="B427" t="s">
        <v>1764</v>
      </c>
      <c r="C427" t="s">
        <v>1999</v>
      </c>
      <c r="D427" t="s">
        <v>2061</v>
      </c>
      <c r="E427">
        <v>1.8251999999999999</v>
      </c>
    </row>
    <row r="428" spans="1:5" x14ac:dyDescent="0.2">
      <c r="A428" t="s">
        <v>1090</v>
      </c>
      <c r="B428" t="s">
        <v>1764</v>
      </c>
      <c r="C428" t="s">
        <v>1999</v>
      </c>
      <c r="D428" t="s">
        <v>2062</v>
      </c>
      <c r="E428">
        <v>3.0497999999999998</v>
      </c>
    </row>
    <row r="429" spans="1:5" x14ac:dyDescent="0.2">
      <c r="A429" t="s">
        <v>1493</v>
      </c>
      <c r="B429" t="s">
        <v>1764</v>
      </c>
      <c r="C429" t="s">
        <v>1999</v>
      </c>
      <c r="D429" t="s">
        <v>2063</v>
      </c>
      <c r="E429">
        <v>3.4319999999999999</v>
      </c>
    </row>
    <row r="430" spans="1:5" x14ac:dyDescent="0.2">
      <c r="A430" t="s">
        <v>1099</v>
      </c>
      <c r="B430" t="s">
        <v>1764</v>
      </c>
      <c r="C430" t="s">
        <v>1999</v>
      </c>
      <c r="D430" t="s">
        <v>2064</v>
      </c>
      <c r="E430">
        <v>24.47</v>
      </c>
    </row>
    <row r="431" spans="1:5" x14ac:dyDescent="0.2">
      <c r="A431" t="s">
        <v>1302</v>
      </c>
      <c r="B431" t="s">
        <v>1764</v>
      </c>
      <c r="C431" t="s">
        <v>1999</v>
      </c>
      <c r="D431" t="s">
        <v>2065</v>
      </c>
      <c r="E431">
        <v>3.4735999999999998</v>
      </c>
    </row>
    <row r="432" spans="1:5" x14ac:dyDescent="0.2">
      <c r="A432" t="s">
        <v>651</v>
      </c>
      <c r="B432" t="s">
        <v>1764</v>
      </c>
      <c r="C432" t="s">
        <v>1999</v>
      </c>
      <c r="D432" t="s">
        <v>2066</v>
      </c>
      <c r="E432">
        <v>3.4735999999999998</v>
      </c>
    </row>
    <row r="433" spans="1:5" x14ac:dyDescent="0.2">
      <c r="A433" t="s">
        <v>1220</v>
      </c>
      <c r="B433" t="s">
        <v>1764</v>
      </c>
      <c r="C433" t="s">
        <v>1999</v>
      </c>
      <c r="D433" t="s">
        <v>2067</v>
      </c>
      <c r="E433">
        <v>3.9312</v>
      </c>
    </row>
    <row r="434" spans="1:5" x14ac:dyDescent="0.2">
      <c r="A434" t="s">
        <v>1189</v>
      </c>
      <c r="B434" t="s">
        <v>1764</v>
      </c>
      <c r="C434" t="s">
        <v>1999</v>
      </c>
      <c r="D434" t="s">
        <v>2068</v>
      </c>
      <c r="E434">
        <v>2.08</v>
      </c>
    </row>
    <row r="435" spans="1:5" x14ac:dyDescent="0.2">
      <c r="A435" t="s">
        <v>1609</v>
      </c>
      <c r="B435" t="s">
        <v>1764</v>
      </c>
      <c r="C435" t="s">
        <v>1999</v>
      </c>
      <c r="D435" t="s">
        <v>2069</v>
      </c>
      <c r="E435">
        <v>3.3696000000000002</v>
      </c>
    </row>
    <row r="436" spans="1:5" x14ac:dyDescent="0.2">
      <c r="A436" t="s">
        <v>1394</v>
      </c>
      <c r="B436" t="s">
        <v>1764</v>
      </c>
      <c r="C436" t="s">
        <v>1999</v>
      </c>
      <c r="D436" t="s">
        <v>2008</v>
      </c>
      <c r="E436">
        <v>14.245200000000001</v>
      </c>
    </row>
    <row r="437" spans="1:5" x14ac:dyDescent="0.2">
      <c r="A437" t="s">
        <v>1403</v>
      </c>
      <c r="B437" t="s">
        <v>1764</v>
      </c>
      <c r="C437" t="s">
        <v>1999</v>
      </c>
      <c r="D437" t="s">
        <v>2070</v>
      </c>
      <c r="E437">
        <v>3.3696000000000002</v>
      </c>
    </row>
    <row r="438" spans="1:5" x14ac:dyDescent="0.2">
      <c r="A438" t="s">
        <v>1193</v>
      </c>
      <c r="B438" t="s">
        <v>1764</v>
      </c>
      <c r="C438" t="s">
        <v>1999</v>
      </c>
      <c r="D438" t="s">
        <v>2071</v>
      </c>
      <c r="E438">
        <v>3.3696000000000002</v>
      </c>
    </row>
    <row r="439" spans="1:5" x14ac:dyDescent="0.2">
      <c r="A439" t="s">
        <v>1298</v>
      </c>
      <c r="B439" t="s">
        <v>1764</v>
      </c>
      <c r="C439" t="s">
        <v>1999</v>
      </c>
      <c r="D439" t="s">
        <v>2072</v>
      </c>
      <c r="E439">
        <v>18.783200000000001</v>
      </c>
    </row>
    <row r="440" spans="1:5" x14ac:dyDescent="0.2">
      <c r="A440" t="s">
        <v>1251</v>
      </c>
      <c r="B440" t="s">
        <v>1764</v>
      </c>
      <c r="C440" t="s">
        <v>1999</v>
      </c>
      <c r="D440" t="s">
        <v>2073</v>
      </c>
      <c r="E440">
        <v>3.3696000000000002</v>
      </c>
    </row>
    <row r="441" spans="1:5" x14ac:dyDescent="0.2">
      <c r="A441" t="s">
        <v>681</v>
      </c>
      <c r="B441" t="s">
        <v>1764</v>
      </c>
      <c r="C441" t="s">
        <v>1999</v>
      </c>
      <c r="D441" t="s">
        <v>2074</v>
      </c>
      <c r="E441">
        <v>3.3696000000000002</v>
      </c>
    </row>
    <row r="442" spans="1:5" x14ac:dyDescent="0.2">
      <c r="A442" t="s">
        <v>1203</v>
      </c>
      <c r="B442" t="s">
        <v>1764</v>
      </c>
      <c r="C442" t="s">
        <v>1999</v>
      </c>
      <c r="D442" t="s">
        <v>2075</v>
      </c>
      <c r="E442">
        <v>9.8643999999999998</v>
      </c>
    </row>
    <row r="443" spans="1:5" x14ac:dyDescent="0.2">
      <c r="A443" t="s">
        <v>1362</v>
      </c>
      <c r="B443" t="s">
        <v>1764</v>
      </c>
      <c r="C443" t="s">
        <v>1999</v>
      </c>
      <c r="D443" t="s">
        <v>2076</v>
      </c>
      <c r="E443">
        <v>5.74</v>
      </c>
    </row>
    <row r="444" spans="1:5" x14ac:dyDescent="0.2">
      <c r="A444" t="s">
        <v>1571</v>
      </c>
      <c r="B444" t="s">
        <v>1764</v>
      </c>
      <c r="C444" t="s">
        <v>1999</v>
      </c>
      <c r="D444" t="s">
        <v>2077</v>
      </c>
      <c r="E444">
        <v>3.6612</v>
      </c>
    </row>
    <row r="445" spans="1:5" x14ac:dyDescent="0.2">
      <c r="A445" t="s">
        <v>869</v>
      </c>
      <c r="B445" t="s">
        <v>1764</v>
      </c>
      <c r="C445" t="s">
        <v>1999</v>
      </c>
      <c r="D445" t="s">
        <v>2078</v>
      </c>
      <c r="E445">
        <v>2.7692999999999999</v>
      </c>
    </row>
    <row r="446" spans="1:5" x14ac:dyDescent="0.2">
      <c r="A446" t="s">
        <v>799</v>
      </c>
      <c r="B446" t="s">
        <v>1764</v>
      </c>
      <c r="C446" t="s">
        <v>1999</v>
      </c>
      <c r="D446" t="s">
        <v>2079</v>
      </c>
      <c r="E446">
        <v>3.3696000000000002</v>
      </c>
    </row>
    <row r="447" spans="1:5" x14ac:dyDescent="0.2">
      <c r="A447" t="s">
        <v>1034</v>
      </c>
      <c r="B447" t="s">
        <v>1764</v>
      </c>
      <c r="C447" t="s">
        <v>1999</v>
      </c>
      <c r="D447" t="s">
        <v>2080</v>
      </c>
      <c r="E447">
        <v>3.3696000000000002</v>
      </c>
    </row>
    <row r="448" spans="1:5" x14ac:dyDescent="0.2">
      <c r="A448" t="s">
        <v>671</v>
      </c>
      <c r="B448" t="s">
        <v>1764</v>
      </c>
      <c r="C448" t="s">
        <v>1999</v>
      </c>
      <c r="D448" t="s">
        <v>2081</v>
      </c>
      <c r="E448">
        <v>25.9223</v>
      </c>
    </row>
    <row r="449" spans="1:5" x14ac:dyDescent="0.2">
      <c r="A449" t="s">
        <v>823</v>
      </c>
      <c r="B449" t="s">
        <v>1764</v>
      </c>
      <c r="C449" t="s">
        <v>1999</v>
      </c>
      <c r="D449" t="s">
        <v>2082</v>
      </c>
      <c r="E449">
        <v>2.3540000000000001</v>
      </c>
    </row>
    <row r="450" spans="1:5" x14ac:dyDescent="0.2">
      <c r="A450" t="s">
        <v>1149</v>
      </c>
      <c r="B450" t="s">
        <v>1764</v>
      </c>
      <c r="C450" t="s">
        <v>1999</v>
      </c>
      <c r="D450" t="s">
        <v>2083</v>
      </c>
      <c r="E450">
        <v>3.3696000000000002</v>
      </c>
    </row>
    <row r="451" spans="1:5" x14ac:dyDescent="0.2">
      <c r="A451" t="s">
        <v>1372</v>
      </c>
      <c r="B451" t="s">
        <v>1764</v>
      </c>
      <c r="C451" t="s">
        <v>1999</v>
      </c>
      <c r="D451" t="s">
        <v>2084</v>
      </c>
      <c r="E451">
        <v>28.549800000000001</v>
      </c>
    </row>
    <row r="452" spans="1:5" x14ac:dyDescent="0.2">
      <c r="A452" t="s">
        <v>941</v>
      </c>
      <c r="B452" t="s">
        <v>1764</v>
      </c>
      <c r="C452" t="s">
        <v>1999</v>
      </c>
      <c r="D452" t="s">
        <v>2085</v>
      </c>
      <c r="E452">
        <v>3.3696000000000002</v>
      </c>
    </row>
    <row r="453" spans="1:5" x14ac:dyDescent="0.2">
      <c r="A453" t="s">
        <v>604</v>
      </c>
      <c r="B453" t="s">
        <v>1764</v>
      </c>
      <c r="C453" t="s">
        <v>1999</v>
      </c>
      <c r="D453" t="s">
        <v>2086</v>
      </c>
      <c r="E453">
        <v>3.0672000000000001</v>
      </c>
    </row>
    <row r="454" spans="1:5" x14ac:dyDescent="0.2">
      <c r="A454" t="s">
        <v>1214</v>
      </c>
      <c r="B454" t="s">
        <v>1764</v>
      </c>
      <c r="C454" t="s">
        <v>1999</v>
      </c>
      <c r="D454" t="s">
        <v>2087</v>
      </c>
      <c r="E454">
        <v>3.3696000000000002</v>
      </c>
    </row>
    <row r="455" spans="1:5" x14ac:dyDescent="0.2">
      <c r="A455" t="s">
        <v>632</v>
      </c>
      <c r="B455" t="s">
        <v>1764</v>
      </c>
      <c r="C455" t="s">
        <v>1999</v>
      </c>
      <c r="D455" t="s">
        <v>2088</v>
      </c>
      <c r="E455">
        <v>3.64</v>
      </c>
    </row>
    <row r="456" spans="1:5" x14ac:dyDescent="0.2">
      <c r="A456" t="s">
        <v>1490</v>
      </c>
      <c r="B456" t="s">
        <v>1764</v>
      </c>
      <c r="C456" t="s">
        <v>1999</v>
      </c>
      <c r="D456" t="s">
        <v>2008</v>
      </c>
      <c r="E456">
        <v>2.3540000000000001</v>
      </c>
    </row>
    <row r="457" spans="1:5" x14ac:dyDescent="0.2">
      <c r="A457" t="s">
        <v>1046</v>
      </c>
      <c r="B457" t="s">
        <v>1764</v>
      </c>
      <c r="C457" t="s">
        <v>1999</v>
      </c>
      <c r="D457" t="s">
        <v>2089</v>
      </c>
      <c r="E457">
        <v>5.4945000000000004</v>
      </c>
    </row>
    <row r="458" spans="1:5" x14ac:dyDescent="0.2">
      <c r="A458" t="s">
        <v>703</v>
      </c>
      <c r="B458" t="s">
        <v>1764</v>
      </c>
      <c r="C458" t="s">
        <v>1999</v>
      </c>
      <c r="D458" t="s">
        <v>2090</v>
      </c>
      <c r="E458">
        <v>2.9478</v>
      </c>
    </row>
    <row r="459" spans="1:5" x14ac:dyDescent="0.2">
      <c r="A459" t="s">
        <v>973</v>
      </c>
      <c r="B459" t="s">
        <v>1764</v>
      </c>
      <c r="C459" t="s">
        <v>1999</v>
      </c>
      <c r="D459" t="s">
        <v>2091</v>
      </c>
      <c r="E459">
        <v>5.4642999999999997</v>
      </c>
    </row>
    <row r="460" spans="1:5" x14ac:dyDescent="0.2">
      <c r="A460" t="s">
        <v>1588</v>
      </c>
      <c r="B460" t="s">
        <v>1764</v>
      </c>
      <c r="C460" t="s">
        <v>2092</v>
      </c>
      <c r="D460" t="s">
        <v>2093</v>
      </c>
      <c r="E460">
        <v>130.85550000000001</v>
      </c>
    </row>
    <row r="461" spans="1:5" x14ac:dyDescent="0.2">
      <c r="A461" t="s">
        <v>949</v>
      </c>
      <c r="B461" t="s">
        <v>1764</v>
      </c>
      <c r="C461" t="s">
        <v>2092</v>
      </c>
      <c r="D461" t="s">
        <v>2094</v>
      </c>
      <c r="E461">
        <v>217.43940000000001</v>
      </c>
    </row>
    <row r="462" spans="1:5" x14ac:dyDescent="0.2">
      <c r="A462" t="s">
        <v>594</v>
      </c>
      <c r="B462" t="s">
        <v>1764</v>
      </c>
      <c r="C462" t="s">
        <v>2092</v>
      </c>
      <c r="D462" t="s">
        <v>2095</v>
      </c>
      <c r="E462">
        <v>22.754999999999999</v>
      </c>
    </row>
    <row r="463" spans="1:5" x14ac:dyDescent="0.2">
      <c r="A463" t="s">
        <v>1536</v>
      </c>
      <c r="B463" t="s">
        <v>1764</v>
      </c>
      <c r="C463" t="s">
        <v>2092</v>
      </c>
      <c r="D463" t="s">
        <v>2096</v>
      </c>
      <c r="E463">
        <v>103.25790000000001</v>
      </c>
    </row>
    <row r="464" spans="1:5" x14ac:dyDescent="0.2">
      <c r="A464" t="s">
        <v>1348</v>
      </c>
      <c r="B464" t="s">
        <v>1764</v>
      </c>
      <c r="C464" t="s">
        <v>2092</v>
      </c>
      <c r="D464" t="s">
        <v>2097</v>
      </c>
      <c r="E464">
        <v>7.5743999999999998</v>
      </c>
    </row>
    <row r="465" spans="1:5" x14ac:dyDescent="0.2">
      <c r="A465" t="s">
        <v>1348</v>
      </c>
      <c r="B465" t="s">
        <v>1764</v>
      </c>
      <c r="C465" t="s">
        <v>2092</v>
      </c>
      <c r="D465" t="s">
        <v>2097</v>
      </c>
      <c r="E465">
        <v>7.5743999999999998</v>
      </c>
    </row>
    <row r="466" spans="1:5" x14ac:dyDescent="0.2">
      <c r="A466" t="s">
        <v>1339</v>
      </c>
      <c r="B466" t="s">
        <v>1764</v>
      </c>
      <c r="C466" t="s">
        <v>2092</v>
      </c>
      <c r="D466" t="s">
        <v>2098</v>
      </c>
      <c r="E466">
        <v>13.4442</v>
      </c>
    </row>
    <row r="467" spans="1:5" x14ac:dyDescent="0.2">
      <c r="A467" t="s">
        <v>1443</v>
      </c>
      <c r="B467" t="s">
        <v>1764</v>
      </c>
      <c r="C467" t="s">
        <v>2092</v>
      </c>
      <c r="D467" t="s">
        <v>2099</v>
      </c>
      <c r="E467">
        <v>28.475200000000001</v>
      </c>
    </row>
    <row r="468" spans="1:5" x14ac:dyDescent="0.2">
      <c r="A468" t="s">
        <v>801</v>
      </c>
      <c r="B468" t="s">
        <v>1764</v>
      </c>
      <c r="C468" t="s">
        <v>2092</v>
      </c>
      <c r="D468" t="s">
        <v>2100</v>
      </c>
      <c r="E468">
        <v>28.782</v>
      </c>
    </row>
    <row r="469" spans="1:5" x14ac:dyDescent="0.2">
      <c r="A469" t="s">
        <v>801</v>
      </c>
      <c r="B469" t="s">
        <v>1764</v>
      </c>
      <c r="C469" t="s">
        <v>2092</v>
      </c>
      <c r="D469" t="s">
        <v>2100</v>
      </c>
      <c r="E469">
        <v>28.782</v>
      </c>
    </row>
    <row r="470" spans="1:5" x14ac:dyDescent="0.2">
      <c r="A470" t="s">
        <v>745</v>
      </c>
      <c r="B470" t="s">
        <v>1764</v>
      </c>
      <c r="C470" t="s">
        <v>2092</v>
      </c>
      <c r="D470" t="s">
        <v>2101</v>
      </c>
      <c r="E470">
        <v>11.775</v>
      </c>
    </row>
    <row r="471" spans="1:5" x14ac:dyDescent="0.2">
      <c r="A471" t="s">
        <v>1297</v>
      </c>
      <c r="B471" t="s">
        <v>1764</v>
      </c>
      <c r="C471" t="s">
        <v>2092</v>
      </c>
      <c r="D471" t="s">
        <v>2102</v>
      </c>
      <c r="E471">
        <v>123.94799999999999</v>
      </c>
    </row>
    <row r="472" spans="1:5" x14ac:dyDescent="0.2">
      <c r="A472" t="s">
        <v>605</v>
      </c>
      <c r="B472" t="s">
        <v>1764</v>
      </c>
      <c r="C472" t="s">
        <v>2092</v>
      </c>
      <c r="D472" t="s">
        <v>2103</v>
      </c>
      <c r="E472">
        <v>8.9567999999999994</v>
      </c>
    </row>
    <row r="473" spans="1:5" x14ac:dyDescent="0.2">
      <c r="A473" t="s">
        <v>1160</v>
      </c>
      <c r="B473" t="s">
        <v>1764</v>
      </c>
      <c r="C473" t="s">
        <v>2092</v>
      </c>
      <c r="D473" t="s">
        <v>2104</v>
      </c>
      <c r="E473">
        <v>10.0725</v>
      </c>
    </row>
    <row r="474" spans="1:5" x14ac:dyDescent="0.2">
      <c r="A474" t="s">
        <v>637</v>
      </c>
      <c r="B474" t="s">
        <v>1764</v>
      </c>
      <c r="C474" t="s">
        <v>2092</v>
      </c>
      <c r="D474" t="s">
        <v>2105</v>
      </c>
      <c r="E474">
        <v>40.98</v>
      </c>
    </row>
    <row r="475" spans="1:5" x14ac:dyDescent="0.2">
      <c r="A475" t="s">
        <v>890</v>
      </c>
      <c r="B475" t="s">
        <v>1764</v>
      </c>
      <c r="C475" t="s">
        <v>2092</v>
      </c>
      <c r="D475" t="s">
        <v>2106</v>
      </c>
      <c r="E475">
        <v>167.27</v>
      </c>
    </row>
    <row r="476" spans="1:5" x14ac:dyDescent="0.2">
      <c r="A476" t="s">
        <v>908</v>
      </c>
      <c r="B476" t="s">
        <v>1764</v>
      </c>
      <c r="C476" t="s">
        <v>2092</v>
      </c>
      <c r="D476" t="s">
        <v>2107</v>
      </c>
      <c r="E476">
        <v>98.152500000000003</v>
      </c>
    </row>
    <row r="477" spans="1:5" x14ac:dyDescent="0.2">
      <c r="A477" t="s">
        <v>648</v>
      </c>
      <c r="B477" t="s">
        <v>1764</v>
      </c>
      <c r="C477" t="s">
        <v>2092</v>
      </c>
      <c r="D477" t="s">
        <v>2108</v>
      </c>
      <c r="E477">
        <v>7.6504000000000003</v>
      </c>
    </row>
    <row r="478" spans="1:5" x14ac:dyDescent="0.2">
      <c r="A478" t="s">
        <v>598</v>
      </c>
      <c r="B478" t="s">
        <v>1764</v>
      </c>
      <c r="C478" t="s">
        <v>2092</v>
      </c>
      <c r="D478" t="s">
        <v>2109</v>
      </c>
      <c r="E478">
        <v>11.167199999999999</v>
      </c>
    </row>
    <row r="479" spans="1:5" x14ac:dyDescent="0.2">
      <c r="A479" t="s">
        <v>1231</v>
      </c>
      <c r="B479" t="s">
        <v>1764</v>
      </c>
      <c r="C479" t="s">
        <v>2092</v>
      </c>
      <c r="D479" t="s">
        <v>2110</v>
      </c>
      <c r="E479">
        <v>25.9223</v>
      </c>
    </row>
    <row r="480" spans="1:5" x14ac:dyDescent="0.2">
      <c r="A480" t="s">
        <v>655</v>
      </c>
      <c r="B480" t="s">
        <v>1764</v>
      </c>
      <c r="C480" t="s">
        <v>2092</v>
      </c>
      <c r="D480" t="s">
        <v>2111</v>
      </c>
      <c r="E480">
        <v>124.929</v>
      </c>
    </row>
    <row r="481" spans="1:5" x14ac:dyDescent="0.2">
      <c r="A481" t="s">
        <v>1139</v>
      </c>
      <c r="B481" t="s">
        <v>1764</v>
      </c>
      <c r="C481" t="s">
        <v>2092</v>
      </c>
      <c r="D481" t="s">
        <v>2112</v>
      </c>
      <c r="E481">
        <v>133.34059999999999</v>
      </c>
    </row>
    <row r="482" spans="1:5" x14ac:dyDescent="0.2">
      <c r="A482" t="s">
        <v>1245</v>
      </c>
      <c r="B482" t="s">
        <v>1764</v>
      </c>
      <c r="C482" t="s">
        <v>2092</v>
      </c>
      <c r="D482" t="s">
        <v>2113</v>
      </c>
      <c r="E482">
        <v>4.9634</v>
      </c>
    </row>
    <row r="483" spans="1:5" x14ac:dyDescent="0.2">
      <c r="A483" t="s">
        <v>825</v>
      </c>
      <c r="B483" t="s">
        <v>1764</v>
      </c>
      <c r="C483" t="s">
        <v>2092</v>
      </c>
      <c r="D483" t="s">
        <v>2114</v>
      </c>
      <c r="E483">
        <v>88.310400000000001</v>
      </c>
    </row>
    <row r="484" spans="1:5" x14ac:dyDescent="0.2">
      <c r="A484" t="s">
        <v>923</v>
      </c>
      <c r="B484" t="s">
        <v>1764</v>
      </c>
      <c r="C484" t="s">
        <v>2092</v>
      </c>
      <c r="D484" t="s">
        <v>2115</v>
      </c>
      <c r="E484">
        <v>13.804</v>
      </c>
    </row>
    <row r="485" spans="1:5" x14ac:dyDescent="0.2">
      <c r="A485" t="s">
        <v>635</v>
      </c>
      <c r="B485" t="s">
        <v>1764</v>
      </c>
      <c r="C485" t="s">
        <v>2092</v>
      </c>
      <c r="D485" t="s">
        <v>2116</v>
      </c>
      <c r="E485">
        <v>10.785600000000001</v>
      </c>
    </row>
    <row r="486" spans="1:5" x14ac:dyDescent="0.2">
      <c r="A486" t="s">
        <v>736</v>
      </c>
      <c r="B486" t="s">
        <v>1764</v>
      </c>
      <c r="C486" t="s">
        <v>2092</v>
      </c>
      <c r="D486" t="s">
        <v>2117</v>
      </c>
      <c r="E486">
        <v>9.9751999999999992</v>
      </c>
    </row>
    <row r="487" spans="1:5" x14ac:dyDescent="0.2">
      <c r="A487" t="s">
        <v>1605</v>
      </c>
      <c r="B487" t="s">
        <v>1764</v>
      </c>
      <c r="C487" t="s">
        <v>2092</v>
      </c>
      <c r="D487" t="s">
        <v>2118</v>
      </c>
      <c r="E487">
        <v>11.023199999999999</v>
      </c>
    </row>
    <row r="488" spans="1:5" x14ac:dyDescent="0.2">
      <c r="A488" t="s">
        <v>1534</v>
      </c>
      <c r="B488" t="s">
        <v>1764</v>
      </c>
      <c r="C488" t="s">
        <v>2092</v>
      </c>
      <c r="D488" t="s">
        <v>2119</v>
      </c>
      <c r="E488">
        <v>50.870399999999997</v>
      </c>
    </row>
    <row r="489" spans="1:5" x14ac:dyDescent="0.2">
      <c r="A489" t="s">
        <v>640</v>
      </c>
      <c r="B489" t="s">
        <v>1764</v>
      </c>
      <c r="C489" t="s">
        <v>2092</v>
      </c>
      <c r="D489" t="s">
        <v>2120</v>
      </c>
      <c r="E489">
        <v>88.0334</v>
      </c>
    </row>
    <row r="490" spans="1:5" x14ac:dyDescent="0.2">
      <c r="A490" t="s">
        <v>640</v>
      </c>
      <c r="B490" t="s">
        <v>1764</v>
      </c>
      <c r="C490" t="s">
        <v>2092</v>
      </c>
      <c r="D490" t="s">
        <v>2120</v>
      </c>
      <c r="E490">
        <v>88.0334</v>
      </c>
    </row>
    <row r="491" spans="1:5" x14ac:dyDescent="0.2">
      <c r="A491" t="s">
        <v>1065</v>
      </c>
      <c r="B491" t="s">
        <v>1764</v>
      </c>
      <c r="C491" t="s">
        <v>2092</v>
      </c>
      <c r="D491" t="s">
        <v>2121</v>
      </c>
      <c r="E491">
        <v>98.367699999999999</v>
      </c>
    </row>
    <row r="492" spans="1:5" x14ac:dyDescent="0.2">
      <c r="A492" t="s">
        <v>1032</v>
      </c>
      <c r="B492" t="s">
        <v>1764</v>
      </c>
      <c r="C492" t="s">
        <v>2092</v>
      </c>
      <c r="D492" t="s">
        <v>2122</v>
      </c>
      <c r="E492">
        <v>8.3545999999999996</v>
      </c>
    </row>
    <row r="493" spans="1:5" x14ac:dyDescent="0.2">
      <c r="A493" t="s">
        <v>1358</v>
      </c>
      <c r="B493" t="s">
        <v>1764</v>
      </c>
      <c r="C493" t="s">
        <v>2092</v>
      </c>
      <c r="D493" t="s">
        <v>2123</v>
      </c>
      <c r="E493">
        <v>62.52</v>
      </c>
    </row>
    <row r="494" spans="1:5" x14ac:dyDescent="0.2">
      <c r="A494" t="s">
        <v>946</v>
      </c>
      <c r="B494" t="s">
        <v>1764</v>
      </c>
      <c r="C494" t="s">
        <v>2092</v>
      </c>
      <c r="D494" t="s">
        <v>2124</v>
      </c>
      <c r="E494">
        <v>79.360399999999998</v>
      </c>
    </row>
    <row r="495" spans="1:5" x14ac:dyDescent="0.2">
      <c r="A495" t="s">
        <v>1573</v>
      </c>
      <c r="B495" t="s">
        <v>1764</v>
      </c>
      <c r="C495" t="s">
        <v>2092</v>
      </c>
      <c r="D495" t="s">
        <v>2125</v>
      </c>
      <c r="E495">
        <v>5.9051999999999998</v>
      </c>
    </row>
    <row r="496" spans="1:5" x14ac:dyDescent="0.2">
      <c r="A496" t="s">
        <v>1082</v>
      </c>
      <c r="B496" t="s">
        <v>1764</v>
      </c>
      <c r="C496" t="s">
        <v>2092</v>
      </c>
      <c r="D496" t="s">
        <v>2126</v>
      </c>
      <c r="E496">
        <v>6.8403999999999998</v>
      </c>
    </row>
    <row r="497" spans="1:5" x14ac:dyDescent="0.2">
      <c r="A497" t="s">
        <v>1501</v>
      </c>
      <c r="B497" t="s">
        <v>1764</v>
      </c>
      <c r="C497" t="s">
        <v>2092</v>
      </c>
      <c r="D497" t="s">
        <v>2127</v>
      </c>
      <c r="E497">
        <v>6.7535999999999996</v>
      </c>
    </row>
    <row r="498" spans="1:5" x14ac:dyDescent="0.2">
      <c r="A498" t="s">
        <v>1258</v>
      </c>
      <c r="B498" t="s">
        <v>1764</v>
      </c>
      <c r="C498" t="s">
        <v>2092</v>
      </c>
      <c r="D498" t="s">
        <v>2128</v>
      </c>
      <c r="E498">
        <v>31.180800000000001</v>
      </c>
    </row>
    <row r="499" spans="1:5" x14ac:dyDescent="0.2">
      <c r="A499" t="s">
        <v>1439</v>
      </c>
      <c r="B499" t="s">
        <v>1764</v>
      </c>
      <c r="C499" t="s">
        <v>2092</v>
      </c>
      <c r="D499" t="s">
        <v>2129</v>
      </c>
      <c r="E499">
        <v>133.95689999999999</v>
      </c>
    </row>
    <row r="500" spans="1:5" x14ac:dyDescent="0.2">
      <c r="A500" t="s">
        <v>1216</v>
      </c>
      <c r="B500" t="s">
        <v>1764</v>
      </c>
      <c r="C500" t="s">
        <v>2092</v>
      </c>
      <c r="D500" t="s">
        <v>2130</v>
      </c>
      <c r="E500">
        <v>5.28</v>
      </c>
    </row>
    <row r="501" spans="1:5" x14ac:dyDescent="0.2">
      <c r="A501" t="s">
        <v>1529</v>
      </c>
      <c r="B501" t="s">
        <v>1764</v>
      </c>
      <c r="C501" t="s">
        <v>2092</v>
      </c>
      <c r="D501" t="s">
        <v>2131</v>
      </c>
      <c r="E501">
        <v>30.498999999999999</v>
      </c>
    </row>
    <row r="502" spans="1:5" x14ac:dyDescent="0.2">
      <c r="A502" t="s">
        <v>1552</v>
      </c>
      <c r="B502" t="s">
        <v>1764</v>
      </c>
      <c r="C502" t="s">
        <v>2092</v>
      </c>
      <c r="D502" t="s">
        <v>2132</v>
      </c>
      <c r="E502">
        <v>43.027200000000001</v>
      </c>
    </row>
    <row r="503" spans="1:5" x14ac:dyDescent="0.2">
      <c r="A503" t="s">
        <v>892</v>
      </c>
      <c r="B503" t="s">
        <v>1764</v>
      </c>
      <c r="C503" t="s">
        <v>2092</v>
      </c>
      <c r="D503" t="s">
        <v>2133</v>
      </c>
      <c r="E503">
        <v>265.50599999999997</v>
      </c>
    </row>
    <row r="504" spans="1:5" x14ac:dyDescent="0.2">
      <c r="A504" t="s">
        <v>1316</v>
      </c>
      <c r="B504" t="s">
        <v>1764</v>
      </c>
      <c r="C504" t="s">
        <v>2092</v>
      </c>
      <c r="D504" t="s">
        <v>2134</v>
      </c>
      <c r="E504">
        <v>13.098000000000001</v>
      </c>
    </row>
    <row r="505" spans="1:5" x14ac:dyDescent="0.2">
      <c r="A505" t="s">
        <v>1482</v>
      </c>
      <c r="B505" t="s">
        <v>1764</v>
      </c>
      <c r="C505" t="s">
        <v>2092</v>
      </c>
      <c r="D505" t="s">
        <v>2135</v>
      </c>
      <c r="E505">
        <v>17.096599999999999</v>
      </c>
    </row>
    <row r="506" spans="1:5" x14ac:dyDescent="0.2">
      <c r="A506" t="s">
        <v>838</v>
      </c>
      <c r="B506" t="s">
        <v>1764</v>
      </c>
      <c r="C506" t="s">
        <v>2092</v>
      </c>
      <c r="D506" t="s">
        <v>2136</v>
      </c>
      <c r="E506">
        <v>195.76740000000001</v>
      </c>
    </row>
    <row r="507" spans="1:5" x14ac:dyDescent="0.2">
      <c r="A507" t="s">
        <v>1207</v>
      </c>
      <c r="B507" t="s">
        <v>1764</v>
      </c>
      <c r="C507" t="s">
        <v>2092</v>
      </c>
      <c r="D507" t="s">
        <v>2137</v>
      </c>
      <c r="E507">
        <v>56.030999999999999</v>
      </c>
    </row>
    <row r="508" spans="1:5" x14ac:dyDescent="0.2">
      <c r="A508" t="s">
        <v>1456</v>
      </c>
      <c r="B508" t="s">
        <v>1764</v>
      </c>
      <c r="C508" t="s">
        <v>2092</v>
      </c>
      <c r="D508" t="s">
        <v>2138</v>
      </c>
      <c r="E508">
        <v>90.98</v>
      </c>
    </row>
    <row r="509" spans="1:5" x14ac:dyDescent="0.2">
      <c r="A509" t="s">
        <v>1171</v>
      </c>
      <c r="B509" t="s">
        <v>1764</v>
      </c>
      <c r="C509" t="s">
        <v>2092</v>
      </c>
      <c r="D509" t="s">
        <v>2139</v>
      </c>
      <c r="E509">
        <v>8.9132999999999996</v>
      </c>
    </row>
    <row r="510" spans="1:5" x14ac:dyDescent="0.2">
      <c r="A510" t="s">
        <v>719</v>
      </c>
      <c r="B510" t="s">
        <v>1764</v>
      </c>
      <c r="C510" t="s">
        <v>2092</v>
      </c>
      <c r="D510" t="s">
        <v>2140</v>
      </c>
      <c r="E510">
        <v>45.391399999999997</v>
      </c>
    </row>
    <row r="511" spans="1:5" x14ac:dyDescent="0.2">
      <c r="A511" t="s">
        <v>646</v>
      </c>
      <c r="B511" t="s">
        <v>1764</v>
      </c>
      <c r="C511" t="s">
        <v>2092</v>
      </c>
      <c r="D511" t="s">
        <v>2141</v>
      </c>
      <c r="E511">
        <v>356.57299999999998</v>
      </c>
    </row>
    <row r="512" spans="1:5" x14ac:dyDescent="0.2">
      <c r="A512" t="s">
        <v>644</v>
      </c>
      <c r="B512" t="s">
        <v>1764</v>
      </c>
      <c r="C512" t="s">
        <v>2092</v>
      </c>
      <c r="D512" t="s">
        <v>2142</v>
      </c>
      <c r="E512">
        <v>12.519500000000001</v>
      </c>
    </row>
    <row r="513" spans="1:5" x14ac:dyDescent="0.2">
      <c r="A513" t="s">
        <v>644</v>
      </c>
      <c r="B513" t="s">
        <v>1764</v>
      </c>
      <c r="C513" t="s">
        <v>2092</v>
      </c>
      <c r="D513" t="s">
        <v>2142</v>
      </c>
      <c r="E513">
        <v>12.519500000000001</v>
      </c>
    </row>
    <row r="514" spans="1:5" x14ac:dyDescent="0.2">
      <c r="A514" t="s">
        <v>1166</v>
      </c>
      <c r="B514" t="s">
        <v>1764</v>
      </c>
      <c r="C514" t="s">
        <v>2143</v>
      </c>
      <c r="D514" t="s">
        <v>2144</v>
      </c>
      <c r="E514">
        <v>1572.0288</v>
      </c>
    </row>
    <row r="515" spans="1:5" x14ac:dyDescent="0.2">
      <c r="A515" t="s">
        <v>1366</v>
      </c>
      <c r="B515" t="s">
        <v>1764</v>
      </c>
      <c r="C515" t="s">
        <v>2143</v>
      </c>
      <c r="D515" t="s">
        <v>2145</v>
      </c>
      <c r="E515">
        <v>116.9238</v>
      </c>
    </row>
    <row r="516" spans="1:5" x14ac:dyDescent="0.2">
      <c r="A516" t="s">
        <v>730</v>
      </c>
      <c r="B516" t="s">
        <v>1764</v>
      </c>
      <c r="C516" t="s">
        <v>2143</v>
      </c>
      <c r="D516" t="s">
        <v>2146</v>
      </c>
      <c r="E516">
        <v>6.6101000000000001</v>
      </c>
    </row>
    <row r="517" spans="1:5" x14ac:dyDescent="0.2">
      <c r="A517" t="s">
        <v>610</v>
      </c>
      <c r="B517" t="s">
        <v>1764</v>
      </c>
      <c r="C517" t="s">
        <v>2143</v>
      </c>
      <c r="D517" t="s">
        <v>2147</v>
      </c>
      <c r="E517">
        <v>233.15889999999999</v>
      </c>
    </row>
    <row r="518" spans="1:5" x14ac:dyDescent="0.2">
      <c r="A518" t="s">
        <v>1263</v>
      </c>
      <c r="B518" t="s">
        <v>1764</v>
      </c>
      <c r="C518" t="s">
        <v>2143</v>
      </c>
      <c r="D518" t="s">
        <v>2148</v>
      </c>
      <c r="E518">
        <v>9.8689999999999998</v>
      </c>
    </row>
    <row r="519" spans="1:5" x14ac:dyDescent="0.2">
      <c r="A519" t="s">
        <v>774</v>
      </c>
      <c r="B519" t="s">
        <v>1764</v>
      </c>
      <c r="C519" t="s">
        <v>2143</v>
      </c>
      <c r="D519" t="s">
        <v>2149</v>
      </c>
      <c r="E519">
        <v>6.1715999999999998</v>
      </c>
    </row>
    <row r="520" spans="1:5" x14ac:dyDescent="0.2">
      <c r="A520" t="s">
        <v>922</v>
      </c>
      <c r="B520" t="s">
        <v>1764</v>
      </c>
      <c r="C520" t="s">
        <v>2143</v>
      </c>
      <c r="D520" t="s">
        <v>2150</v>
      </c>
      <c r="E520">
        <v>3.6063999999999998</v>
      </c>
    </row>
    <row r="521" spans="1:5" x14ac:dyDescent="0.2">
      <c r="A521" t="s">
        <v>981</v>
      </c>
      <c r="B521" t="s">
        <v>1764</v>
      </c>
      <c r="C521" t="s">
        <v>2143</v>
      </c>
      <c r="D521" t="s">
        <v>2151</v>
      </c>
      <c r="E521">
        <v>816.15380000000005</v>
      </c>
    </row>
    <row r="522" spans="1:5" x14ac:dyDescent="0.2">
      <c r="A522" t="s">
        <v>1327</v>
      </c>
      <c r="B522" t="s">
        <v>1764</v>
      </c>
      <c r="C522" t="s">
        <v>2143</v>
      </c>
      <c r="D522" t="s">
        <v>2152</v>
      </c>
      <c r="E522">
        <v>110.06699999999999</v>
      </c>
    </row>
    <row r="523" spans="1:5" x14ac:dyDescent="0.2">
      <c r="A523" t="s">
        <v>1246</v>
      </c>
      <c r="B523" t="s">
        <v>1764</v>
      </c>
      <c r="C523" t="s">
        <v>2143</v>
      </c>
      <c r="D523" t="s">
        <v>2153</v>
      </c>
      <c r="E523">
        <v>9.3119999999999994</v>
      </c>
    </row>
    <row r="524" spans="1:5" x14ac:dyDescent="0.2">
      <c r="A524" t="s">
        <v>840</v>
      </c>
      <c r="B524" t="s">
        <v>1764</v>
      </c>
      <c r="C524" t="s">
        <v>2143</v>
      </c>
      <c r="D524" t="s">
        <v>2154</v>
      </c>
      <c r="E524">
        <v>12.493600000000001</v>
      </c>
    </row>
    <row r="525" spans="1:5" x14ac:dyDescent="0.2">
      <c r="A525" t="s">
        <v>1355</v>
      </c>
      <c r="B525" t="s">
        <v>1764</v>
      </c>
      <c r="C525" t="s">
        <v>2143</v>
      </c>
      <c r="D525" t="s">
        <v>2155</v>
      </c>
      <c r="E525">
        <v>6.29</v>
      </c>
    </row>
    <row r="526" spans="1:5" x14ac:dyDescent="0.2">
      <c r="A526" t="s">
        <v>1386</v>
      </c>
      <c r="B526" t="s">
        <v>1764</v>
      </c>
      <c r="C526" t="s">
        <v>2143</v>
      </c>
      <c r="D526" t="s">
        <v>2156</v>
      </c>
      <c r="E526">
        <v>5.915</v>
      </c>
    </row>
    <row r="527" spans="1:5" x14ac:dyDescent="0.2">
      <c r="A527" t="s">
        <v>822</v>
      </c>
      <c r="B527" t="s">
        <v>2157</v>
      </c>
      <c r="C527" t="s">
        <v>2158</v>
      </c>
      <c r="D527" t="s">
        <v>2159</v>
      </c>
      <c r="E527">
        <v>42.552399999999999</v>
      </c>
    </row>
    <row r="528" spans="1:5" x14ac:dyDescent="0.2">
      <c r="A528" t="s">
        <v>638</v>
      </c>
      <c r="B528" t="s">
        <v>2157</v>
      </c>
      <c r="C528" t="s">
        <v>2158</v>
      </c>
      <c r="D528" t="s">
        <v>2160</v>
      </c>
      <c r="E528">
        <v>28.432099999999998</v>
      </c>
    </row>
    <row r="529" spans="1:5" x14ac:dyDescent="0.2">
      <c r="A529" t="s">
        <v>764</v>
      </c>
      <c r="B529" t="s">
        <v>2157</v>
      </c>
      <c r="C529" t="s">
        <v>2158</v>
      </c>
      <c r="D529" t="s">
        <v>2161</v>
      </c>
      <c r="E529">
        <v>13.1043</v>
      </c>
    </row>
    <row r="530" spans="1:5" x14ac:dyDescent="0.2">
      <c r="A530" t="s">
        <v>620</v>
      </c>
      <c r="B530" t="s">
        <v>2157</v>
      </c>
      <c r="C530" t="s">
        <v>2158</v>
      </c>
      <c r="D530" t="s">
        <v>2162</v>
      </c>
      <c r="E530">
        <v>4.4813999999999998</v>
      </c>
    </row>
    <row r="531" spans="1:5" x14ac:dyDescent="0.2">
      <c r="A531" t="s">
        <v>1543</v>
      </c>
      <c r="B531" t="s">
        <v>2157</v>
      </c>
      <c r="C531" t="s">
        <v>2158</v>
      </c>
      <c r="D531" t="s">
        <v>2163</v>
      </c>
      <c r="E531">
        <v>10.7835</v>
      </c>
    </row>
    <row r="532" spans="1:5" x14ac:dyDescent="0.2">
      <c r="A532" t="s">
        <v>1134</v>
      </c>
      <c r="B532" t="s">
        <v>2157</v>
      </c>
      <c r="C532" t="s">
        <v>2158</v>
      </c>
      <c r="D532" t="s">
        <v>2164</v>
      </c>
      <c r="E532">
        <v>51.193600000000004</v>
      </c>
    </row>
    <row r="533" spans="1:5" x14ac:dyDescent="0.2">
      <c r="A533" t="s">
        <v>1221</v>
      </c>
      <c r="B533" t="s">
        <v>2157</v>
      </c>
      <c r="C533" t="s">
        <v>2158</v>
      </c>
      <c r="D533" t="s">
        <v>2165</v>
      </c>
      <c r="E533">
        <v>40.4114</v>
      </c>
    </row>
    <row r="534" spans="1:5" x14ac:dyDescent="0.2">
      <c r="A534" t="s">
        <v>672</v>
      </c>
      <c r="B534" t="s">
        <v>2157</v>
      </c>
      <c r="C534" t="s">
        <v>2158</v>
      </c>
      <c r="D534" t="s">
        <v>2166</v>
      </c>
      <c r="E534">
        <v>11.601000000000001</v>
      </c>
    </row>
    <row r="535" spans="1:5" x14ac:dyDescent="0.2">
      <c r="A535" t="s">
        <v>975</v>
      </c>
      <c r="B535" t="s">
        <v>2157</v>
      </c>
      <c r="C535" t="s">
        <v>2158</v>
      </c>
      <c r="D535" t="s">
        <v>2167</v>
      </c>
      <c r="E535">
        <v>17.394200000000001</v>
      </c>
    </row>
    <row r="536" spans="1:5" x14ac:dyDescent="0.2">
      <c r="A536" t="s">
        <v>669</v>
      </c>
      <c r="B536" t="s">
        <v>2157</v>
      </c>
      <c r="C536" t="s">
        <v>2158</v>
      </c>
      <c r="D536" t="s">
        <v>2168</v>
      </c>
      <c r="E536">
        <v>71.099999999999994</v>
      </c>
    </row>
    <row r="537" spans="1:5" x14ac:dyDescent="0.2">
      <c r="A537" t="s">
        <v>1292</v>
      </c>
      <c r="B537" t="s">
        <v>2157</v>
      </c>
      <c r="C537" t="s">
        <v>2158</v>
      </c>
      <c r="D537" t="s">
        <v>2169</v>
      </c>
      <c r="E537">
        <v>13.2928</v>
      </c>
    </row>
    <row r="538" spans="1:5" x14ac:dyDescent="0.2">
      <c r="A538" t="s">
        <v>749</v>
      </c>
      <c r="B538" t="s">
        <v>2157</v>
      </c>
      <c r="C538" t="s">
        <v>2158</v>
      </c>
      <c r="D538" t="s">
        <v>2170</v>
      </c>
      <c r="E538">
        <v>45.9908</v>
      </c>
    </row>
    <row r="539" spans="1:5" x14ac:dyDescent="0.2">
      <c r="A539" t="s">
        <v>1452</v>
      </c>
      <c r="B539" t="s">
        <v>2157</v>
      </c>
      <c r="C539" t="s">
        <v>2158</v>
      </c>
      <c r="D539" t="s">
        <v>2171</v>
      </c>
      <c r="E539">
        <v>25.423999999999999</v>
      </c>
    </row>
    <row r="540" spans="1:5" x14ac:dyDescent="0.2">
      <c r="A540" t="s">
        <v>691</v>
      </c>
      <c r="B540" t="s">
        <v>2157</v>
      </c>
      <c r="C540" t="s">
        <v>2158</v>
      </c>
      <c r="D540" t="s">
        <v>2172</v>
      </c>
      <c r="E540">
        <v>25.130700000000001</v>
      </c>
    </row>
    <row r="541" spans="1:5" x14ac:dyDescent="0.2">
      <c r="A541" t="s">
        <v>1480</v>
      </c>
      <c r="B541" t="s">
        <v>2157</v>
      </c>
      <c r="C541" t="s">
        <v>2158</v>
      </c>
      <c r="D541" t="s">
        <v>2173</v>
      </c>
      <c r="E541">
        <v>100.7937</v>
      </c>
    </row>
    <row r="542" spans="1:5" x14ac:dyDescent="0.2">
      <c r="A542" t="s">
        <v>628</v>
      </c>
      <c r="B542" t="s">
        <v>2157</v>
      </c>
      <c r="C542" t="s">
        <v>2158</v>
      </c>
      <c r="D542" t="s">
        <v>2174</v>
      </c>
      <c r="E542">
        <v>50.898000000000003</v>
      </c>
    </row>
    <row r="543" spans="1:5" x14ac:dyDescent="0.2">
      <c r="A543" t="s">
        <v>1178</v>
      </c>
      <c r="B543" t="s">
        <v>2157</v>
      </c>
      <c r="C543" t="s">
        <v>2158</v>
      </c>
      <c r="D543" t="s">
        <v>2175</v>
      </c>
      <c r="E543">
        <v>11.5928</v>
      </c>
    </row>
    <row r="544" spans="1:5" x14ac:dyDescent="0.2">
      <c r="A544" t="s">
        <v>674</v>
      </c>
      <c r="B544" t="s">
        <v>2157</v>
      </c>
      <c r="C544" t="s">
        <v>2158</v>
      </c>
      <c r="D544" t="s">
        <v>2176</v>
      </c>
      <c r="E544">
        <v>141.304</v>
      </c>
    </row>
    <row r="545" spans="1:5" x14ac:dyDescent="0.2">
      <c r="A545" t="s">
        <v>1483</v>
      </c>
      <c r="B545" t="s">
        <v>2157</v>
      </c>
      <c r="C545" t="s">
        <v>2158</v>
      </c>
      <c r="D545" t="s">
        <v>2177</v>
      </c>
      <c r="E545">
        <v>14.76</v>
      </c>
    </row>
    <row r="546" spans="1:5" x14ac:dyDescent="0.2">
      <c r="A546" t="s">
        <v>885</v>
      </c>
      <c r="B546" t="s">
        <v>2157</v>
      </c>
      <c r="C546" t="s">
        <v>2158</v>
      </c>
      <c r="D546" t="s">
        <v>2178</v>
      </c>
      <c r="E546">
        <v>12.9336</v>
      </c>
    </row>
    <row r="547" spans="1:5" x14ac:dyDescent="0.2">
      <c r="A547" t="s">
        <v>1241</v>
      </c>
      <c r="B547" t="s">
        <v>2157</v>
      </c>
      <c r="C547" t="s">
        <v>2158</v>
      </c>
      <c r="D547" t="s">
        <v>2179</v>
      </c>
      <c r="E547">
        <v>12.4015</v>
      </c>
    </row>
    <row r="548" spans="1:5" x14ac:dyDescent="0.2">
      <c r="A548" t="s">
        <v>821</v>
      </c>
      <c r="B548" t="s">
        <v>2157</v>
      </c>
      <c r="C548" t="s">
        <v>2158</v>
      </c>
      <c r="D548" t="s">
        <v>2180</v>
      </c>
      <c r="E548">
        <v>99.96</v>
      </c>
    </row>
    <row r="549" spans="1:5" x14ac:dyDescent="0.2">
      <c r="A549" t="s">
        <v>1169</v>
      </c>
      <c r="B549" t="s">
        <v>2157</v>
      </c>
      <c r="C549" t="s">
        <v>2158</v>
      </c>
      <c r="D549" t="s">
        <v>2181</v>
      </c>
      <c r="E549">
        <v>5.1405000000000003</v>
      </c>
    </row>
    <row r="550" spans="1:5" x14ac:dyDescent="0.2">
      <c r="A550" t="s">
        <v>1465</v>
      </c>
      <c r="B550" t="s">
        <v>2157</v>
      </c>
      <c r="C550" t="s">
        <v>2158</v>
      </c>
      <c r="D550" t="s">
        <v>2182</v>
      </c>
      <c r="E550">
        <v>57.27</v>
      </c>
    </row>
    <row r="551" spans="1:5" x14ac:dyDescent="0.2">
      <c r="A551" t="s">
        <v>1183</v>
      </c>
      <c r="B551" t="s">
        <v>2157</v>
      </c>
      <c r="C551" t="s">
        <v>2158</v>
      </c>
      <c r="D551" t="s">
        <v>2183</v>
      </c>
      <c r="E551">
        <v>221.06649999999999</v>
      </c>
    </row>
    <row r="552" spans="1:5" x14ac:dyDescent="0.2">
      <c r="A552" t="s">
        <v>766</v>
      </c>
      <c r="B552" t="s">
        <v>2157</v>
      </c>
      <c r="C552" t="s">
        <v>2158</v>
      </c>
      <c r="D552" t="s">
        <v>2184</v>
      </c>
      <c r="E552">
        <v>7.2495000000000003</v>
      </c>
    </row>
    <row r="553" spans="1:5" x14ac:dyDescent="0.2">
      <c r="A553" t="s">
        <v>1562</v>
      </c>
      <c r="B553" t="s">
        <v>2157</v>
      </c>
      <c r="C553" t="s">
        <v>2158</v>
      </c>
      <c r="D553" t="s">
        <v>2185</v>
      </c>
      <c r="E553">
        <v>19.75</v>
      </c>
    </row>
    <row r="554" spans="1:5" x14ac:dyDescent="0.2">
      <c r="A554" t="s">
        <v>1236</v>
      </c>
      <c r="B554" t="s">
        <v>2157</v>
      </c>
      <c r="C554" t="s">
        <v>2158</v>
      </c>
      <c r="D554" t="s">
        <v>2186</v>
      </c>
      <c r="E554">
        <v>10.827500000000001</v>
      </c>
    </row>
    <row r="555" spans="1:5" x14ac:dyDescent="0.2">
      <c r="A555" t="s">
        <v>783</v>
      </c>
      <c r="B555" t="s">
        <v>2157</v>
      </c>
      <c r="C555" t="s">
        <v>2158</v>
      </c>
      <c r="D555" t="s">
        <v>2187</v>
      </c>
      <c r="E555">
        <v>5.0209000000000001</v>
      </c>
    </row>
    <row r="556" spans="1:5" x14ac:dyDescent="0.2">
      <c r="A556" t="s">
        <v>1144</v>
      </c>
      <c r="B556" t="s">
        <v>2157</v>
      </c>
      <c r="C556" t="s">
        <v>2158</v>
      </c>
      <c r="D556" t="s">
        <v>2188</v>
      </c>
      <c r="E556">
        <v>62.747999999999998</v>
      </c>
    </row>
    <row r="557" spans="1:5" x14ac:dyDescent="0.2">
      <c r="A557" t="s">
        <v>956</v>
      </c>
      <c r="B557" t="s">
        <v>2157</v>
      </c>
      <c r="C557" t="s">
        <v>2158</v>
      </c>
      <c r="D557" t="s">
        <v>2189</v>
      </c>
      <c r="E557">
        <v>23.6921</v>
      </c>
    </row>
    <row r="558" spans="1:5" x14ac:dyDescent="0.2">
      <c r="A558" t="s">
        <v>1510</v>
      </c>
      <c r="B558" t="s">
        <v>2157</v>
      </c>
      <c r="C558" t="s">
        <v>2158</v>
      </c>
      <c r="D558" t="s">
        <v>2190</v>
      </c>
      <c r="E558">
        <v>7.7652999999999999</v>
      </c>
    </row>
    <row r="559" spans="1:5" x14ac:dyDescent="0.2">
      <c r="A559" t="s">
        <v>977</v>
      </c>
      <c r="B559" t="s">
        <v>2157</v>
      </c>
      <c r="C559" t="s">
        <v>2158</v>
      </c>
      <c r="D559" t="s">
        <v>2191</v>
      </c>
      <c r="E559">
        <v>16.7944</v>
      </c>
    </row>
    <row r="560" spans="1:5" x14ac:dyDescent="0.2">
      <c r="A560" t="s">
        <v>626</v>
      </c>
      <c r="B560" t="s">
        <v>2157</v>
      </c>
      <c r="C560" t="s">
        <v>2158</v>
      </c>
      <c r="D560" t="s">
        <v>2192</v>
      </c>
      <c r="E560">
        <v>105.5934</v>
      </c>
    </row>
    <row r="561" spans="1:5" x14ac:dyDescent="0.2">
      <c r="A561" t="s">
        <v>987</v>
      </c>
      <c r="B561" t="s">
        <v>2157</v>
      </c>
      <c r="C561" t="s">
        <v>2158</v>
      </c>
      <c r="D561" t="s">
        <v>2193</v>
      </c>
      <c r="E561">
        <v>23.3643</v>
      </c>
    </row>
    <row r="562" spans="1:5" x14ac:dyDescent="0.2">
      <c r="A562" t="s">
        <v>916</v>
      </c>
      <c r="B562" t="s">
        <v>2157</v>
      </c>
      <c r="C562" t="s">
        <v>2158</v>
      </c>
      <c r="D562" t="s">
        <v>2194</v>
      </c>
      <c r="E562">
        <v>7.1315999999999997</v>
      </c>
    </row>
    <row r="563" spans="1:5" x14ac:dyDescent="0.2">
      <c r="A563" t="s">
        <v>861</v>
      </c>
      <c r="B563" t="s">
        <v>2157</v>
      </c>
      <c r="C563" t="s">
        <v>2158</v>
      </c>
      <c r="D563" t="s">
        <v>2195</v>
      </c>
      <c r="E563">
        <v>192.4923</v>
      </c>
    </row>
    <row r="564" spans="1:5" x14ac:dyDescent="0.2">
      <c r="A564" t="s">
        <v>601</v>
      </c>
      <c r="B564" t="s">
        <v>2157</v>
      </c>
      <c r="C564" t="s">
        <v>2158</v>
      </c>
      <c r="D564" t="s">
        <v>2196</v>
      </c>
      <c r="E564">
        <v>22.372</v>
      </c>
    </row>
    <row r="565" spans="1:5" x14ac:dyDescent="0.2">
      <c r="A565" t="s">
        <v>966</v>
      </c>
      <c r="B565" t="s">
        <v>2157</v>
      </c>
      <c r="C565" t="s">
        <v>2158</v>
      </c>
      <c r="D565" t="s">
        <v>2197</v>
      </c>
      <c r="E565">
        <v>14.724</v>
      </c>
    </row>
    <row r="566" spans="1:5" x14ac:dyDescent="0.2">
      <c r="A566" t="s">
        <v>1276</v>
      </c>
      <c r="B566" t="s">
        <v>2157</v>
      </c>
      <c r="C566" t="s">
        <v>2158</v>
      </c>
      <c r="D566" t="s">
        <v>2198</v>
      </c>
      <c r="E566">
        <v>11.9884</v>
      </c>
    </row>
    <row r="567" spans="1:5" x14ac:dyDescent="0.2">
      <c r="A567" t="s">
        <v>1337</v>
      </c>
      <c r="B567" t="s">
        <v>2157</v>
      </c>
      <c r="C567" t="s">
        <v>2158</v>
      </c>
      <c r="D567" t="s">
        <v>2199</v>
      </c>
      <c r="E567">
        <v>6.3479999999999999</v>
      </c>
    </row>
    <row r="568" spans="1:5" x14ac:dyDescent="0.2">
      <c r="A568" t="s">
        <v>686</v>
      </c>
      <c r="B568" t="s">
        <v>2157</v>
      </c>
      <c r="C568" t="s">
        <v>2158</v>
      </c>
      <c r="D568" t="s">
        <v>2200</v>
      </c>
      <c r="E568">
        <v>32.993400000000001</v>
      </c>
    </row>
    <row r="569" spans="1:5" x14ac:dyDescent="0.2">
      <c r="A569" t="s">
        <v>1393</v>
      </c>
      <c r="B569" t="s">
        <v>2157</v>
      </c>
      <c r="C569" t="s">
        <v>2201</v>
      </c>
      <c r="D569" t="s">
        <v>2202</v>
      </c>
      <c r="E569">
        <v>105.99469999999999</v>
      </c>
    </row>
    <row r="570" spans="1:5" x14ac:dyDescent="0.2">
      <c r="A570" t="s">
        <v>643</v>
      </c>
      <c r="B570" t="s">
        <v>2157</v>
      </c>
      <c r="C570" t="s">
        <v>2201</v>
      </c>
      <c r="D570" t="s">
        <v>2203</v>
      </c>
      <c r="E570">
        <v>323.99459999999999</v>
      </c>
    </row>
    <row r="571" spans="1:5" x14ac:dyDescent="0.2">
      <c r="A571" t="s">
        <v>1086</v>
      </c>
      <c r="B571" t="s">
        <v>2157</v>
      </c>
      <c r="C571" t="s">
        <v>2201</v>
      </c>
      <c r="D571" t="s">
        <v>2204</v>
      </c>
      <c r="E571">
        <v>194.99350000000001</v>
      </c>
    </row>
    <row r="572" spans="1:5" x14ac:dyDescent="0.2">
      <c r="A572" t="s">
        <v>798</v>
      </c>
      <c r="B572" t="s">
        <v>2157</v>
      </c>
      <c r="C572" t="s">
        <v>2205</v>
      </c>
      <c r="D572" t="s">
        <v>2206</v>
      </c>
      <c r="E572">
        <v>567.99289999999996</v>
      </c>
    </row>
    <row r="573" spans="1:5" x14ac:dyDescent="0.2">
      <c r="A573" t="s">
        <v>1537</v>
      </c>
      <c r="B573" t="s">
        <v>2157</v>
      </c>
      <c r="C573" t="s">
        <v>2205</v>
      </c>
      <c r="D573" t="s">
        <v>2207</v>
      </c>
      <c r="E573">
        <v>84.773499999999999</v>
      </c>
    </row>
    <row r="574" spans="1:5" x14ac:dyDescent="0.2">
      <c r="A574" t="s">
        <v>742</v>
      </c>
      <c r="B574" t="s">
        <v>2157</v>
      </c>
      <c r="C574" t="s">
        <v>2205</v>
      </c>
      <c r="D574" t="s">
        <v>2208</v>
      </c>
      <c r="E574">
        <v>361.76400000000001</v>
      </c>
    </row>
    <row r="575" spans="1:5" x14ac:dyDescent="0.2">
      <c r="A575" t="s">
        <v>1378</v>
      </c>
      <c r="B575" t="s">
        <v>2157</v>
      </c>
      <c r="C575" t="s">
        <v>2205</v>
      </c>
      <c r="D575" t="s">
        <v>2209</v>
      </c>
      <c r="E575">
        <v>226.99350000000001</v>
      </c>
    </row>
    <row r="576" spans="1:5" x14ac:dyDescent="0.2">
      <c r="A576" t="s">
        <v>707</v>
      </c>
      <c r="B576" t="s">
        <v>2157</v>
      </c>
      <c r="C576" t="s">
        <v>2205</v>
      </c>
      <c r="D576" t="s">
        <v>2210</v>
      </c>
      <c r="E576">
        <v>97.213999999999999</v>
      </c>
    </row>
    <row r="577" spans="1:5" x14ac:dyDescent="0.2">
      <c r="A577" t="s">
        <v>748</v>
      </c>
      <c r="B577" t="s">
        <v>2157</v>
      </c>
      <c r="C577" t="s">
        <v>2205</v>
      </c>
      <c r="D577" t="s">
        <v>2211</v>
      </c>
      <c r="E577">
        <v>79.995000000000005</v>
      </c>
    </row>
    <row r="578" spans="1:5" x14ac:dyDescent="0.2">
      <c r="A578" t="s">
        <v>718</v>
      </c>
      <c r="B578" t="s">
        <v>2157</v>
      </c>
      <c r="C578" t="s">
        <v>2205</v>
      </c>
      <c r="D578" t="s">
        <v>2212</v>
      </c>
      <c r="E578">
        <v>231.63300000000001</v>
      </c>
    </row>
    <row r="579" spans="1:5" x14ac:dyDescent="0.2">
      <c r="A579" t="s">
        <v>1356</v>
      </c>
      <c r="B579" t="s">
        <v>2157</v>
      </c>
      <c r="C579" t="s">
        <v>2213</v>
      </c>
      <c r="D579" t="s">
        <v>2214</v>
      </c>
      <c r="E579">
        <v>14.763</v>
      </c>
    </row>
    <row r="580" spans="1:5" x14ac:dyDescent="0.2">
      <c r="A580" t="s">
        <v>740</v>
      </c>
      <c r="B580" t="s">
        <v>2157</v>
      </c>
      <c r="C580" t="s">
        <v>2213</v>
      </c>
      <c r="D580" t="s">
        <v>2215</v>
      </c>
      <c r="E580">
        <v>3.6135000000000002</v>
      </c>
    </row>
    <row r="581" spans="1:5" x14ac:dyDescent="0.2">
      <c r="A581" t="s">
        <v>999</v>
      </c>
      <c r="B581" t="s">
        <v>2157</v>
      </c>
      <c r="C581" t="s">
        <v>2213</v>
      </c>
      <c r="D581" t="s">
        <v>2216</v>
      </c>
      <c r="E581">
        <v>90.712800000000001</v>
      </c>
    </row>
    <row r="582" spans="1:5" x14ac:dyDescent="0.2">
      <c r="A582" t="s">
        <v>1110</v>
      </c>
      <c r="B582" t="s">
        <v>2157</v>
      </c>
      <c r="C582" t="s">
        <v>2213</v>
      </c>
      <c r="D582" t="s">
        <v>2217</v>
      </c>
      <c r="E582">
        <v>82.352900000000005</v>
      </c>
    </row>
    <row r="583" spans="1:5" x14ac:dyDescent="0.2">
      <c r="A583" t="s">
        <v>1061</v>
      </c>
      <c r="B583" t="s">
        <v>2157</v>
      </c>
      <c r="C583" t="s">
        <v>2213</v>
      </c>
      <c r="D583" t="s">
        <v>2218</v>
      </c>
      <c r="E583">
        <v>69.112799999999993</v>
      </c>
    </row>
    <row r="584" spans="1:5" x14ac:dyDescent="0.2">
      <c r="A584" t="s">
        <v>1507</v>
      </c>
      <c r="B584" t="s">
        <v>2157</v>
      </c>
      <c r="C584" t="s">
        <v>2213</v>
      </c>
      <c r="D584" t="s">
        <v>2219</v>
      </c>
      <c r="E584">
        <v>79.912800000000004</v>
      </c>
    </row>
    <row r="585" spans="1:5" x14ac:dyDescent="0.2">
      <c r="A585" t="s">
        <v>1168</v>
      </c>
      <c r="B585" t="s">
        <v>2157</v>
      </c>
      <c r="C585" t="s">
        <v>2213</v>
      </c>
      <c r="D585" t="s">
        <v>2220</v>
      </c>
      <c r="E585">
        <v>133.1926</v>
      </c>
    </row>
    <row r="586" spans="1:5" x14ac:dyDescent="0.2">
      <c r="A586" t="s">
        <v>1412</v>
      </c>
      <c r="B586" t="s">
        <v>2157</v>
      </c>
      <c r="C586" t="s">
        <v>2213</v>
      </c>
      <c r="D586" t="s">
        <v>2221</v>
      </c>
      <c r="E586">
        <v>70.992900000000006</v>
      </c>
    </row>
    <row r="587" spans="1:5" x14ac:dyDescent="0.2">
      <c r="A587" t="s">
        <v>1531</v>
      </c>
      <c r="B587" t="s">
        <v>2157</v>
      </c>
      <c r="C587" t="s">
        <v>2213</v>
      </c>
      <c r="D587" t="s">
        <v>2222</v>
      </c>
      <c r="E587">
        <v>107.9928</v>
      </c>
    </row>
    <row r="588" spans="1:5" x14ac:dyDescent="0.2">
      <c r="A588" t="s">
        <v>757</v>
      </c>
      <c r="B588" t="s">
        <v>2157</v>
      </c>
      <c r="C588" t="s">
        <v>2213</v>
      </c>
      <c r="D588" t="s">
        <v>2223</v>
      </c>
      <c r="E588">
        <v>15.084</v>
      </c>
    </row>
    <row r="589" spans="1:5" x14ac:dyDescent="0.2">
      <c r="A589" t="s">
        <v>1300</v>
      </c>
      <c r="B589" t="s">
        <v>2157</v>
      </c>
      <c r="C589" t="s">
        <v>2213</v>
      </c>
      <c r="D589" t="s">
        <v>2224</v>
      </c>
      <c r="E589">
        <v>35.272799999999997</v>
      </c>
    </row>
    <row r="590" spans="1:5" x14ac:dyDescent="0.2">
      <c r="A590" t="s">
        <v>887</v>
      </c>
      <c r="B590" t="s">
        <v>2157</v>
      </c>
      <c r="C590" t="s">
        <v>2213</v>
      </c>
      <c r="D590" t="s">
        <v>2225</v>
      </c>
      <c r="E590">
        <v>91.582899999999995</v>
      </c>
    </row>
    <row r="591" spans="1:5" x14ac:dyDescent="0.2">
      <c r="A591" t="s">
        <v>887</v>
      </c>
      <c r="B591" t="s">
        <v>2157</v>
      </c>
      <c r="C591" t="s">
        <v>2213</v>
      </c>
      <c r="D591" t="s">
        <v>2225</v>
      </c>
      <c r="E591">
        <v>91.582899999999995</v>
      </c>
    </row>
    <row r="592" spans="1:5" x14ac:dyDescent="0.2">
      <c r="A592" t="s">
        <v>1021</v>
      </c>
      <c r="B592" t="s">
        <v>2157</v>
      </c>
      <c r="C592" t="s">
        <v>2213</v>
      </c>
      <c r="D592" t="s">
        <v>2226</v>
      </c>
      <c r="E592">
        <v>57.592799999999997</v>
      </c>
    </row>
    <row r="593" spans="1:5" x14ac:dyDescent="0.2">
      <c r="A593" t="s">
        <v>1446</v>
      </c>
      <c r="B593" t="s">
        <v>2157</v>
      </c>
      <c r="C593" t="s">
        <v>2213</v>
      </c>
      <c r="D593" t="s">
        <v>2227</v>
      </c>
      <c r="E593">
        <v>47.990400000000001</v>
      </c>
    </row>
    <row r="594" spans="1:5" x14ac:dyDescent="0.2">
      <c r="A594" t="s">
        <v>1469</v>
      </c>
      <c r="B594" t="s">
        <v>2157</v>
      </c>
      <c r="C594" t="s">
        <v>2213</v>
      </c>
      <c r="D594" t="s">
        <v>2228</v>
      </c>
      <c r="E594">
        <v>310.79259999999999</v>
      </c>
    </row>
    <row r="595" spans="1:5" x14ac:dyDescent="0.2">
      <c r="A595" t="s">
        <v>1154</v>
      </c>
      <c r="B595" t="s">
        <v>2157</v>
      </c>
      <c r="C595" t="s">
        <v>2213</v>
      </c>
      <c r="D595" t="s">
        <v>2229</v>
      </c>
      <c r="E595">
        <v>41.661499999999997</v>
      </c>
    </row>
    <row r="596" spans="1:5" x14ac:dyDescent="0.2">
      <c r="A596" t="s">
        <v>688</v>
      </c>
      <c r="B596" t="s">
        <v>2157</v>
      </c>
      <c r="C596" t="s">
        <v>2213</v>
      </c>
      <c r="D596" t="s">
        <v>2230</v>
      </c>
      <c r="E596">
        <v>8.6112000000000002</v>
      </c>
    </row>
    <row r="597" spans="1:5" x14ac:dyDescent="0.2">
      <c r="A597" t="s">
        <v>1004</v>
      </c>
      <c r="B597" t="s">
        <v>2157</v>
      </c>
      <c r="C597" t="s">
        <v>2213</v>
      </c>
      <c r="D597" t="s">
        <v>2231</v>
      </c>
      <c r="E597">
        <v>139.15289999999999</v>
      </c>
    </row>
    <row r="598" spans="1:5" x14ac:dyDescent="0.2">
      <c r="A598" t="s">
        <v>1385</v>
      </c>
      <c r="B598" t="s">
        <v>2157</v>
      </c>
      <c r="C598" t="s">
        <v>2213</v>
      </c>
      <c r="D598" t="s">
        <v>2232</v>
      </c>
      <c r="E598">
        <v>21.5928</v>
      </c>
    </row>
    <row r="599" spans="1:5" x14ac:dyDescent="0.2">
      <c r="A599" t="s">
        <v>1153</v>
      </c>
      <c r="B599" t="s">
        <v>2157</v>
      </c>
      <c r="C599" t="s">
        <v>2213</v>
      </c>
      <c r="D599" t="s">
        <v>2233</v>
      </c>
      <c r="E599">
        <v>48.172699999999999</v>
      </c>
    </row>
    <row r="600" spans="1:5" x14ac:dyDescent="0.2">
      <c r="A600" t="s">
        <v>1382</v>
      </c>
      <c r="B600" t="s">
        <v>2157</v>
      </c>
      <c r="C600" t="s">
        <v>2213</v>
      </c>
      <c r="D600" t="s">
        <v>2234</v>
      </c>
      <c r="E600">
        <v>50.392800000000001</v>
      </c>
    </row>
    <row r="601" spans="1:5" x14ac:dyDescent="0.2">
      <c r="A601" t="s">
        <v>1382</v>
      </c>
      <c r="B601" t="s">
        <v>2157</v>
      </c>
      <c r="C601" t="s">
        <v>2213</v>
      </c>
      <c r="D601" t="s">
        <v>2234</v>
      </c>
      <c r="E601">
        <v>50.392800000000001</v>
      </c>
    </row>
    <row r="602" spans="1:5" x14ac:dyDescent="0.2">
      <c r="A602" t="s">
        <v>1108</v>
      </c>
      <c r="B602" t="s">
        <v>2157</v>
      </c>
      <c r="C602" t="s">
        <v>2213</v>
      </c>
      <c r="D602" t="s">
        <v>2235</v>
      </c>
      <c r="E602">
        <v>152.9624</v>
      </c>
    </row>
    <row r="603" spans="1:5" x14ac:dyDescent="0.2">
      <c r="A603" t="s">
        <v>1591</v>
      </c>
      <c r="B603" t="s">
        <v>2157</v>
      </c>
      <c r="C603" t="s">
        <v>2213</v>
      </c>
      <c r="D603" t="s">
        <v>2236</v>
      </c>
      <c r="E603">
        <v>14.392799999999999</v>
      </c>
    </row>
    <row r="604" spans="1:5" x14ac:dyDescent="0.2">
      <c r="A604" t="s">
        <v>826</v>
      </c>
      <c r="B604" t="s">
        <v>2157</v>
      </c>
      <c r="C604" t="s">
        <v>2213</v>
      </c>
      <c r="D604" t="s">
        <v>2237</v>
      </c>
      <c r="E604">
        <v>206.45259999999999</v>
      </c>
    </row>
    <row r="605" spans="1:5" x14ac:dyDescent="0.2">
      <c r="A605" t="s">
        <v>614</v>
      </c>
      <c r="B605" t="s">
        <v>2157</v>
      </c>
      <c r="C605" t="s">
        <v>2213</v>
      </c>
      <c r="D605" t="s">
        <v>2238</v>
      </c>
      <c r="E605">
        <v>78.043000000000006</v>
      </c>
    </row>
    <row r="606" spans="1:5" x14ac:dyDescent="0.2">
      <c r="A606" t="s">
        <v>1349</v>
      </c>
      <c r="B606" t="s">
        <v>2157</v>
      </c>
      <c r="C606" t="s">
        <v>2213</v>
      </c>
      <c r="D606" t="s">
        <v>2239</v>
      </c>
      <c r="E606">
        <v>221.21250000000001</v>
      </c>
    </row>
    <row r="607" spans="1:5" x14ac:dyDescent="0.2">
      <c r="A607" t="s">
        <v>1613</v>
      </c>
      <c r="B607" t="s">
        <v>2157</v>
      </c>
      <c r="C607" t="s">
        <v>2213</v>
      </c>
      <c r="D607" t="s">
        <v>2240</v>
      </c>
      <c r="E607">
        <v>109.193</v>
      </c>
    </row>
    <row r="608" spans="1:5" x14ac:dyDescent="0.2">
      <c r="A608" t="s">
        <v>1070</v>
      </c>
      <c r="B608" t="s">
        <v>2157</v>
      </c>
      <c r="C608" t="s">
        <v>2213</v>
      </c>
      <c r="D608" t="s">
        <v>2241</v>
      </c>
      <c r="E608">
        <v>167.13640000000001</v>
      </c>
    </row>
    <row r="609" spans="1:5" x14ac:dyDescent="0.2">
      <c r="A609" t="s">
        <v>750</v>
      </c>
      <c r="B609" t="s">
        <v>2157</v>
      </c>
      <c r="C609" t="s">
        <v>2213</v>
      </c>
      <c r="D609" t="s">
        <v>2242</v>
      </c>
      <c r="E609">
        <v>93.232600000000005</v>
      </c>
    </row>
    <row r="610" spans="1:5" x14ac:dyDescent="0.2">
      <c r="A610" t="s">
        <v>1322</v>
      </c>
      <c r="B610" t="s">
        <v>2157</v>
      </c>
      <c r="C610" t="s">
        <v>2213</v>
      </c>
      <c r="D610" t="s">
        <v>2243</v>
      </c>
      <c r="E610">
        <v>50.9925</v>
      </c>
    </row>
    <row r="611" spans="1:5" x14ac:dyDescent="0.2">
      <c r="A611" t="s">
        <v>1031</v>
      </c>
      <c r="B611" t="s">
        <v>2157</v>
      </c>
      <c r="C611" t="s">
        <v>2213</v>
      </c>
      <c r="D611" t="s">
        <v>2244</v>
      </c>
      <c r="E611">
        <v>134.99250000000001</v>
      </c>
    </row>
    <row r="612" spans="1:5" x14ac:dyDescent="0.2">
      <c r="A612" t="s">
        <v>1233</v>
      </c>
      <c r="B612" t="s">
        <v>2157</v>
      </c>
      <c r="C612" t="s">
        <v>2213</v>
      </c>
      <c r="D612" t="s">
        <v>2245</v>
      </c>
      <c r="E612">
        <v>118.29300000000001</v>
      </c>
    </row>
    <row r="613" spans="1:5" x14ac:dyDescent="0.2">
      <c r="A613" t="s">
        <v>693</v>
      </c>
      <c r="B613" t="s">
        <v>2157</v>
      </c>
      <c r="C613" t="s">
        <v>2213</v>
      </c>
      <c r="D613" t="s">
        <v>2246</v>
      </c>
      <c r="E613">
        <v>27.002700000000001</v>
      </c>
    </row>
    <row r="614" spans="1:5" x14ac:dyDescent="0.2">
      <c r="A614" t="s">
        <v>663</v>
      </c>
      <c r="B614" t="s">
        <v>2157</v>
      </c>
      <c r="C614" t="s">
        <v>2213</v>
      </c>
      <c r="D614" t="s">
        <v>2247</v>
      </c>
      <c r="E614">
        <v>32.652900000000002</v>
      </c>
    </row>
    <row r="615" spans="1:5" x14ac:dyDescent="0.2">
      <c r="A615" t="s">
        <v>1520</v>
      </c>
      <c r="B615" t="s">
        <v>2157</v>
      </c>
      <c r="C615" t="s">
        <v>2213</v>
      </c>
      <c r="D615" t="s">
        <v>2248</v>
      </c>
      <c r="E615">
        <v>10.975</v>
      </c>
    </row>
    <row r="616" spans="1:5" x14ac:dyDescent="0.2">
      <c r="A616" t="s">
        <v>918</v>
      </c>
      <c r="B616" t="s">
        <v>2157</v>
      </c>
      <c r="C616" t="s">
        <v>2213</v>
      </c>
      <c r="D616" t="s">
        <v>2249</v>
      </c>
      <c r="E616">
        <v>19.989999999999998</v>
      </c>
    </row>
    <row r="617" spans="1:5" x14ac:dyDescent="0.2">
      <c r="A617" t="s">
        <v>1067</v>
      </c>
      <c r="B617" t="s">
        <v>2157</v>
      </c>
      <c r="C617" t="s">
        <v>2213</v>
      </c>
      <c r="D617" t="s">
        <v>2250</v>
      </c>
      <c r="E617">
        <v>15.2745</v>
      </c>
    </row>
    <row r="618" spans="1:5" x14ac:dyDescent="0.2">
      <c r="A618" t="s">
        <v>668</v>
      </c>
      <c r="B618" t="s">
        <v>2157</v>
      </c>
      <c r="C618" t="s">
        <v>2213</v>
      </c>
      <c r="D618" t="s">
        <v>2251</v>
      </c>
      <c r="E618">
        <v>93.232600000000005</v>
      </c>
    </row>
    <row r="619" spans="1:5" x14ac:dyDescent="0.2">
      <c r="A619" t="s">
        <v>789</v>
      </c>
      <c r="B619" t="s">
        <v>2157</v>
      </c>
      <c r="C619" t="s">
        <v>2213</v>
      </c>
      <c r="D619" t="s">
        <v>2252</v>
      </c>
      <c r="E619">
        <v>4.125</v>
      </c>
    </row>
    <row r="620" spans="1:5" x14ac:dyDescent="0.2">
      <c r="A620" t="s">
        <v>1008</v>
      </c>
      <c r="B620" t="s">
        <v>2157</v>
      </c>
      <c r="C620" t="s">
        <v>2213</v>
      </c>
      <c r="D620" t="s">
        <v>2253</v>
      </c>
      <c r="E620">
        <v>94.492500000000007</v>
      </c>
    </row>
    <row r="621" spans="1:5" x14ac:dyDescent="0.2">
      <c r="A621" t="s">
        <v>1589</v>
      </c>
      <c r="B621" t="s">
        <v>2157</v>
      </c>
      <c r="C621" t="s">
        <v>2213</v>
      </c>
      <c r="D621" t="s">
        <v>2254</v>
      </c>
      <c r="E621">
        <v>65.888000000000005</v>
      </c>
    </row>
    <row r="622" spans="1:5" x14ac:dyDescent="0.2">
      <c r="A622" t="s">
        <v>1254</v>
      </c>
      <c r="B622" t="s">
        <v>2157</v>
      </c>
      <c r="C622" t="s">
        <v>2213</v>
      </c>
      <c r="D622" t="s">
        <v>2255</v>
      </c>
      <c r="E622">
        <v>9.3547999999999991</v>
      </c>
    </row>
    <row r="623" spans="1:5" x14ac:dyDescent="0.2">
      <c r="A623" t="s">
        <v>1463</v>
      </c>
      <c r="B623" t="s">
        <v>2157</v>
      </c>
      <c r="C623" t="s">
        <v>2213</v>
      </c>
      <c r="D623" t="s">
        <v>2256</v>
      </c>
      <c r="E623">
        <v>52.460099999999997</v>
      </c>
    </row>
    <row r="624" spans="1:5" x14ac:dyDescent="0.2">
      <c r="A624" t="s">
        <v>817</v>
      </c>
      <c r="B624" t="s">
        <v>2157</v>
      </c>
      <c r="C624" t="s">
        <v>2213</v>
      </c>
      <c r="D624" t="s">
        <v>2257</v>
      </c>
      <c r="E624">
        <v>46.852899999999998</v>
      </c>
    </row>
    <row r="625" spans="1:5" x14ac:dyDescent="0.2">
      <c r="A625" t="s">
        <v>709</v>
      </c>
      <c r="B625" t="s">
        <v>2157</v>
      </c>
      <c r="C625" t="s">
        <v>2213</v>
      </c>
      <c r="D625" t="s">
        <v>2258</v>
      </c>
      <c r="E625">
        <v>44.9925</v>
      </c>
    </row>
    <row r="626" spans="1:5" x14ac:dyDescent="0.2">
      <c r="A626" t="s">
        <v>1164</v>
      </c>
      <c r="B626" t="s">
        <v>2157</v>
      </c>
      <c r="C626" t="s">
        <v>2213</v>
      </c>
      <c r="D626" t="s">
        <v>2259</v>
      </c>
      <c r="E626">
        <v>7.8479999999999999</v>
      </c>
    </row>
    <row r="627" spans="1:5" x14ac:dyDescent="0.2">
      <c r="A627" t="s">
        <v>1611</v>
      </c>
      <c r="B627" t="s">
        <v>2157</v>
      </c>
      <c r="C627" t="s">
        <v>2213</v>
      </c>
      <c r="D627" t="s">
        <v>2260</v>
      </c>
      <c r="E627">
        <v>48.952800000000003</v>
      </c>
    </row>
    <row r="628" spans="1:5" x14ac:dyDescent="0.2">
      <c r="A628" t="s">
        <v>1015</v>
      </c>
      <c r="B628" t="s">
        <v>2157</v>
      </c>
      <c r="C628" t="s">
        <v>2213</v>
      </c>
      <c r="D628" t="s">
        <v>2261</v>
      </c>
      <c r="E628">
        <v>32.652900000000002</v>
      </c>
    </row>
    <row r="629" spans="1:5" x14ac:dyDescent="0.2">
      <c r="A629" t="s">
        <v>1278</v>
      </c>
      <c r="B629" t="s">
        <v>2157</v>
      </c>
      <c r="C629" t="s">
        <v>2213</v>
      </c>
      <c r="D629" t="s">
        <v>2262</v>
      </c>
      <c r="E629">
        <v>83.965000000000003</v>
      </c>
    </row>
    <row r="630" spans="1:5" x14ac:dyDescent="0.2">
      <c r="A630" t="s">
        <v>1435</v>
      </c>
      <c r="B630" t="s">
        <v>2157</v>
      </c>
      <c r="C630" t="s">
        <v>2213</v>
      </c>
      <c r="D630" t="s">
        <v>2263</v>
      </c>
      <c r="E630">
        <v>96.524500000000003</v>
      </c>
    </row>
    <row r="631" spans="1:5" x14ac:dyDescent="0.2">
      <c r="A631" t="s">
        <v>1335</v>
      </c>
      <c r="B631" t="s">
        <v>2157</v>
      </c>
      <c r="C631" t="s">
        <v>2213</v>
      </c>
      <c r="D631" t="s">
        <v>2264</v>
      </c>
      <c r="E631">
        <v>43.8675</v>
      </c>
    </row>
    <row r="632" spans="1:5" x14ac:dyDescent="0.2">
      <c r="A632" t="s">
        <v>1072</v>
      </c>
      <c r="B632" t="s">
        <v>2157</v>
      </c>
      <c r="C632" t="s">
        <v>2213</v>
      </c>
      <c r="D632" t="s">
        <v>2265</v>
      </c>
      <c r="E632">
        <v>251.965</v>
      </c>
    </row>
    <row r="633" spans="1:5" x14ac:dyDescent="0.2">
      <c r="A633" t="s">
        <v>882</v>
      </c>
      <c r="B633" t="s">
        <v>2157</v>
      </c>
      <c r="C633" t="s">
        <v>2213</v>
      </c>
      <c r="D633" t="s">
        <v>2266</v>
      </c>
      <c r="E633">
        <v>51.75</v>
      </c>
    </row>
    <row r="634" spans="1:5" x14ac:dyDescent="0.2">
      <c r="A634" t="s">
        <v>724</v>
      </c>
      <c r="B634" t="s">
        <v>2157</v>
      </c>
      <c r="C634" t="s">
        <v>2213</v>
      </c>
      <c r="D634" t="s">
        <v>2267</v>
      </c>
      <c r="E634">
        <v>5.3945999999999996</v>
      </c>
    </row>
    <row r="635" spans="1:5" x14ac:dyDescent="0.2">
      <c r="A635" t="s">
        <v>1224</v>
      </c>
      <c r="B635" t="s">
        <v>2157</v>
      </c>
      <c r="C635" t="s">
        <v>2213</v>
      </c>
      <c r="D635" t="s">
        <v>2268</v>
      </c>
      <c r="E635">
        <v>11.95</v>
      </c>
    </row>
    <row r="636" spans="1:5" x14ac:dyDescent="0.2">
      <c r="A636" t="s">
        <v>1390</v>
      </c>
      <c r="B636" t="s">
        <v>2157</v>
      </c>
      <c r="C636" t="s">
        <v>2213</v>
      </c>
      <c r="D636" t="s">
        <v>2269</v>
      </c>
      <c r="E636">
        <v>9.8901000000000003</v>
      </c>
    </row>
    <row r="637" spans="1:5" x14ac:dyDescent="0.2">
      <c r="A637" t="s">
        <v>1375</v>
      </c>
      <c r="B637" t="s">
        <v>2157</v>
      </c>
      <c r="C637" t="s">
        <v>2213</v>
      </c>
      <c r="D637" t="s">
        <v>2270</v>
      </c>
      <c r="E637">
        <v>59.493000000000002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3F2C-B1F8-C046-9977-D3D48DFBF583}">
  <dimension ref="A1:C6"/>
  <sheetViews>
    <sheetView workbookViewId="0">
      <selection activeCell="D23" sqref="D23"/>
    </sheetView>
  </sheetViews>
  <sheetFormatPr baseColWidth="10" defaultRowHeight="15" x14ac:dyDescent="0.2"/>
  <cols>
    <col min="3" max="3" width="27.1640625" bestFit="1" customWidth="1"/>
  </cols>
  <sheetData>
    <row r="1" spans="1:3" x14ac:dyDescent="0.2">
      <c r="A1" t="s">
        <v>1616</v>
      </c>
      <c r="B1" t="s">
        <v>5</v>
      </c>
      <c r="C1" t="s">
        <v>1617</v>
      </c>
    </row>
    <row r="2" spans="1:3" x14ac:dyDescent="0.2">
      <c r="A2" t="s">
        <v>12</v>
      </c>
      <c r="B2" t="s">
        <v>1618</v>
      </c>
      <c r="C2" t="s">
        <v>1619</v>
      </c>
    </row>
    <row r="3" spans="1:3" x14ac:dyDescent="0.2">
      <c r="A3" t="s">
        <v>27</v>
      </c>
      <c r="B3" t="s">
        <v>1620</v>
      </c>
      <c r="C3" t="s">
        <v>1621</v>
      </c>
    </row>
    <row r="4" spans="1:3" x14ac:dyDescent="0.2">
      <c r="A4" t="s">
        <v>1622</v>
      </c>
      <c r="B4" t="s">
        <v>1623</v>
      </c>
      <c r="C4" t="s">
        <v>1624</v>
      </c>
    </row>
    <row r="5" spans="1:3" x14ac:dyDescent="0.2">
      <c r="A5" t="s">
        <v>47</v>
      </c>
      <c r="B5" t="s">
        <v>1625</v>
      </c>
      <c r="C5" t="s">
        <v>1626</v>
      </c>
    </row>
    <row r="6" spans="1:3" x14ac:dyDescent="0.2">
      <c r="A6" t="s">
        <v>18</v>
      </c>
      <c r="B6" t="s">
        <v>1627</v>
      </c>
      <c r="C6" t="s">
        <v>1628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E610-5D5C-8A4E-9A43-21346427B461}">
  <dimension ref="A1:C4"/>
  <sheetViews>
    <sheetView workbookViewId="0">
      <selection activeCell="D13" sqref="D13"/>
    </sheetView>
  </sheetViews>
  <sheetFormatPr baseColWidth="10" defaultRowHeight="15" x14ac:dyDescent="0.2"/>
  <cols>
    <col min="3" max="3" width="18.5" customWidth="1"/>
  </cols>
  <sheetData>
    <row r="1" spans="1:3" x14ac:dyDescent="0.2">
      <c r="A1" s="2" t="s">
        <v>2271</v>
      </c>
      <c r="B1" s="2" t="s">
        <v>2272</v>
      </c>
      <c r="C1" s="2" t="s">
        <v>2273</v>
      </c>
    </row>
    <row r="2" spans="1:3" x14ac:dyDescent="0.2">
      <c r="A2" s="2">
        <v>1</v>
      </c>
      <c r="B2" s="2" t="s">
        <v>9</v>
      </c>
      <c r="C2" s="2" t="s">
        <v>2274</v>
      </c>
    </row>
    <row r="3" spans="1:3" x14ac:dyDescent="0.2">
      <c r="A3" s="2">
        <v>2</v>
      </c>
      <c r="B3" s="2" t="s">
        <v>150</v>
      </c>
      <c r="C3" s="2" t="s">
        <v>2275</v>
      </c>
    </row>
    <row r="4" spans="1:3" x14ac:dyDescent="0.2">
      <c r="A4" s="2">
        <v>3</v>
      </c>
      <c r="B4" s="2" t="s">
        <v>90</v>
      </c>
      <c r="C4" s="2" t="s">
        <v>2276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D001-EC99-8341-8926-D09ACC376CE9}">
  <dimension ref="A1:P793"/>
  <sheetViews>
    <sheetView workbookViewId="0">
      <selection activeCell="K16" sqref="K16"/>
    </sheetView>
  </sheetViews>
  <sheetFormatPr baseColWidth="10" defaultRowHeight="15" x14ac:dyDescent="0.2"/>
  <cols>
    <col min="1" max="1" width="15.5" bestFit="1" customWidth="1"/>
    <col min="2" max="2" width="17.83203125" bestFit="1" customWidth="1"/>
    <col min="3" max="3" width="10.5" bestFit="1" customWidth="1"/>
    <col min="4" max="4" width="16" bestFit="1" customWidth="1"/>
    <col min="5" max="5" width="13" bestFit="1" customWidth="1"/>
    <col min="6" max="6" width="12.6640625" bestFit="1" customWidth="1"/>
    <col min="7" max="7" width="9" bestFit="1" customWidth="1"/>
    <col min="8" max="8" width="14.1640625" bestFit="1" customWidth="1"/>
    <col min="9" max="9" width="12.1640625" bestFit="1" customWidth="1"/>
    <col min="10" max="10" width="11" bestFit="1" customWidth="1"/>
    <col min="11" max="11" width="12" bestFit="1" customWidth="1"/>
    <col min="12" max="12" width="15.33203125" bestFit="1" customWidth="1"/>
    <col min="13" max="14" width="10.5" bestFit="1" customWidth="1"/>
    <col min="15" max="15" width="17" bestFit="1" customWidth="1"/>
    <col min="16" max="16" width="10.6640625" bestFit="1" customWidth="1"/>
  </cols>
  <sheetData>
    <row r="1" spans="1:16" x14ac:dyDescent="0.2">
      <c r="A1" t="s">
        <v>383</v>
      </c>
      <c r="B1" t="s">
        <v>0</v>
      </c>
      <c r="C1" t="s">
        <v>1</v>
      </c>
      <c r="D1" t="s">
        <v>2</v>
      </c>
      <c r="E1" t="s">
        <v>3</v>
      </c>
      <c r="F1" t="s">
        <v>4</v>
      </c>
      <c r="G1" t="s">
        <v>5</v>
      </c>
      <c r="H1" t="s">
        <v>581</v>
      </c>
      <c r="I1" t="s">
        <v>582</v>
      </c>
      <c r="J1" t="s">
        <v>583</v>
      </c>
      <c r="K1" t="s">
        <v>584</v>
      </c>
      <c r="L1" t="s">
        <v>586</v>
      </c>
      <c r="M1" t="s">
        <v>587</v>
      </c>
      <c r="N1" t="s">
        <v>588</v>
      </c>
      <c r="O1" t="s">
        <v>589</v>
      </c>
      <c r="P1" t="s">
        <v>590</v>
      </c>
    </row>
    <row r="2" spans="1:16" x14ac:dyDescent="0.2">
      <c r="A2" t="s">
        <v>7</v>
      </c>
      <c r="B2" t="s">
        <v>8</v>
      </c>
      <c r="C2" t="s">
        <v>9</v>
      </c>
      <c r="D2" t="s">
        <v>10</v>
      </c>
      <c r="E2" t="s">
        <v>11</v>
      </c>
      <c r="F2">
        <v>55407</v>
      </c>
      <c r="G2" t="s">
        <v>12</v>
      </c>
      <c r="H2" t="s">
        <v>720</v>
      </c>
      <c r="I2" s="1">
        <v>42915</v>
      </c>
      <c r="J2" s="1">
        <v>42920</v>
      </c>
      <c r="K2">
        <v>4</v>
      </c>
      <c r="L2" t="s">
        <v>721</v>
      </c>
      <c r="M2">
        <v>3</v>
      </c>
      <c r="N2">
        <v>0</v>
      </c>
      <c r="O2">
        <v>0</v>
      </c>
      <c r="P2" t="b">
        <v>0</v>
      </c>
    </row>
    <row r="3" spans="1:16" x14ac:dyDescent="0.2">
      <c r="A3" t="s">
        <v>7</v>
      </c>
      <c r="B3" t="s">
        <v>8</v>
      </c>
      <c r="C3" t="s">
        <v>9</v>
      </c>
      <c r="D3" t="s">
        <v>10</v>
      </c>
      <c r="E3" t="s">
        <v>11</v>
      </c>
      <c r="F3">
        <v>55407</v>
      </c>
      <c r="G3" t="s">
        <v>12</v>
      </c>
      <c r="H3" t="s">
        <v>720</v>
      </c>
      <c r="I3" s="1">
        <v>42915</v>
      </c>
      <c r="J3" s="1">
        <v>42920</v>
      </c>
      <c r="K3">
        <v>4</v>
      </c>
      <c r="L3" t="s">
        <v>722</v>
      </c>
      <c r="M3">
        <v>2</v>
      </c>
      <c r="N3">
        <v>0</v>
      </c>
      <c r="O3">
        <v>0</v>
      </c>
      <c r="P3" t="b">
        <v>0</v>
      </c>
    </row>
    <row r="4" spans="1:16" x14ac:dyDescent="0.2">
      <c r="A4" t="s">
        <v>60</v>
      </c>
      <c r="B4" t="s">
        <v>61</v>
      </c>
      <c r="C4" t="s">
        <v>9</v>
      </c>
      <c r="D4" t="s">
        <v>62</v>
      </c>
      <c r="E4" t="s">
        <v>63</v>
      </c>
      <c r="F4">
        <v>28027</v>
      </c>
      <c r="G4" t="s">
        <v>47</v>
      </c>
      <c r="H4" t="s">
        <v>591</v>
      </c>
      <c r="I4" s="1">
        <v>42840</v>
      </c>
      <c r="J4" s="1">
        <v>42845</v>
      </c>
      <c r="K4">
        <v>4</v>
      </c>
      <c r="L4" t="s">
        <v>592</v>
      </c>
      <c r="M4">
        <v>3</v>
      </c>
      <c r="N4">
        <v>1</v>
      </c>
      <c r="O4">
        <v>0.2</v>
      </c>
      <c r="P4" t="b">
        <v>0</v>
      </c>
    </row>
    <row r="5" spans="1:16" x14ac:dyDescent="0.2">
      <c r="A5" t="s">
        <v>60</v>
      </c>
      <c r="B5" t="s">
        <v>61</v>
      </c>
      <c r="C5" t="s">
        <v>9</v>
      </c>
      <c r="D5" t="s">
        <v>62</v>
      </c>
      <c r="E5" t="s">
        <v>63</v>
      </c>
      <c r="F5">
        <v>28027</v>
      </c>
      <c r="G5" t="s">
        <v>47</v>
      </c>
      <c r="H5" t="s">
        <v>754</v>
      </c>
      <c r="I5" s="1">
        <v>41763</v>
      </c>
      <c r="J5" s="1">
        <v>41763</v>
      </c>
      <c r="K5">
        <v>1</v>
      </c>
      <c r="L5" t="s">
        <v>755</v>
      </c>
      <c r="M5">
        <v>2</v>
      </c>
      <c r="N5">
        <v>0</v>
      </c>
      <c r="O5">
        <v>0</v>
      </c>
      <c r="P5" t="b">
        <v>0</v>
      </c>
    </row>
    <row r="6" spans="1:16" x14ac:dyDescent="0.2">
      <c r="A6" t="s">
        <v>14</v>
      </c>
      <c r="B6" t="s">
        <v>15</v>
      </c>
      <c r="C6" t="s">
        <v>9</v>
      </c>
      <c r="D6" t="s">
        <v>16</v>
      </c>
      <c r="E6" t="s">
        <v>17</v>
      </c>
      <c r="F6">
        <v>94109</v>
      </c>
      <c r="G6" t="s">
        <v>18</v>
      </c>
      <c r="H6" t="s">
        <v>735</v>
      </c>
      <c r="I6" s="1">
        <v>42281</v>
      </c>
      <c r="J6" s="1">
        <v>42284</v>
      </c>
      <c r="K6">
        <v>2</v>
      </c>
      <c r="L6" t="s">
        <v>736</v>
      </c>
      <c r="M6">
        <v>2</v>
      </c>
      <c r="N6">
        <v>0</v>
      </c>
      <c r="O6">
        <v>0</v>
      </c>
      <c r="P6" t="b">
        <v>0</v>
      </c>
    </row>
    <row r="7" spans="1:16" x14ac:dyDescent="0.2">
      <c r="A7" t="s">
        <v>14</v>
      </c>
      <c r="B7" t="s">
        <v>15</v>
      </c>
      <c r="C7" t="s">
        <v>9</v>
      </c>
      <c r="D7" t="s">
        <v>16</v>
      </c>
      <c r="E7" t="s">
        <v>17</v>
      </c>
      <c r="F7">
        <v>94109</v>
      </c>
      <c r="G7" t="s">
        <v>18</v>
      </c>
      <c r="H7" t="s">
        <v>857</v>
      </c>
      <c r="I7" s="1">
        <v>41729</v>
      </c>
      <c r="J7" s="1">
        <v>41734</v>
      </c>
      <c r="K7">
        <v>4</v>
      </c>
      <c r="L7" t="s">
        <v>858</v>
      </c>
      <c r="M7">
        <v>2</v>
      </c>
      <c r="N7">
        <v>1</v>
      </c>
      <c r="O7">
        <v>0.2</v>
      </c>
      <c r="P7" t="b">
        <v>0</v>
      </c>
    </row>
    <row r="8" spans="1:16" x14ac:dyDescent="0.2">
      <c r="A8" t="s">
        <v>14</v>
      </c>
      <c r="B8" t="s">
        <v>15</v>
      </c>
      <c r="C8" t="s">
        <v>9</v>
      </c>
      <c r="D8" t="s">
        <v>16</v>
      </c>
      <c r="E8" t="s">
        <v>17</v>
      </c>
      <c r="F8">
        <v>94109</v>
      </c>
      <c r="G8" t="s">
        <v>18</v>
      </c>
      <c r="H8" t="s">
        <v>857</v>
      </c>
      <c r="I8" s="1">
        <v>41729</v>
      </c>
      <c r="J8" s="1">
        <v>41734</v>
      </c>
      <c r="K8">
        <v>4</v>
      </c>
      <c r="L8" t="s">
        <v>859</v>
      </c>
      <c r="M8">
        <v>2</v>
      </c>
      <c r="N8">
        <v>0</v>
      </c>
      <c r="O8">
        <v>0</v>
      </c>
      <c r="P8" t="b">
        <v>0</v>
      </c>
    </row>
    <row r="9" spans="1:16" x14ac:dyDescent="0.2">
      <c r="A9" t="s">
        <v>446</v>
      </c>
      <c r="B9" t="s">
        <v>197</v>
      </c>
      <c r="C9" t="s">
        <v>9</v>
      </c>
      <c r="D9" t="s">
        <v>198</v>
      </c>
      <c r="E9" t="s">
        <v>199</v>
      </c>
      <c r="F9">
        <v>84084</v>
      </c>
      <c r="G9" t="s">
        <v>18</v>
      </c>
      <c r="H9" t="s">
        <v>593</v>
      </c>
      <c r="I9" s="1">
        <v>41772</v>
      </c>
      <c r="J9" s="1">
        <v>41774</v>
      </c>
      <c r="K9">
        <v>3</v>
      </c>
      <c r="L9" t="s">
        <v>594</v>
      </c>
      <c r="M9">
        <v>2</v>
      </c>
      <c r="N9">
        <v>0</v>
      </c>
      <c r="O9">
        <v>0</v>
      </c>
      <c r="P9" t="b">
        <v>0</v>
      </c>
    </row>
    <row r="10" spans="1:16" x14ac:dyDescent="0.2">
      <c r="A10" t="s">
        <v>434</v>
      </c>
      <c r="B10" t="s">
        <v>177</v>
      </c>
      <c r="C10" t="s">
        <v>90</v>
      </c>
      <c r="D10" t="s">
        <v>178</v>
      </c>
      <c r="E10" t="s">
        <v>179</v>
      </c>
      <c r="F10">
        <v>59405</v>
      </c>
      <c r="G10" t="s">
        <v>18</v>
      </c>
      <c r="H10" t="s">
        <v>595</v>
      </c>
      <c r="I10" s="1">
        <v>41999</v>
      </c>
      <c r="J10" s="1">
        <v>42001</v>
      </c>
      <c r="K10">
        <v>3</v>
      </c>
      <c r="L10" t="s">
        <v>596</v>
      </c>
      <c r="M10">
        <v>3</v>
      </c>
      <c r="N10">
        <v>1</v>
      </c>
      <c r="O10">
        <v>0.3</v>
      </c>
      <c r="P10" t="b">
        <v>0</v>
      </c>
    </row>
    <row r="11" spans="1:16" x14ac:dyDescent="0.2">
      <c r="A11" t="s">
        <v>434</v>
      </c>
      <c r="B11" t="s">
        <v>177</v>
      </c>
      <c r="C11" t="s">
        <v>90</v>
      </c>
      <c r="D11" t="s">
        <v>178</v>
      </c>
      <c r="E11" t="s">
        <v>179</v>
      </c>
      <c r="F11">
        <v>59405</v>
      </c>
      <c r="G11" t="s">
        <v>18</v>
      </c>
      <c r="H11" t="s">
        <v>642</v>
      </c>
      <c r="I11" s="1">
        <v>42757</v>
      </c>
      <c r="J11" s="1">
        <v>42762</v>
      </c>
      <c r="K11">
        <v>4</v>
      </c>
      <c r="L11" t="s">
        <v>643</v>
      </c>
      <c r="M11">
        <v>5</v>
      </c>
      <c r="N11">
        <v>0</v>
      </c>
      <c r="O11">
        <v>0</v>
      </c>
      <c r="P11" t="b">
        <v>0</v>
      </c>
    </row>
    <row r="12" spans="1:16" x14ac:dyDescent="0.2">
      <c r="A12" t="s">
        <v>434</v>
      </c>
      <c r="B12" t="s">
        <v>177</v>
      </c>
      <c r="C12" t="s">
        <v>90</v>
      </c>
      <c r="D12" t="s">
        <v>178</v>
      </c>
      <c r="E12" t="s">
        <v>179</v>
      </c>
      <c r="F12">
        <v>59405</v>
      </c>
      <c r="G12" t="s">
        <v>18</v>
      </c>
      <c r="H12" t="s">
        <v>642</v>
      </c>
      <c r="I12" s="1">
        <v>42757</v>
      </c>
      <c r="J12" s="1">
        <v>42762</v>
      </c>
      <c r="K12">
        <v>4</v>
      </c>
      <c r="L12" t="s">
        <v>644</v>
      </c>
      <c r="M12">
        <v>3</v>
      </c>
      <c r="N12">
        <v>0</v>
      </c>
      <c r="O12">
        <v>0</v>
      </c>
      <c r="P12" t="b">
        <v>0</v>
      </c>
    </row>
    <row r="13" spans="1:16" x14ac:dyDescent="0.2">
      <c r="A13" t="s">
        <v>434</v>
      </c>
      <c r="B13" t="s">
        <v>177</v>
      </c>
      <c r="C13" t="s">
        <v>90</v>
      </c>
      <c r="D13" t="s">
        <v>178</v>
      </c>
      <c r="E13" t="s">
        <v>179</v>
      </c>
      <c r="F13">
        <v>59405</v>
      </c>
      <c r="G13" t="s">
        <v>18</v>
      </c>
      <c r="H13" t="s">
        <v>642</v>
      </c>
      <c r="I13" s="1">
        <v>42757</v>
      </c>
      <c r="J13" s="1">
        <v>42762</v>
      </c>
      <c r="K13">
        <v>4</v>
      </c>
      <c r="L13" t="s">
        <v>645</v>
      </c>
      <c r="M13">
        <v>2</v>
      </c>
      <c r="N13">
        <v>0</v>
      </c>
      <c r="O13">
        <v>0</v>
      </c>
      <c r="P13" t="b">
        <v>0</v>
      </c>
    </row>
    <row r="14" spans="1:16" x14ac:dyDescent="0.2">
      <c r="A14" t="s">
        <v>434</v>
      </c>
      <c r="B14" t="s">
        <v>177</v>
      </c>
      <c r="C14" t="s">
        <v>90</v>
      </c>
      <c r="D14" t="s">
        <v>178</v>
      </c>
      <c r="E14" t="s">
        <v>179</v>
      </c>
      <c r="F14">
        <v>59405</v>
      </c>
      <c r="G14" t="s">
        <v>18</v>
      </c>
      <c r="H14" t="s">
        <v>642</v>
      </c>
      <c r="I14" s="1">
        <v>42757</v>
      </c>
      <c r="J14" s="1">
        <v>42762</v>
      </c>
      <c r="K14">
        <v>4</v>
      </c>
      <c r="L14" t="s">
        <v>646</v>
      </c>
      <c r="M14">
        <v>3</v>
      </c>
      <c r="N14">
        <v>0</v>
      </c>
      <c r="O14">
        <v>0</v>
      </c>
      <c r="P14" t="b">
        <v>1</v>
      </c>
    </row>
    <row r="15" spans="1:16" x14ac:dyDescent="0.2">
      <c r="A15" t="s">
        <v>513</v>
      </c>
      <c r="B15" t="s">
        <v>294</v>
      </c>
      <c r="C15" t="s">
        <v>150</v>
      </c>
      <c r="D15" t="s">
        <v>295</v>
      </c>
      <c r="E15" t="s">
        <v>22</v>
      </c>
      <c r="F15">
        <v>75051</v>
      </c>
      <c r="G15" t="s">
        <v>12</v>
      </c>
      <c r="H15" t="s">
        <v>597</v>
      </c>
      <c r="I15" s="1">
        <v>42567</v>
      </c>
      <c r="J15" s="1">
        <v>42573</v>
      </c>
      <c r="K15">
        <v>4</v>
      </c>
      <c r="L15" t="s">
        <v>598</v>
      </c>
      <c r="M15">
        <v>3</v>
      </c>
      <c r="N15">
        <v>1</v>
      </c>
      <c r="O15">
        <v>0.2</v>
      </c>
      <c r="P15" t="b">
        <v>0</v>
      </c>
    </row>
    <row r="16" spans="1:16" x14ac:dyDescent="0.2">
      <c r="A16" t="s">
        <v>513</v>
      </c>
      <c r="B16" t="s">
        <v>294</v>
      </c>
      <c r="C16" t="s">
        <v>150</v>
      </c>
      <c r="D16" t="s">
        <v>295</v>
      </c>
      <c r="E16" t="s">
        <v>22</v>
      </c>
      <c r="F16">
        <v>75051</v>
      </c>
      <c r="G16" t="s">
        <v>12</v>
      </c>
      <c r="H16" t="s">
        <v>597</v>
      </c>
      <c r="I16" s="1">
        <v>42567</v>
      </c>
      <c r="J16" s="1">
        <v>42573</v>
      </c>
      <c r="K16">
        <v>4</v>
      </c>
      <c r="L16" t="s">
        <v>599</v>
      </c>
      <c r="M16">
        <v>3</v>
      </c>
      <c r="N16">
        <v>1</v>
      </c>
      <c r="O16">
        <v>0.2</v>
      </c>
      <c r="P16" t="b">
        <v>0</v>
      </c>
    </row>
    <row r="17" spans="1:16" x14ac:dyDescent="0.2">
      <c r="A17" t="s">
        <v>513</v>
      </c>
      <c r="B17" t="s">
        <v>294</v>
      </c>
      <c r="C17" t="s">
        <v>150</v>
      </c>
      <c r="D17" t="s">
        <v>295</v>
      </c>
      <c r="E17" t="s">
        <v>22</v>
      </c>
      <c r="F17">
        <v>75051</v>
      </c>
      <c r="G17" t="s">
        <v>12</v>
      </c>
      <c r="H17" t="s">
        <v>866</v>
      </c>
      <c r="I17" s="1">
        <v>43071</v>
      </c>
      <c r="J17" s="1">
        <v>43072</v>
      </c>
      <c r="K17">
        <v>1</v>
      </c>
      <c r="L17" t="s">
        <v>867</v>
      </c>
      <c r="M17">
        <v>6</v>
      </c>
      <c r="N17">
        <v>1</v>
      </c>
      <c r="O17">
        <v>0.2</v>
      </c>
      <c r="P17" t="b">
        <v>0</v>
      </c>
    </row>
    <row r="18" spans="1:16" x14ac:dyDescent="0.2">
      <c r="A18" t="s">
        <v>28</v>
      </c>
      <c r="B18" t="s">
        <v>29</v>
      </c>
      <c r="C18" t="s">
        <v>9</v>
      </c>
      <c r="D18" t="s">
        <v>30</v>
      </c>
      <c r="E18" t="s">
        <v>31</v>
      </c>
      <c r="F18">
        <v>85204</v>
      </c>
      <c r="G18" t="s">
        <v>18</v>
      </c>
      <c r="H18" t="s">
        <v>647</v>
      </c>
      <c r="I18" s="1">
        <v>42561</v>
      </c>
      <c r="J18" s="1">
        <v>42567</v>
      </c>
      <c r="K18">
        <v>4</v>
      </c>
      <c r="L18" t="s">
        <v>648</v>
      </c>
      <c r="M18">
        <v>2</v>
      </c>
      <c r="N18">
        <v>1</v>
      </c>
      <c r="O18">
        <v>0.2</v>
      </c>
      <c r="P18" t="b">
        <v>0</v>
      </c>
    </row>
    <row r="19" spans="1:16" x14ac:dyDescent="0.2">
      <c r="A19" t="s">
        <v>32</v>
      </c>
      <c r="B19" t="s">
        <v>33</v>
      </c>
      <c r="C19" t="s">
        <v>9</v>
      </c>
      <c r="D19" t="s">
        <v>34</v>
      </c>
      <c r="E19" t="s">
        <v>35</v>
      </c>
      <c r="F19">
        <v>68104</v>
      </c>
      <c r="G19" t="s">
        <v>12</v>
      </c>
      <c r="H19" t="s">
        <v>684</v>
      </c>
      <c r="I19" s="1">
        <v>42038</v>
      </c>
      <c r="J19" s="1">
        <v>42040</v>
      </c>
      <c r="K19">
        <v>2</v>
      </c>
      <c r="L19" t="s">
        <v>685</v>
      </c>
      <c r="M19">
        <v>2</v>
      </c>
      <c r="N19">
        <v>0</v>
      </c>
      <c r="O19">
        <v>0</v>
      </c>
      <c r="P19" t="b">
        <v>0</v>
      </c>
    </row>
    <row r="20" spans="1:16" x14ac:dyDescent="0.2">
      <c r="A20" t="s">
        <v>32</v>
      </c>
      <c r="B20" t="s">
        <v>33</v>
      </c>
      <c r="C20" t="s">
        <v>9</v>
      </c>
      <c r="D20" t="s">
        <v>34</v>
      </c>
      <c r="E20" t="s">
        <v>35</v>
      </c>
      <c r="F20">
        <v>68104</v>
      </c>
      <c r="G20" t="s">
        <v>12</v>
      </c>
      <c r="H20" t="s">
        <v>684</v>
      </c>
      <c r="I20" s="1">
        <v>42038</v>
      </c>
      <c r="J20" s="1">
        <v>42040</v>
      </c>
      <c r="K20">
        <v>2</v>
      </c>
      <c r="L20" t="s">
        <v>686</v>
      </c>
      <c r="M20">
        <v>3</v>
      </c>
      <c r="N20">
        <v>0</v>
      </c>
      <c r="O20">
        <v>0</v>
      </c>
      <c r="P20" t="b">
        <v>0</v>
      </c>
    </row>
    <row r="21" spans="1:16" x14ac:dyDescent="0.2">
      <c r="A21" t="s">
        <v>487</v>
      </c>
      <c r="B21" t="s">
        <v>257</v>
      </c>
      <c r="C21" t="s">
        <v>9</v>
      </c>
      <c r="D21" t="s">
        <v>258</v>
      </c>
      <c r="E21" t="s">
        <v>17</v>
      </c>
      <c r="F21">
        <v>94513</v>
      </c>
      <c r="G21" t="s">
        <v>18</v>
      </c>
      <c r="H21" t="s">
        <v>600</v>
      </c>
      <c r="I21" s="1">
        <v>42318</v>
      </c>
      <c r="J21" s="1">
        <v>42323</v>
      </c>
      <c r="K21">
        <v>4</v>
      </c>
      <c r="L21" t="s">
        <v>601</v>
      </c>
      <c r="M21">
        <v>2</v>
      </c>
      <c r="N21">
        <v>0</v>
      </c>
      <c r="O21">
        <v>0</v>
      </c>
      <c r="P21" t="b">
        <v>0</v>
      </c>
    </row>
    <row r="22" spans="1:16" x14ac:dyDescent="0.2">
      <c r="A22" t="s">
        <v>487</v>
      </c>
      <c r="B22" t="s">
        <v>257</v>
      </c>
      <c r="C22" t="s">
        <v>9</v>
      </c>
      <c r="D22" t="s">
        <v>258</v>
      </c>
      <c r="E22" t="s">
        <v>17</v>
      </c>
      <c r="F22">
        <v>94513</v>
      </c>
      <c r="G22" t="s">
        <v>18</v>
      </c>
      <c r="H22" t="s">
        <v>889</v>
      </c>
      <c r="I22" s="1">
        <v>43093</v>
      </c>
      <c r="J22" s="1">
        <v>43100</v>
      </c>
      <c r="K22">
        <v>4</v>
      </c>
      <c r="L22" t="s">
        <v>890</v>
      </c>
      <c r="M22">
        <v>6</v>
      </c>
      <c r="N22">
        <v>0</v>
      </c>
      <c r="O22">
        <v>0</v>
      </c>
      <c r="P22" t="b">
        <v>0</v>
      </c>
    </row>
    <row r="23" spans="1:16" x14ac:dyDescent="0.2">
      <c r="A23" t="s">
        <v>36</v>
      </c>
      <c r="B23" t="s">
        <v>37</v>
      </c>
      <c r="C23" t="s">
        <v>9</v>
      </c>
      <c r="D23" t="s">
        <v>38</v>
      </c>
      <c r="E23" t="s">
        <v>17</v>
      </c>
      <c r="F23">
        <v>90008</v>
      </c>
      <c r="G23" t="s">
        <v>18</v>
      </c>
      <c r="H23" t="s">
        <v>727</v>
      </c>
      <c r="I23" s="1">
        <v>41750</v>
      </c>
      <c r="J23" s="1">
        <v>41754</v>
      </c>
      <c r="K23">
        <v>4</v>
      </c>
      <c r="L23" t="s">
        <v>728</v>
      </c>
      <c r="M23">
        <v>5</v>
      </c>
      <c r="N23">
        <v>1</v>
      </c>
      <c r="O23">
        <v>0.2</v>
      </c>
      <c r="P23" t="b">
        <v>0</v>
      </c>
    </row>
    <row r="24" spans="1:16" x14ac:dyDescent="0.2">
      <c r="A24" t="s">
        <v>452</v>
      </c>
      <c r="B24" t="s">
        <v>206</v>
      </c>
      <c r="C24" t="s">
        <v>150</v>
      </c>
      <c r="D24" t="s">
        <v>97</v>
      </c>
      <c r="E24" t="s">
        <v>67</v>
      </c>
      <c r="F24">
        <v>19140</v>
      </c>
      <c r="G24" t="s">
        <v>27</v>
      </c>
      <c r="H24" t="s">
        <v>602</v>
      </c>
      <c r="I24" s="1">
        <v>43021</v>
      </c>
      <c r="J24" s="1">
        <v>43025</v>
      </c>
      <c r="K24">
        <v>4</v>
      </c>
      <c r="L24" t="s">
        <v>603</v>
      </c>
      <c r="M24">
        <v>2</v>
      </c>
      <c r="N24">
        <v>1</v>
      </c>
      <c r="O24">
        <v>0.2</v>
      </c>
      <c r="P24" t="b">
        <v>0</v>
      </c>
    </row>
    <row r="25" spans="1:16" x14ac:dyDescent="0.2">
      <c r="A25" t="s">
        <v>452</v>
      </c>
      <c r="B25" t="s">
        <v>206</v>
      </c>
      <c r="C25" t="s">
        <v>150</v>
      </c>
      <c r="D25" t="s">
        <v>97</v>
      </c>
      <c r="E25" t="s">
        <v>67</v>
      </c>
      <c r="F25">
        <v>19140</v>
      </c>
      <c r="G25" t="s">
        <v>27</v>
      </c>
      <c r="H25" t="s">
        <v>602</v>
      </c>
      <c r="I25" s="1">
        <v>43021</v>
      </c>
      <c r="J25" s="1">
        <v>43025</v>
      </c>
      <c r="K25">
        <v>4</v>
      </c>
      <c r="L25" t="s">
        <v>604</v>
      </c>
      <c r="M25">
        <v>4</v>
      </c>
      <c r="N25">
        <v>1</v>
      </c>
      <c r="O25">
        <v>0.2</v>
      </c>
      <c r="P25" t="b">
        <v>0</v>
      </c>
    </row>
    <row r="26" spans="1:16" x14ac:dyDescent="0.2">
      <c r="A26" t="s">
        <v>452</v>
      </c>
      <c r="B26" t="s">
        <v>206</v>
      </c>
      <c r="C26" t="s">
        <v>150</v>
      </c>
      <c r="D26" t="s">
        <v>97</v>
      </c>
      <c r="E26" t="s">
        <v>67</v>
      </c>
      <c r="F26">
        <v>19140</v>
      </c>
      <c r="G26" t="s">
        <v>27</v>
      </c>
      <c r="H26" t="s">
        <v>602</v>
      </c>
      <c r="I26" s="1">
        <v>43021</v>
      </c>
      <c r="J26" s="1">
        <v>43025</v>
      </c>
      <c r="K26">
        <v>4</v>
      </c>
      <c r="L26" t="s">
        <v>605</v>
      </c>
      <c r="M26">
        <v>6</v>
      </c>
      <c r="N26">
        <v>1</v>
      </c>
      <c r="O26">
        <v>0.2</v>
      </c>
      <c r="P26" t="b">
        <v>0</v>
      </c>
    </row>
    <row r="27" spans="1:16" x14ac:dyDescent="0.2">
      <c r="A27" t="s">
        <v>452</v>
      </c>
      <c r="B27" t="s">
        <v>206</v>
      </c>
      <c r="C27" t="s">
        <v>150</v>
      </c>
      <c r="D27" t="s">
        <v>97</v>
      </c>
      <c r="E27" t="s">
        <v>67</v>
      </c>
      <c r="F27">
        <v>19140</v>
      </c>
      <c r="G27" t="s">
        <v>27</v>
      </c>
      <c r="H27" t="s">
        <v>602</v>
      </c>
      <c r="I27" s="1">
        <v>43021</v>
      </c>
      <c r="J27" s="1">
        <v>43025</v>
      </c>
      <c r="K27">
        <v>4</v>
      </c>
      <c r="L27" t="s">
        <v>606</v>
      </c>
      <c r="M27">
        <v>3</v>
      </c>
      <c r="N27">
        <v>1</v>
      </c>
      <c r="O27">
        <v>0.2</v>
      </c>
      <c r="P27" t="b">
        <v>0</v>
      </c>
    </row>
    <row r="28" spans="1:16" x14ac:dyDescent="0.2">
      <c r="A28" t="s">
        <v>39</v>
      </c>
      <c r="B28" t="s">
        <v>40</v>
      </c>
      <c r="C28" t="s">
        <v>9</v>
      </c>
      <c r="D28" t="s">
        <v>41</v>
      </c>
      <c r="E28" t="s">
        <v>42</v>
      </c>
      <c r="F28">
        <v>97301</v>
      </c>
      <c r="G28" t="s">
        <v>18</v>
      </c>
      <c r="H28" t="s">
        <v>828</v>
      </c>
      <c r="I28" s="1">
        <v>42132</v>
      </c>
      <c r="J28" s="1">
        <v>42136</v>
      </c>
      <c r="K28">
        <v>4</v>
      </c>
      <c r="L28" t="s">
        <v>829</v>
      </c>
      <c r="M28">
        <v>2</v>
      </c>
      <c r="N28">
        <v>1</v>
      </c>
      <c r="O28">
        <v>0.2</v>
      </c>
      <c r="P28" t="b">
        <v>0</v>
      </c>
    </row>
    <row r="29" spans="1:16" x14ac:dyDescent="0.2">
      <c r="A29" t="s">
        <v>43</v>
      </c>
      <c r="B29" t="s">
        <v>44</v>
      </c>
      <c r="C29" t="s">
        <v>9</v>
      </c>
      <c r="D29" t="s">
        <v>45</v>
      </c>
      <c r="E29" t="s">
        <v>46</v>
      </c>
      <c r="F29">
        <v>30318</v>
      </c>
      <c r="G29" t="s">
        <v>47</v>
      </c>
      <c r="H29" t="s">
        <v>860</v>
      </c>
      <c r="I29" s="1">
        <v>42688</v>
      </c>
      <c r="J29" s="1">
        <v>42690</v>
      </c>
      <c r="K29">
        <v>3</v>
      </c>
      <c r="L29" t="s">
        <v>861</v>
      </c>
      <c r="M29">
        <v>2</v>
      </c>
      <c r="N29">
        <v>0</v>
      </c>
      <c r="O29">
        <v>0</v>
      </c>
      <c r="P29" t="b">
        <v>0</v>
      </c>
    </row>
    <row r="30" spans="1:16" x14ac:dyDescent="0.2">
      <c r="A30" t="s">
        <v>43</v>
      </c>
      <c r="B30" t="s">
        <v>44</v>
      </c>
      <c r="C30" t="s">
        <v>9</v>
      </c>
      <c r="D30" t="s">
        <v>45</v>
      </c>
      <c r="E30" t="s">
        <v>46</v>
      </c>
      <c r="F30">
        <v>30318</v>
      </c>
      <c r="G30" t="s">
        <v>47</v>
      </c>
      <c r="H30" t="s">
        <v>860</v>
      </c>
      <c r="I30" s="1">
        <v>42688</v>
      </c>
      <c r="J30" s="1">
        <v>42690</v>
      </c>
      <c r="K30">
        <v>3</v>
      </c>
      <c r="L30" t="s">
        <v>862</v>
      </c>
      <c r="M30">
        <v>1</v>
      </c>
      <c r="N30">
        <v>0</v>
      </c>
      <c r="O30">
        <v>0</v>
      </c>
      <c r="P30" t="b">
        <v>0</v>
      </c>
    </row>
    <row r="31" spans="1:16" x14ac:dyDescent="0.2">
      <c r="A31" t="s">
        <v>43</v>
      </c>
      <c r="B31" t="s">
        <v>44</v>
      </c>
      <c r="C31" t="s">
        <v>9</v>
      </c>
      <c r="D31" t="s">
        <v>45</v>
      </c>
      <c r="E31" t="s">
        <v>46</v>
      </c>
      <c r="F31">
        <v>30318</v>
      </c>
      <c r="G31" t="s">
        <v>47</v>
      </c>
      <c r="H31" t="s">
        <v>860</v>
      </c>
      <c r="I31" s="1">
        <v>42688</v>
      </c>
      <c r="J31" s="1">
        <v>42690</v>
      </c>
      <c r="K31">
        <v>3</v>
      </c>
      <c r="L31" t="s">
        <v>816</v>
      </c>
      <c r="M31">
        <v>2</v>
      </c>
      <c r="N31">
        <v>0</v>
      </c>
      <c r="O31">
        <v>0</v>
      </c>
      <c r="P31" t="b">
        <v>0</v>
      </c>
    </row>
    <row r="32" spans="1:16" x14ac:dyDescent="0.2">
      <c r="A32" t="s">
        <v>484</v>
      </c>
      <c r="B32" t="s">
        <v>252</v>
      </c>
      <c r="C32" t="s">
        <v>150</v>
      </c>
      <c r="D32" t="s">
        <v>253</v>
      </c>
      <c r="E32" t="s">
        <v>166</v>
      </c>
      <c r="F32">
        <v>33319</v>
      </c>
      <c r="G32" t="s">
        <v>47</v>
      </c>
      <c r="H32" t="s">
        <v>607</v>
      </c>
      <c r="I32" s="1">
        <v>42722</v>
      </c>
      <c r="J32" s="1">
        <v>42724</v>
      </c>
      <c r="K32">
        <v>3</v>
      </c>
      <c r="L32" t="s">
        <v>608</v>
      </c>
      <c r="M32">
        <v>7</v>
      </c>
      <c r="N32">
        <v>1</v>
      </c>
      <c r="O32">
        <v>0.7</v>
      </c>
      <c r="P32" t="b">
        <v>0</v>
      </c>
    </row>
    <row r="33" spans="1:16" x14ac:dyDescent="0.2">
      <c r="A33" t="s">
        <v>484</v>
      </c>
      <c r="B33" t="s">
        <v>252</v>
      </c>
      <c r="C33" t="s">
        <v>150</v>
      </c>
      <c r="D33" t="s">
        <v>253</v>
      </c>
      <c r="E33" t="s">
        <v>166</v>
      </c>
      <c r="F33">
        <v>33319</v>
      </c>
      <c r="G33" t="s">
        <v>47</v>
      </c>
      <c r="H33" t="s">
        <v>607</v>
      </c>
      <c r="I33" s="1">
        <v>42722</v>
      </c>
      <c r="J33" s="1">
        <v>42724</v>
      </c>
      <c r="K33">
        <v>3</v>
      </c>
      <c r="L33" t="s">
        <v>609</v>
      </c>
      <c r="M33">
        <v>2</v>
      </c>
      <c r="N33">
        <v>1</v>
      </c>
      <c r="O33">
        <v>0.2</v>
      </c>
      <c r="P33" t="b">
        <v>0</v>
      </c>
    </row>
    <row r="34" spans="1:16" x14ac:dyDescent="0.2">
      <c r="A34" t="s">
        <v>484</v>
      </c>
      <c r="B34" t="s">
        <v>252</v>
      </c>
      <c r="C34" t="s">
        <v>150</v>
      </c>
      <c r="D34" t="s">
        <v>253</v>
      </c>
      <c r="E34" t="s">
        <v>166</v>
      </c>
      <c r="F34">
        <v>33319</v>
      </c>
      <c r="G34" t="s">
        <v>47</v>
      </c>
      <c r="H34" t="s">
        <v>607</v>
      </c>
      <c r="I34" s="1">
        <v>42722</v>
      </c>
      <c r="J34" s="1">
        <v>42724</v>
      </c>
      <c r="K34">
        <v>3</v>
      </c>
      <c r="L34" t="s">
        <v>610</v>
      </c>
      <c r="M34">
        <v>5</v>
      </c>
      <c r="N34">
        <v>1</v>
      </c>
      <c r="O34">
        <v>0.2</v>
      </c>
      <c r="P34" t="b">
        <v>0</v>
      </c>
    </row>
    <row r="35" spans="1:16" x14ac:dyDescent="0.2">
      <c r="A35" t="s">
        <v>546</v>
      </c>
      <c r="B35" t="s">
        <v>342</v>
      </c>
      <c r="C35" t="s">
        <v>150</v>
      </c>
      <c r="D35" t="s">
        <v>343</v>
      </c>
      <c r="E35" t="s">
        <v>299</v>
      </c>
      <c r="F35">
        <v>36116</v>
      </c>
      <c r="G35" t="s">
        <v>47</v>
      </c>
      <c r="H35" t="s">
        <v>611</v>
      </c>
      <c r="I35" s="1">
        <v>42128</v>
      </c>
      <c r="J35" s="1">
        <v>42133</v>
      </c>
      <c r="K35">
        <v>3</v>
      </c>
      <c r="L35" t="s">
        <v>612</v>
      </c>
      <c r="M35">
        <v>2</v>
      </c>
      <c r="N35">
        <v>0</v>
      </c>
      <c r="O35">
        <v>0</v>
      </c>
      <c r="P35" t="b">
        <v>0</v>
      </c>
    </row>
    <row r="36" spans="1:16" x14ac:dyDescent="0.2">
      <c r="A36" t="s">
        <v>546</v>
      </c>
      <c r="B36" t="s">
        <v>342</v>
      </c>
      <c r="C36" t="s">
        <v>150</v>
      </c>
      <c r="D36" t="s">
        <v>343</v>
      </c>
      <c r="E36" t="s">
        <v>299</v>
      </c>
      <c r="F36">
        <v>36116</v>
      </c>
      <c r="G36" t="s">
        <v>47</v>
      </c>
      <c r="H36" t="s">
        <v>824</v>
      </c>
      <c r="I36" s="1">
        <v>41930</v>
      </c>
      <c r="J36" s="1">
        <v>41932</v>
      </c>
      <c r="K36">
        <v>3</v>
      </c>
      <c r="L36" t="s">
        <v>825</v>
      </c>
      <c r="M36">
        <v>3</v>
      </c>
      <c r="N36">
        <v>0</v>
      </c>
      <c r="O36">
        <v>0</v>
      </c>
      <c r="P36" t="b">
        <v>0</v>
      </c>
    </row>
    <row r="37" spans="1:16" x14ac:dyDescent="0.2">
      <c r="A37" t="s">
        <v>546</v>
      </c>
      <c r="B37" t="s">
        <v>342</v>
      </c>
      <c r="C37" t="s">
        <v>150</v>
      </c>
      <c r="D37" t="s">
        <v>343</v>
      </c>
      <c r="E37" t="s">
        <v>299</v>
      </c>
      <c r="F37">
        <v>36116</v>
      </c>
      <c r="G37" t="s">
        <v>47</v>
      </c>
      <c r="H37" t="s">
        <v>824</v>
      </c>
      <c r="I37" s="1">
        <v>41930</v>
      </c>
      <c r="J37" s="1">
        <v>41932</v>
      </c>
      <c r="K37">
        <v>3</v>
      </c>
      <c r="L37" t="s">
        <v>826</v>
      </c>
      <c r="M37">
        <v>5</v>
      </c>
      <c r="N37">
        <v>0</v>
      </c>
      <c r="O37">
        <v>0</v>
      </c>
      <c r="P37" t="b">
        <v>0</v>
      </c>
    </row>
    <row r="38" spans="1:16" x14ac:dyDescent="0.2">
      <c r="A38" t="s">
        <v>546</v>
      </c>
      <c r="B38" t="s">
        <v>342</v>
      </c>
      <c r="C38" t="s">
        <v>150</v>
      </c>
      <c r="D38" t="s">
        <v>343</v>
      </c>
      <c r="E38" t="s">
        <v>299</v>
      </c>
      <c r="F38">
        <v>36116</v>
      </c>
      <c r="G38" t="s">
        <v>47</v>
      </c>
      <c r="H38" t="s">
        <v>824</v>
      </c>
      <c r="I38" s="1">
        <v>41930</v>
      </c>
      <c r="J38" s="1">
        <v>41932</v>
      </c>
      <c r="K38">
        <v>3</v>
      </c>
      <c r="L38" t="s">
        <v>827</v>
      </c>
      <c r="M38">
        <v>6</v>
      </c>
      <c r="N38">
        <v>0</v>
      </c>
      <c r="O38">
        <v>0</v>
      </c>
      <c r="P38" t="b">
        <v>0</v>
      </c>
    </row>
    <row r="39" spans="1:16" x14ac:dyDescent="0.2">
      <c r="A39" t="s">
        <v>572</v>
      </c>
      <c r="B39" t="s">
        <v>571</v>
      </c>
      <c r="C39" t="s">
        <v>150</v>
      </c>
      <c r="D39" t="s">
        <v>212</v>
      </c>
      <c r="E39" t="s">
        <v>166</v>
      </c>
      <c r="F39">
        <v>33710</v>
      </c>
      <c r="G39" t="s">
        <v>47</v>
      </c>
      <c r="H39" t="s">
        <v>613</v>
      </c>
      <c r="I39" s="1">
        <v>41860</v>
      </c>
      <c r="J39" s="1">
        <v>41867</v>
      </c>
      <c r="K39">
        <v>4</v>
      </c>
      <c r="L39" t="s">
        <v>614</v>
      </c>
      <c r="M39">
        <v>2</v>
      </c>
      <c r="N39">
        <v>1</v>
      </c>
      <c r="O39">
        <v>0.2</v>
      </c>
      <c r="P39" t="b">
        <v>0</v>
      </c>
    </row>
    <row r="40" spans="1:16" x14ac:dyDescent="0.2">
      <c r="A40" t="s">
        <v>572</v>
      </c>
      <c r="B40" t="s">
        <v>571</v>
      </c>
      <c r="C40" t="s">
        <v>150</v>
      </c>
      <c r="D40" t="s">
        <v>212</v>
      </c>
      <c r="E40" t="s">
        <v>166</v>
      </c>
      <c r="F40">
        <v>33710</v>
      </c>
      <c r="G40" t="s">
        <v>47</v>
      </c>
      <c r="H40" t="s">
        <v>613</v>
      </c>
      <c r="I40" s="1">
        <v>41860</v>
      </c>
      <c r="J40" s="1">
        <v>41867</v>
      </c>
      <c r="K40">
        <v>4</v>
      </c>
      <c r="L40" t="s">
        <v>615</v>
      </c>
      <c r="M40">
        <v>3</v>
      </c>
      <c r="N40">
        <v>1</v>
      </c>
      <c r="O40">
        <v>0.2</v>
      </c>
      <c r="P40" t="b">
        <v>0</v>
      </c>
    </row>
    <row r="41" spans="1:16" x14ac:dyDescent="0.2">
      <c r="A41" t="s">
        <v>572</v>
      </c>
      <c r="B41" t="s">
        <v>571</v>
      </c>
      <c r="C41" t="s">
        <v>150</v>
      </c>
      <c r="D41" t="s">
        <v>121</v>
      </c>
      <c r="E41" t="s">
        <v>22</v>
      </c>
      <c r="F41">
        <v>77095</v>
      </c>
      <c r="G41" t="s">
        <v>12</v>
      </c>
      <c r="H41" t="s">
        <v>613</v>
      </c>
      <c r="I41" s="1">
        <v>41860</v>
      </c>
      <c r="J41" s="1">
        <v>41867</v>
      </c>
      <c r="K41">
        <v>4</v>
      </c>
      <c r="L41" t="s">
        <v>614</v>
      </c>
      <c r="M41">
        <v>2</v>
      </c>
      <c r="N41">
        <v>1</v>
      </c>
      <c r="O41">
        <v>0.2</v>
      </c>
      <c r="P41" t="b">
        <v>0</v>
      </c>
    </row>
    <row r="42" spans="1:16" x14ac:dyDescent="0.2">
      <c r="A42" t="s">
        <v>572</v>
      </c>
      <c r="B42" t="s">
        <v>571</v>
      </c>
      <c r="C42" t="s">
        <v>150</v>
      </c>
      <c r="D42" t="s">
        <v>121</v>
      </c>
      <c r="E42" t="s">
        <v>22</v>
      </c>
      <c r="F42">
        <v>77095</v>
      </c>
      <c r="G42" t="s">
        <v>12</v>
      </c>
      <c r="H42" t="s">
        <v>613</v>
      </c>
      <c r="I42" s="1">
        <v>41860</v>
      </c>
      <c r="J42" s="1">
        <v>41867</v>
      </c>
      <c r="K42">
        <v>4</v>
      </c>
      <c r="L42" t="s">
        <v>615</v>
      </c>
      <c r="M42">
        <v>3</v>
      </c>
      <c r="N42">
        <v>1</v>
      </c>
      <c r="O42">
        <v>0.2</v>
      </c>
      <c r="P42" t="b">
        <v>0</v>
      </c>
    </row>
    <row r="43" spans="1:16" x14ac:dyDescent="0.2">
      <c r="A43" t="s">
        <v>421</v>
      </c>
      <c r="B43" t="s">
        <v>157</v>
      </c>
      <c r="C43" t="s">
        <v>150</v>
      </c>
      <c r="D43" t="s">
        <v>16</v>
      </c>
      <c r="E43" t="s">
        <v>17</v>
      </c>
      <c r="F43">
        <v>94122</v>
      </c>
      <c r="G43" t="s">
        <v>18</v>
      </c>
      <c r="H43" t="s">
        <v>616</v>
      </c>
      <c r="I43" s="1">
        <v>41832</v>
      </c>
      <c r="J43" s="1">
        <v>41837</v>
      </c>
      <c r="K43">
        <v>4</v>
      </c>
      <c r="L43" t="s">
        <v>617</v>
      </c>
      <c r="M43">
        <v>2</v>
      </c>
      <c r="N43">
        <v>1</v>
      </c>
      <c r="O43">
        <v>0.2</v>
      </c>
      <c r="P43" t="b">
        <v>0</v>
      </c>
    </row>
    <row r="44" spans="1:16" x14ac:dyDescent="0.2">
      <c r="A44" t="s">
        <v>421</v>
      </c>
      <c r="B44" t="s">
        <v>157</v>
      </c>
      <c r="C44" t="s">
        <v>150</v>
      </c>
      <c r="D44" t="s">
        <v>16</v>
      </c>
      <c r="E44" t="s">
        <v>17</v>
      </c>
      <c r="F44">
        <v>94122</v>
      </c>
      <c r="G44" t="s">
        <v>18</v>
      </c>
      <c r="H44" t="s">
        <v>616</v>
      </c>
      <c r="I44" s="1">
        <v>41832</v>
      </c>
      <c r="J44" s="1">
        <v>41837</v>
      </c>
      <c r="K44">
        <v>4</v>
      </c>
      <c r="L44" t="s">
        <v>618</v>
      </c>
      <c r="M44">
        <v>3</v>
      </c>
      <c r="N44">
        <v>1</v>
      </c>
      <c r="O44">
        <v>0.2</v>
      </c>
      <c r="P44" t="b">
        <v>1</v>
      </c>
    </row>
    <row r="45" spans="1:16" x14ac:dyDescent="0.2">
      <c r="A45" t="s">
        <v>421</v>
      </c>
      <c r="B45" t="s">
        <v>157</v>
      </c>
      <c r="C45" t="s">
        <v>150</v>
      </c>
      <c r="D45" t="s">
        <v>16</v>
      </c>
      <c r="E45" t="s">
        <v>17</v>
      </c>
      <c r="F45">
        <v>94122</v>
      </c>
      <c r="G45" t="s">
        <v>18</v>
      </c>
      <c r="H45" t="s">
        <v>800</v>
      </c>
      <c r="I45" s="1">
        <v>42867</v>
      </c>
      <c r="J45" s="1">
        <v>42870</v>
      </c>
      <c r="K45">
        <v>3</v>
      </c>
      <c r="L45" t="s">
        <v>801</v>
      </c>
      <c r="M45">
        <v>5</v>
      </c>
      <c r="N45">
        <v>1</v>
      </c>
      <c r="O45">
        <v>0.2</v>
      </c>
      <c r="P45" t="b">
        <v>0</v>
      </c>
    </row>
    <row r="46" spans="1:16" x14ac:dyDescent="0.2">
      <c r="A46" t="s">
        <v>421</v>
      </c>
      <c r="B46" t="s">
        <v>157</v>
      </c>
      <c r="C46" t="s">
        <v>150</v>
      </c>
      <c r="D46" t="s">
        <v>16</v>
      </c>
      <c r="E46" t="s">
        <v>17</v>
      </c>
      <c r="F46">
        <v>94122</v>
      </c>
      <c r="G46" t="s">
        <v>18</v>
      </c>
      <c r="H46" t="s">
        <v>800</v>
      </c>
      <c r="I46" s="1">
        <v>42867</v>
      </c>
      <c r="J46" s="1">
        <v>42870</v>
      </c>
      <c r="K46">
        <v>3</v>
      </c>
      <c r="L46" t="s">
        <v>802</v>
      </c>
      <c r="M46">
        <v>4</v>
      </c>
      <c r="N46">
        <v>1</v>
      </c>
      <c r="O46">
        <v>0.8</v>
      </c>
      <c r="P46" t="b">
        <v>0</v>
      </c>
    </row>
    <row r="47" spans="1:16" x14ac:dyDescent="0.2">
      <c r="A47" t="s">
        <v>421</v>
      </c>
      <c r="B47" t="s">
        <v>157</v>
      </c>
      <c r="C47" t="s">
        <v>150</v>
      </c>
      <c r="D47" t="s">
        <v>16</v>
      </c>
      <c r="E47" t="s">
        <v>17</v>
      </c>
      <c r="F47">
        <v>94122</v>
      </c>
      <c r="G47" t="s">
        <v>18</v>
      </c>
      <c r="H47" t="s">
        <v>616</v>
      </c>
      <c r="I47" s="1">
        <v>41832</v>
      </c>
      <c r="J47" s="1">
        <v>41837</v>
      </c>
      <c r="K47">
        <v>4</v>
      </c>
      <c r="L47" t="s">
        <v>617</v>
      </c>
      <c r="M47">
        <v>2</v>
      </c>
      <c r="N47">
        <v>1</v>
      </c>
      <c r="O47">
        <v>0.2</v>
      </c>
      <c r="P47" t="b">
        <v>0</v>
      </c>
    </row>
    <row r="48" spans="1:16" x14ac:dyDescent="0.2">
      <c r="A48" t="s">
        <v>421</v>
      </c>
      <c r="B48" t="s">
        <v>157</v>
      </c>
      <c r="C48" t="s">
        <v>150</v>
      </c>
      <c r="D48" t="s">
        <v>16</v>
      </c>
      <c r="E48" t="s">
        <v>17</v>
      </c>
      <c r="F48">
        <v>94122</v>
      </c>
      <c r="G48" t="s">
        <v>18</v>
      </c>
      <c r="H48" t="s">
        <v>616</v>
      </c>
      <c r="I48" s="1">
        <v>41832</v>
      </c>
      <c r="J48" s="1">
        <v>41837</v>
      </c>
      <c r="K48">
        <v>4</v>
      </c>
      <c r="L48" t="s">
        <v>618</v>
      </c>
      <c r="M48">
        <v>3</v>
      </c>
      <c r="N48">
        <v>1</v>
      </c>
      <c r="O48">
        <v>0.2</v>
      </c>
      <c r="P48" t="b">
        <v>1</v>
      </c>
    </row>
    <row r="49" spans="1:16" x14ac:dyDescent="0.2">
      <c r="A49" t="s">
        <v>421</v>
      </c>
      <c r="B49" t="s">
        <v>157</v>
      </c>
      <c r="C49" t="s">
        <v>150</v>
      </c>
      <c r="D49" t="s">
        <v>16</v>
      </c>
      <c r="E49" t="s">
        <v>17</v>
      </c>
      <c r="F49">
        <v>94122</v>
      </c>
      <c r="G49" t="s">
        <v>18</v>
      </c>
      <c r="H49" t="s">
        <v>800</v>
      </c>
      <c r="I49" s="1">
        <v>42867</v>
      </c>
      <c r="J49" s="1">
        <v>42870</v>
      </c>
      <c r="K49">
        <v>3</v>
      </c>
      <c r="L49" t="s">
        <v>801</v>
      </c>
      <c r="M49">
        <v>5</v>
      </c>
      <c r="N49">
        <v>1</v>
      </c>
      <c r="O49">
        <v>0.2</v>
      </c>
      <c r="P49" t="b">
        <v>0</v>
      </c>
    </row>
    <row r="50" spans="1:16" x14ac:dyDescent="0.2">
      <c r="A50" t="s">
        <v>421</v>
      </c>
      <c r="B50" t="s">
        <v>157</v>
      </c>
      <c r="C50" t="s">
        <v>150</v>
      </c>
      <c r="D50" t="s">
        <v>16</v>
      </c>
      <c r="E50" t="s">
        <v>17</v>
      </c>
      <c r="F50">
        <v>94122</v>
      </c>
      <c r="G50" t="s">
        <v>18</v>
      </c>
      <c r="H50" t="s">
        <v>800</v>
      </c>
      <c r="I50" s="1">
        <v>42867</v>
      </c>
      <c r="J50" s="1">
        <v>42870</v>
      </c>
      <c r="K50">
        <v>3</v>
      </c>
      <c r="L50" t="s">
        <v>802</v>
      </c>
      <c r="M50">
        <v>4</v>
      </c>
      <c r="N50">
        <v>1</v>
      </c>
      <c r="O50">
        <v>0.8</v>
      </c>
      <c r="P50" t="b">
        <v>0</v>
      </c>
    </row>
    <row r="51" spans="1:16" x14ac:dyDescent="0.2">
      <c r="A51" t="s">
        <v>387</v>
      </c>
      <c r="B51" t="s">
        <v>89</v>
      </c>
      <c r="C51" t="s">
        <v>90</v>
      </c>
      <c r="D51" t="s">
        <v>25</v>
      </c>
      <c r="E51" t="s">
        <v>26</v>
      </c>
      <c r="F51">
        <v>10009</v>
      </c>
      <c r="G51" t="s">
        <v>27</v>
      </c>
      <c r="H51" t="s">
        <v>619</v>
      </c>
      <c r="I51" s="1">
        <v>42614</v>
      </c>
      <c r="J51" s="1">
        <v>42616</v>
      </c>
      <c r="K51">
        <v>2</v>
      </c>
      <c r="L51" t="s">
        <v>620</v>
      </c>
      <c r="M51">
        <v>1</v>
      </c>
      <c r="N51">
        <v>0</v>
      </c>
      <c r="O51">
        <v>0</v>
      </c>
      <c r="P51" t="b">
        <v>0</v>
      </c>
    </row>
    <row r="52" spans="1:16" x14ac:dyDescent="0.2">
      <c r="A52" t="s">
        <v>387</v>
      </c>
      <c r="B52" t="s">
        <v>89</v>
      </c>
      <c r="C52" t="s">
        <v>90</v>
      </c>
      <c r="D52" t="s">
        <v>25</v>
      </c>
      <c r="E52" t="s">
        <v>26</v>
      </c>
      <c r="F52">
        <v>10009</v>
      </c>
      <c r="G52" t="s">
        <v>27</v>
      </c>
      <c r="H52" t="s">
        <v>619</v>
      </c>
      <c r="I52" s="1">
        <v>42614</v>
      </c>
      <c r="J52" s="1">
        <v>42616</v>
      </c>
      <c r="K52">
        <v>2</v>
      </c>
      <c r="L52" t="s">
        <v>621</v>
      </c>
      <c r="M52">
        <v>2</v>
      </c>
      <c r="N52">
        <v>0</v>
      </c>
      <c r="O52">
        <v>0</v>
      </c>
      <c r="P52" t="b">
        <v>0</v>
      </c>
    </row>
    <row r="53" spans="1:16" x14ac:dyDescent="0.2">
      <c r="A53" t="s">
        <v>387</v>
      </c>
      <c r="B53" t="s">
        <v>89</v>
      </c>
      <c r="C53" t="s">
        <v>90</v>
      </c>
      <c r="D53" t="s">
        <v>25</v>
      </c>
      <c r="E53" t="s">
        <v>26</v>
      </c>
      <c r="F53">
        <v>10009</v>
      </c>
      <c r="G53" t="s">
        <v>27</v>
      </c>
      <c r="H53" t="s">
        <v>619</v>
      </c>
      <c r="I53" s="1">
        <v>42614</v>
      </c>
      <c r="J53" s="1">
        <v>42616</v>
      </c>
      <c r="K53">
        <v>2</v>
      </c>
      <c r="L53" t="s">
        <v>622</v>
      </c>
      <c r="M53">
        <v>1</v>
      </c>
      <c r="N53">
        <v>1</v>
      </c>
      <c r="O53">
        <v>0.2</v>
      </c>
      <c r="P53" t="b">
        <v>0</v>
      </c>
    </row>
    <row r="54" spans="1:16" x14ac:dyDescent="0.2">
      <c r="A54" t="s">
        <v>387</v>
      </c>
      <c r="B54" t="s">
        <v>89</v>
      </c>
      <c r="C54" t="s">
        <v>90</v>
      </c>
      <c r="D54" t="s">
        <v>25</v>
      </c>
      <c r="E54" t="s">
        <v>26</v>
      </c>
      <c r="F54">
        <v>10009</v>
      </c>
      <c r="G54" t="s">
        <v>27</v>
      </c>
      <c r="H54" t="s">
        <v>619</v>
      </c>
      <c r="I54" s="1">
        <v>42614</v>
      </c>
      <c r="J54" s="1">
        <v>42616</v>
      </c>
      <c r="K54">
        <v>2</v>
      </c>
      <c r="L54" t="s">
        <v>621</v>
      </c>
      <c r="M54">
        <v>4</v>
      </c>
      <c r="N54">
        <v>0</v>
      </c>
      <c r="O54">
        <v>0</v>
      </c>
      <c r="P54" t="b">
        <v>0</v>
      </c>
    </row>
    <row r="55" spans="1:16" x14ac:dyDescent="0.2">
      <c r="A55" t="s">
        <v>387</v>
      </c>
      <c r="B55" t="s">
        <v>89</v>
      </c>
      <c r="C55" t="s">
        <v>90</v>
      </c>
      <c r="D55" t="s">
        <v>25</v>
      </c>
      <c r="E55" t="s">
        <v>26</v>
      </c>
      <c r="F55">
        <v>10009</v>
      </c>
      <c r="G55" t="s">
        <v>27</v>
      </c>
      <c r="H55" t="s">
        <v>619</v>
      </c>
      <c r="I55" s="1">
        <v>42614</v>
      </c>
      <c r="J55" s="1">
        <v>42616</v>
      </c>
      <c r="K55">
        <v>2</v>
      </c>
      <c r="L55" t="s">
        <v>623</v>
      </c>
      <c r="M55">
        <v>4</v>
      </c>
      <c r="N55">
        <v>1</v>
      </c>
      <c r="O55">
        <v>0.2</v>
      </c>
      <c r="P55" t="b">
        <v>0</v>
      </c>
    </row>
    <row r="56" spans="1:16" x14ac:dyDescent="0.2">
      <c r="A56" t="s">
        <v>465</v>
      </c>
      <c r="B56" t="s">
        <v>224</v>
      </c>
      <c r="C56" t="s">
        <v>9</v>
      </c>
      <c r="D56" t="s">
        <v>151</v>
      </c>
      <c r="E56" t="s">
        <v>31</v>
      </c>
      <c r="F56">
        <v>85705</v>
      </c>
      <c r="G56" t="s">
        <v>18</v>
      </c>
      <c r="H56" t="s">
        <v>624</v>
      </c>
      <c r="I56" s="1">
        <v>41843</v>
      </c>
      <c r="J56" s="1">
        <v>41847</v>
      </c>
      <c r="K56">
        <v>4</v>
      </c>
      <c r="L56" t="s">
        <v>625</v>
      </c>
      <c r="M56">
        <v>5</v>
      </c>
      <c r="N56">
        <v>1</v>
      </c>
      <c r="O56">
        <v>0.7</v>
      </c>
      <c r="P56" t="b">
        <v>0</v>
      </c>
    </row>
    <row r="57" spans="1:16" x14ac:dyDescent="0.2">
      <c r="A57" t="s">
        <v>465</v>
      </c>
      <c r="B57" t="s">
        <v>224</v>
      </c>
      <c r="C57" t="s">
        <v>9</v>
      </c>
      <c r="D57" t="s">
        <v>151</v>
      </c>
      <c r="E57" t="s">
        <v>31</v>
      </c>
      <c r="F57">
        <v>85705</v>
      </c>
      <c r="G57" t="s">
        <v>18</v>
      </c>
      <c r="H57" t="s">
        <v>624</v>
      </c>
      <c r="I57" s="1">
        <v>41843</v>
      </c>
      <c r="J57" s="1">
        <v>41847</v>
      </c>
      <c r="K57">
        <v>4</v>
      </c>
      <c r="L57" t="s">
        <v>626</v>
      </c>
      <c r="M57">
        <v>8</v>
      </c>
      <c r="N57">
        <v>1</v>
      </c>
      <c r="O57">
        <v>0.2</v>
      </c>
      <c r="P57" t="b">
        <v>0</v>
      </c>
    </row>
    <row r="58" spans="1:16" x14ac:dyDescent="0.2">
      <c r="A58" t="s">
        <v>465</v>
      </c>
      <c r="B58" t="s">
        <v>224</v>
      </c>
      <c r="C58" t="s">
        <v>9</v>
      </c>
      <c r="D58" t="s">
        <v>151</v>
      </c>
      <c r="E58" t="s">
        <v>31</v>
      </c>
      <c r="F58">
        <v>85705</v>
      </c>
      <c r="G58" t="s">
        <v>18</v>
      </c>
      <c r="H58" t="s">
        <v>624</v>
      </c>
      <c r="I58" s="1">
        <v>41843</v>
      </c>
      <c r="J58" s="1">
        <v>41847</v>
      </c>
      <c r="K58">
        <v>4</v>
      </c>
      <c r="L58" t="s">
        <v>627</v>
      </c>
      <c r="M58">
        <v>1</v>
      </c>
      <c r="N58">
        <v>1</v>
      </c>
      <c r="O58">
        <v>0.2</v>
      </c>
      <c r="P58" t="b">
        <v>0</v>
      </c>
    </row>
    <row r="59" spans="1:16" x14ac:dyDescent="0.2">
      <c r="A59" t="s">
        <v>465</v>
      </c>
      <c r="B59" t="s">
        <v>224</v>
      </c>
      <c r="C59" t="s">
        <v>9</v>
      </c>
      <c r="D59" t="s">
        <v>151</v>
      </c>
      <c r="E59" t="s">
        <v>31</v>
      </c>
      <c r="F59">
        <v>85705</v>
      </c>
      <c r="G59" t="s">
        <v>18</v>
      </c>
      <c r="H59" t="s">
        <v>624</v>
      </c>
      <c r="I59" s="1">
        <v>41843</v>
      </c>
      <c r="J59" s="1">
        <v>41847</v>
      </c>
      <c r="K59">
        <v>4</v>
      </c>
      <c r="L59" t="s">
        <v>628</v>
      </c>
      <c r="M59">
        <v>10</v>
      </c>
      <c r="N59">
        <v>1</v>
      </c>
      <c r="O59">
        <v>0.2</v>
      </c>
      <c r="P59" t="b">
        <v>0</v>
      </c>
    </row>
    <row r="60" spans="1:16" x14ac:dyDescent="0.2">
      <c r="A60" t="s">
        <v>388</v>
      </c>
      <c r="B60" t="s">
        <v>91</v>
      </c>
      <c r="C60" t="s">
        <v>90</v>
      </c>
      <c r="D60" t="s">
        <v>62</v>
      </c>
      <c r="E60" t="s">
        <v>92</v>
      </c>
      <c r="F60">
        <v>3301</v>
      </c>
      <c r="G60" t="s">
        <v>27</v>
      </c>
      <c r="H60" t="s">
        <v>729</v>
      </c>
      <c r="I60" s="1">
        <v>42611</v>
      </c>
      <c r="J60" s="1">
        <v>42616</v>
      </c>
      <c r="K60">
        <v>4</v>
      </c>
      <c r="L60" t="s">
        <v>730</v>
      </c>
      <c r="M60">
        <v>3</v>
      </c>
      <c r="N60">
        <v>0</v>
      </c>
      <c r="O60">
        <v>0</v>
      </c>
      <c r="P60" t="b">
        <v>0</v>
      </c>
    </row>
    <row r="61" spans="1:16" x14ac:dyDescent="0.2">
      <c r="A61" t="s">
        <v>389</v>
      </c>
      <c r="B61" t="s">
        <v>93</v>
      </c>
      <c r="C61" t="s">
        <v>90</v>
      </c>
      <c r="D61" t="s">
        <v>94</v>
      </c>
      <c r="E61" t="s">
        <v>95</v>
      </c>
      <c r="F61">
        <v>22980</v>
      </c>
      <c r="G61" t="s">
        <v>47</v>
      </c>
      <c r="H61" t="s">
        <v>871</v>
      </c>
      <c r="I61" s="1">
        <v>42442</v>
      </c>
      <c r="J61" s="1">
        <v>42447</v>
      </c>
      <c r="K61">
        <v>4</v>
      </c>
      <c r="L61" t="s">
        <v>872</v>
      </c>
      <c r="M61">
        <v>2</v>
      </c>
      <c r="N61">
        <v>0</v>
      </c>
      <c r="O61">
        <v>0</v>
      </c>
      <c r="P61" t="b">
        <v>0</v>
      </c>
    </row>
    <row r="62" spans="1:16" x14ac:dyDescent="0.2">
      <c r="A62" t="s">
        <v>389</v>
      </c>
      <c r="B62" t="s">
        <v>93</v>
      </c>
      <c r="C62" t="s">
        <v>90</v>
      </c>
      <c r="D62" t="s">
        <v>94</v>
      </c>
      <c r="E62" t="s">
        <v>95</v>
      </c>
      <c r="F62">
        <v>22980</v>
      </c>
      <c r="G62" t="s">
        <v>47</v>
      </c>
      <c r="H62" t="s">
        <v>871</v>
      </c>
      <c r="I62" s="1">
        <v>42442</v>
      </c>
      <c r="J62" s="1">
        <v>42447</v>
      </c>
      <c r="K62">
        <v>4</v>
      </c>
      <c r="L62" t="s">
        <v>873</v>
      </c>
      <c r="M62">
        <v>2</v>
      </c>
      <c r="N62">
        <v>0</v>
      </c>
      <c r="O62">
        <v>0</v>
      </c>
      <c r="P62" t="b">
        <v>0</v>
      </c>
    </row>
    <row r="63" spans="1:16" x14ac:dyDescent="0.2">
      <c r="A63" t="s">
        <v>389</v>
      </c>
      <c r="B63" t="s">
        <v>93</v>
      </c>
      <c r="C63" t="s">
        <v>90</v>
      </c>
      <c r="D63" t="s">
        <v>94</v>
      </c>
      <c r="E63" t="s">
        <v>95</v>
      </c>
      <c r="F63">
        <v>22980</v>
      </c>
      <c r="G63" t="s">
        <v>47</v>
      </c>
      <c r="H63" t="s">
        <v>871</v>
      </c>
      <c r="I63" s="1">
        <v>42442</v>
      </c>
      <c r="J63" s="1">
        <v>42447</v>
      </c>
      <c r="K63">
        <v>4</v>
      </c>
      <c r="L63" t="s">
        <v>874</v>
      </c>
      <c r="M63">
        <v>4</v>
      </c>
      <c r="N63">
        <v>0</v>
      </c>
      <c r="O63">
        <v>0</v>
      </c>
      <c r="P63" t="b">
        <v>0</v>
      </c>
    </row>
    <row r="64" spans="1:16" x14ac:dyDescent="0.2">
      <c r="A64" t="s">
        <v>531</v>
      </c>
      <c r="B64" t="s">
        <v>321</v>
      </c>
      <c r="C64" t="s">
        <v>150</v>
      </c>
      <c r="D64" t="s">
        <v>322</v>
      </c>
      <c r="E64" t="s">
        <v>79</v>
      </c>
      <c r="F64">
        <v>2038</v>
      </c>
      <c r="G64" t="s">
        <v>27</v>
      </c>
      <c r="H64" t="s">
        <v>629</v>
      </c>
      <c r="I64" s="1">
        <v>42974</v>
      </c>
      <c r="J64" s="1">
        <v>42979</v>
      </c>
      <c r="K64">
        <v>4</v>
      </c>
      <c r="L64" t="s">
        <v>630</v>
      </c>
      <c r="M64">
        <v>7</v>
      </c>
      <c r="N64">
        <v>1</v>
      </c>
      <c r="O64">
        <v>0.3</v>
      </c>
      <c r="P64" t="b">
        <v>0</v>
      </c>
    </row>
    <row r="65" spans="1:16" x14ac:dyDescent="0.2">
      <c r="A65" t="s">
        <v>531</v>
      </c>
      <c r="B65" t="s">
        <v>321</v>
      </c>
      <c r="C65" t="s">
        <v>150</v>
      </c>
      <c r="D65" t="s">
        <v>322</v>
      </c>
      <c r="E65" t="s">
        <v>79</v>
      </c>
      <c r="F65">
        <v>2038</v>
      </c>
      <c r="G65" t="s">
        <v>27</v>
      </c>
      <c r="H65" t="s">
        <v>670</v>
      </c>
      <c r="I65" s="1">
        <v>42905</v>
      </c>
      <c r="J65" s="1">
        <v>42909</v>
      </c>
      <c r="K65">
        <v>4</v>
      </c>
      <c r="L65" t="s">
        <v>671</v>
      </c>
      <c r="M65">
        <v>2</v>
      </c>
      <c r="N65">
        <v>0</v>
      </c>
      <c r="O65">
        <v>0</v>
      </c>
      <c r="P65" t="b">
        <v>0</v>
      </c>
    </row>
    <row r="66" spans="1:16" x14ac:dyDescent="0.2">
      <c r="A66" t="s">
        <v>531</v>
      </c>
      <c r="B66" t="s">
        <v>321</v>
      </c>
      <c r="C66" t="s">
        <v>150</v>
      </c>
      <c r="D66" t="s">
        <v>322</v>
      </c>
      <c r="E66" t="s">
        <v>79</v>
      </c>
      <c r="F66">
        <v>2038</v>
      </c>
      <c r="G66" t="s">
        <v>27</v>
      </c>
      <c r="H66" t="s">
        <v>670</v>
      </c>
      <c r="I66" s="1">
        <v>42905</v>
      </c>
      <c r="J66" s="1">
        <v>42909</v>
      </c>
      <c r="K66">
        <v>4</v>
      </c>
      <c r="L66" t="s">
        <v>672</v>
      </c>
      <c r="M66">
        <v>8</v>
      </c>
      <c r="N66">
        <v>0</v>
      </c>
      <c r="O66">
        <v>0</v>
      </c>
      <c r="P66" t="b">
        <v>0</v>
      </c>
    </row>
    <row r="67" spans="1:16" x14ac:dyDescent="0.2">
      <c r="A67" t="s">
        <v>531</v>
      </c>
      <c r="B67" t="s">
        <v>321</v>
      </c>
      <c r="C67" t="s">
        <v>150</v>
      </c>
      <c r="D67" t="s">
        <v>322</v>
      </c>
      <c r="E67" t="s">
        <v>79</v>
      </c>
      <c r="F67">
        <v>2038</v>
      </c>
      <c r="G67" t="s">
        <v>27</v>
      </c>
      <c r="H67" t="s">
        <v>863</v>
      </c>
      <c r="I67" s="1">
        <v>41915</v>
      </c>
      <c r="J67" s="1">
        <v>41920</v>
      </c>
      <c r="K67">
        <v>4</v>
      </c>
      <c r="L67" t="s">
        <v>864</v>
      </c>
      <c r="M67">
        <v>1</v>
      </c>
      <c r="N67">
        <v>1</v>
      </c>
      <c r="O67">
        <v>0.2</v>
      </c>
      <c r="P67" t="b">
        <v>0</v>
      </c>
    </row>
    <row r="68" spans="1:16" x14ac:dyDescent="0.2">
      <c r="A68" t="s">
        <v>531</v>
      </c>
      <c r="B68" t="s">
        <v>321</v>
      </c>
      <c r="C68" t="s">
        <v>150</v>
      </c>
      <c r="D68" t="s">
        <v>322</v>
      </c>
      <c r="E68" t="s">
        <v>79</v>
      </c>
      <c r="F68">
        <v>2038</v>
      </c>
      <c r="G68" t="s">
        <v>27</v>
      </c>
      <c r="H68" t="s">
        <v>863</v>
      </c>
      <c r="I68" s="1">
        <v>41915</v>
      </c>
      <c r="J68" s="1">
        <v>41920</v>
      </c>
      <c r="K68">
        <v>4</v>
      </c>
      <c r="L68" t="s">
        <v>865</v>
      </c>
      <c r="M68">
        <v>3</v>
      </c>
      <c r="N68">
        <v>1</v>
      </c>
      <c r="O68">
        <v>0.2</v>
      </c>
      <c r="P68" t="b">
        <v>0</v>
      </c>
    </row>
    <row r="69" spans="1:16" x14ac:dyDescent="0.2">
      <c r="A69" t="s">
        <v>551</v>
      </c>
      <c r="B69" t="s">
        <v>351</v>
      </c>
      <c r="C69" t="s">
        <v>150</v>
      </c>
      <c r="D69" t="s">
        <v>352</v>
      </c>
      <c r="E69" t="s">
        <v>124</v>
      </c>
      <c r="F69">
        <v>60067</v>
      </c>
      <c r="G69" t="s">
        <v>12</v>
      </c>
      <c r="H69" t="s">
        <v>631</v>
      </c>
      <c r="I69" s="1">
        <v>42671</v>
      </c>
      <c r="J69" s="1">
        <v>42672</v>
      </c>
      <c r="K69">
        <v>2</v>
      </c>
      <c r="L69" t="s">
        <v>632</v>
      </c>
      <c r="M69">
        <v>7</v>
      </c>
      <c r="N69">
        <v>0</v>
      </c>
      <c r="O69">
        <v>0</v>
      </c>
      <c r="P69" t="b">
        <v>1</v>
      </c>
    </row>
    <row r="70" spans="1:16" x14ac:dyDescent="0.2">
      <c r="A70" t="s">
        <v>551</v>
      </c>
      <c r="B70" t="s">
        <v>351</v>
      </c>
      <c r="C70" t="s">
        <v>150</v>
      </c>
      <c r="D70" t="s">
        <v>352</v>
      </c>
      <c r="E70" t="s">
        <v>124</v>
      </c>
      <c r="F70">
        <v>60067</v>
      </c>
      <c r="G70" t="s">
        <v>12</v>
      </c>
      <c r="H70" t="s">
        <v>631</v>
      </c>
      <c r="I70" s="1">
        <v>42671</v>
      </c>
      <c r="J70" s="1">
        <v>42672</v>
      </c>
      <c r="K70">
        <v>2</v>
      </c>
      <c r="L70" t="s">
        <v>633</v>
      </c>
      <c r="M70">
        <v>3</v>
      </c>
      <c r="N70">
        <v>1</v>
      </c>
      <c r="O70">
        <v>0.2</v>
      </c>
      <c r="P70" t="b">
        <v>0</v>
      </c>
    </row>
    <row r="71" spans="1:16" x14ac:dyDescent="0.2">
      <c r="A71" t="s">
        <v>551</v>
      </c>
      <c r="B71" t="s">
        <v>351</v>
      </c>
      <c r="C71" t="s">
        <v>150</v>
      </c>
      <c r="D71" t="s">
        <v>352</v>
      </c>
      <c r="E71" t="s">
        <v>124</v>
      </c>
      <c r="F71">
        <v>60067</v>
      </c>
      <c r="G71" t="s">
        <v>12</v>
      </c>
      <c r="H71" t="s">
        <v>676</v>
      </c>
      <c r="I71" s="1">
        <v>42678</v>
      </c>
      <c r="J71" s="1">
        <v>42682</v>
      </c>
      <c r="K71">
        <v>2</v>
      </c>
      <c r="L71" t="s">
        <v>677</v>
      </c>
      <c r="M71">
        <v>3</v>
      </c>
      <c r="N71">
        <v>0</v>
      </c>
      <c r="O71">
        <v>0</v>
      </c>
      <c r="P71" t="b">
        <v>0</v>
      </c>
    </row>
    <row r="72" spans="1:16" x14ac:dyDescent="0.2">
      <c r="A72" t="s">
        <v>457</v>
      </c>
      <c r="B72" t="s">
        <v>213</v>
      </c>
      <c r="C72" t="s">
        <v>9</v>
      </c>
      <c r="D72" t="s">
        <v>121</v>
      </c>
      <c r="E72" t="s">
        <v>22</v>
      </c>
      <c r="F72">
        <v>77036</v>
      </c>
      <c r="G72" t="s">
        <v>12</v>
      </c>
      <c r="H72" t="s">
        <v>634</v>
      </c>
      <c r="I72" s="1">
        <v>42621</v>
      </c>
      <c r="J72" s="1">
        <v>42623</v>
      </c>
      <c r="K72">
        <v>3</v>
      </c>
      <c r="L72" t="s">
        <v>635</v>
      </c>
      <c r="M72">
        <v>3</v>
      </c>
      <c r="N72">
        <v>1</v>
      </c>
      <c r="O72">
        <v>0.2</v>
      </c>
      <c r="P72" t="b">
        <v>0</v>
      </c>
    </row>
    <row r="73" spans="1:16" x14ac:dyDescent="0.2">
      <c r="A73" t="s">
        <v>457</v>
      </c>
      <c r="B73" t="s">
        <v>213</v>
      </c>
      <c r="C73" t="s">
        <v>9</v>
      </c>
      <c r="D73" t="s">
        <v>121</v>
      </c>
      <c r="E73" t="s">
        <v>22</v>
      </c>
      <c r="F73">
        <v>77036</v>
      </c>
      <c r="G73" t="s">
        <v>12</v>
      </c>
      <c r="H73" t="s">
        <v>634</v>
      </c>
      <c r="I73" s="1">
        <v>42621</v>
      </c>
      <c r="J73" s="1">
        <v>42623</v>
      </c>
      <c r="K73">
        <v>3</v>
      </c>
      <c r="L73" t="s">
        <v>636</v>
      </c>
      <c r="M73">
        <v>4</v>
      </c>
      <c r="N73">
        <v>1</v>
      </c>
      <c r="O73">
        <v>0.32</v>
      </c>
      <c r="P73" t="b">
        <v>0</v>
      </c>
    </row>
    <row r="74" spans="1:16" x14ac:dyDescent="0.2">
      <c r="A74" t="s">
        <v>457</v>
      </c>
      <c r="B74" t="s">
        <v>213</v>
      </c>
      <c r="C74" t="s">
        <v>9</v>
      </c>
      <c r="D74" t="s">
        <v>121</v>
      </c>
      <c r="E74" t="s">
        <v>22</v>
      </c>
      <c r="F74">
        <v>77036</v>
      </c>
      <c r="G74" t="s">
        <v>12</v>
      </c>
      <c r="H74" t="s">
        <v>634</v>
      </c>
      <c r="I74" s="1">
        <v>42621</v>
      </c>
      <c r="J74" s="1">
        <v>42623</v>
      </c>
      <c r="K74">
        <v>3</v>
      </c>
      <c r="L74" t="s">
        <v>637</v>
      </c>
      <c r="M74">
        <v>4</v>
      </c>
      <c r="N74">
        <v>1</v>
      </c>
      <c r="O74">
        <v>0.2</v>
      </c>
      <c r="P74" t="b">
        <v>0</v>
      </c>
    </row>
    <row r="75" spans="1:16" x14ac:dyDescent="0.2">
      <c r="A75" t="s">
        <v>457</v>
      </c>
      <c r="B75" t="s">
        <v>213</v>
      </c>
      <c r="C75" t="s">
        <v>9</v>
      </c>
      <c r="D75" t="s">
        <v>121</v>
      </c>
      <c r="E75" t="s">
        <v>22</v>
      </c>
      <c r="F75">
        <v>77036</v>
      </c>
      <c r="G75" t="s">
        <v>12</v>
      </c>
      <c r="H75" t="s">
        <v>634</v>
      </c>
      <c r="I75" s="1">
        <v>42621</v>
      </c>
      <c r="J75" s="1">
        <v>42623</v>
      </c>
      <c r="K75">
        <v>3</v>
      </c>
      <c r="L75" t="s">
        <v>638</v>
      </c>
      <c r="M75">
        <v>2</v>
      </c>
      <c r="N75">
        <v>1</v>
      </c>
      <c r="O75">
        <v>0.2</v>
      </c>
      <c r="P75" t="b">
        <v>1</v>
      </c>
    </row>
    <row r="76" spans="1:16" x14ac:dyDescent="0.2">
      <c r="A76" t="s">
        <v>395</v>
      </c>
      <c r="B76" t="s">
        <v>105</v>
      </c>
      <c r="C76" t="s">
        <v>9</v>
      </c>
      <c r="D76" t="s">
        <v>106</v>
      </c>
      <c r="E76" t="s">
        <v>31</v>
      </c>
      <c r="F76">
        <v>85023</v>
      </c>
      <c r="G76" t="s">
        <v>18</v>
      </c>
      <c r="H76" t="s">
        <v>752</v>
      </c>
      <c r="I76" s="1">
        <v>42638</v>
      </c>
      <c r="J76" s="1">
        <v>42643</v>
      </c>
      <c r="K76">
        <v>4</v>
      </c>
      <c r="L76" t="s">
        <v>753</v>
      </c>
      <c r="M76">
        <v>3</v>
      </c>
      <c r="N76">
        <v>1</v>
      </c>
      <c r="O76">
        <v>0.5</v>
      </c>
      <c r="P76" t="b">
        <v>0</v>
      </c>
    </row>
    <row r="77" spans="1:16" x14ac:dyDescent="0.2">
      <c r="A77" t="s">
        <v>512</v>
      </c>
      <c r="B77" t="s">
        <v>292</v>
      </c>
      <c r="C77" t="s">
        <v>9</v>
      </c>
      <c r="D77" t="s">
        <v>293</v>
      </c>
      <c r="E77" t="s">
        <v>26</v>
      </c>
      <c r="F77">
        <v>14609</v>
      </c>
      <c r="G77" t="s">
        <v>27</v>
      </c>
      <c r="H77" t="s">
        <v>639</v>
      </c>
      <c r="I77" s="1">
        <v>41896</v>
      </c>
      <c r="J77" s="1">
        <v>41901</v>
      </c>
      <c r="K77">
        <v>4</v>
      </c>
      <c r="L77" t="s">
        <v>640</v>
      </c>
      <c r="M77">
        <v>5</v>
      </c>
      <c r="N77">
        <v>0</v>
      </c>
      <c r="O77">
        <v>0</v>
      </c>
      <c r="P77" t="b">
        <v>0</v>
      </c>
    </row>
    <row r="78" spans="1:16" x14ac:dyDescent="0.2">
      <c r="A78" t="s">
        <v>512</v>
      </c>
      <c r="B78" t="s">
        <v>292</v>
      </c>
      <c r="C78" t="s">
        <v>9</v>
      </c>
      <c r="D78" t="s">
        <v>293</v>
      </c>
      <c r="E78" t="s">
        <v>26</v>
      </c>
      <c r="F78">
        <v>14609</v>
      </c>
      <c r="G78" t="s">
        <v>27</v>
      </c>
      <c r="H78" t="s">
        <v>639</v>
      </c>
      <c r="I78" s="1">
        <v>41896</v>
      </c>
      <c r="J78" s="1">
        <v>41901</v>
      </c>
      <c r="K78">
        <v>4</v>
      </c>
      <c r="L78" t="s">
        <v>641</v>
      </c>
      <c r="M78">
        <v>3</v>
      </c>
      <c r="N78">
        <v>0</v>
      </c>
      <c r="O78">
        <v>0</v>
      </c>
      <c r="P78" t="b">
        <v>0</v>
      </c>
    </row>
    <row r="79" spans="1:16" x14ac:dyDescent="0.2">
      <c r="A79" t="s">
        <v>405</v>
      </c>
      <c r="B79" t="s">
        <v>125</v>
      </c>
      <c r="C79" t="s">
        <v>9</v>
      </c>
      <c r="D79" t="s">
        <v>126</v>
      </c>
      <c r="E79" t="s">
        <v>26</v>
      </c>
      <c r="F79">
        <v>11561</v>
      </c>
      <c r="G79" t="s">
        <v>27</v>
      </c>
      <c r="H79" t="s">
        <v>763</v>
      </c>
      <c r="I79" s="1">
        <v>42982</v>
      </c>
      <c r="J79" s="1">
        <v>42986</v>
      </c>
      <c r="K79">
        <v>4</v>
      </c>
      <c r="L79" t="s">
        <v>764</v>
      </c>
      <c r="M79">
        <v>4</v>
      </c>
      <c r="N79">
        <v>0</v>
      </c>
      <c r="O79">
        <v>0</v>
      </c>
      <c r="P79" t="b">
        <v>0</v>
      </c>
    </row>
    <row r="80" spans="1:16" x14ac:dyDescent="0.2">
      <c r="A80" t="s">
        <v>545</v>
      </c>
      <c r="B80" t="s">
        <v>341</v>
      </c>
      <c r="C80" t="s">
        <v>90</v>
      </c>
      <c r="D80" t="s">
        <v>25</v>
      </c>
      <c r="E80" t="s">
        <v>26</v>
      </c>
      <c r="F80">
        <v>10035</v>
      </c>
      <c r="G80" t="s">
        <v>27</v>
      </c>
      <c r="H80" t="s">
        <v>649</v>
      </c>
      <c r="I80" s="1">
        <v>43058</v>
      </c>
      <c r="J80" s="1">
        <v>43061</v>
      </c>
      <c r="K80">
        <v>2</v>
      </c>
      <c r="L80" t="s">
        <v>650</v>
      </c>
      <c r="M80">
        <v>6</v>
      </c>
      <c r="N80">
        <v>1</v>
      </c>
      <c r="O80">
        <v>0.2</v>
      </c>
      <c r="P80" t="b">
        <v>0</v>
      </c>
    </row>
    <row r="81" spans="1:16" x14ac:dyDescent="0.2">
      <c r="A81" t="s">
        <v>545</v>
      </c>
      <c r="B81" t="s">
        <v>341</v>
      </c>
      <c r="C81" t="s">
        <v>90</v>
      </c>
      <c r="D81" t="s">
        <v>25</v>
      </c>
      <c r="E81" t="s">
        <v>26</v>
      </c>
      <c r="F81">
        <v>10035</v>
      </c>
      <c r="G81" t="s">
        <v>27</v>
      </c>
      <c r="H81" t="s">
        <v>649</v>
      </c>
      <c r="I81" s="1">
        <v>43058</v>
      </c>
      <c r="J81" s="1">
        <v>43061</v>
      </c>
      <c r="K81">
        <v>2</v>
      </c>
      <c r="L81" t="s">
        <v>651</v>
      </c>
      <c r="M81">
        <v>2</v>
      </c>
      <c r="N81">
        <v>0</v>
      </c>
      <c r="O81">
        <v>0</v>
      </c>
      <c r="P81" t="b">
        <v>0</v>
      </c>
    </row>
    <row r="82" spans="1:16" x14ac:dyDescent="0.2">
      <c r="A82" t="s">
        <v>545</v>
      </c>
      <c r="B82" t="s">
        <v>341</v>
      </c>
      <c r="C82" t="s">
        <v>90</v>
      </c>
      <c r="D82" t="s">
        <v>25</v>
      </c>
      <c r="E82" t="s">
        <v>26</v>
      </c>
      <c r="F82">
        <v>10035</v>
      </c>
      <c r="G82" t="s">
        <v>27</v>
      </c>
      <c r="H82" t="s">
        <v>795</v>
      </c>
      <c r="I82" s="1">
        <v>42687</v>
      </c>
      <c r="J82" s="1">
        <v>42693</v>
      </c>
      <c r="K82">
        <v>2</v>
      </c>
      <c r="L82" t="s">
        <v>796</v>
      </c>
      <c r="M82">
        <v>1</v>
      </c>
      <c r="N82">
        <v>0</v>
      </c>
      <c r="O82">
        <v>0</v>
      </c>
      <c r="P82" t="b">
        <v>0</v>
      </c>
    </row>
    <row r="83" spans="1:16" x14ac:dyDescent="0.2">
      <c r="A83" t="s">
        <v>406</v>
      </c>
      <c r="B83" t="s">
        <v>127</v>
      </c>
      <c r="C83" t="s">
        <v>9</v>
      </c>
      <c r="D83" t="s">
        <v>128</v>
      </c>
      <c r="E83" t="s">
        <v>22</v>
      </c>
      <c r="F83">
        <v>75007</v>
      </c>
      <c r="G83" t="s">
        <v>12</v>
      </c>
      <c r="H83" t="s">
        <v>772</v>
      </c>
      <c r="I83" s="1">
        <v>43058</v>
      </c>
      <c r="J83" s="1">
        <v>43060</v>
      </c>
      <c r="K83">
        <v>3</v>
      </c>
      <c r="L83" t="s">
        <v>773</v>
      </c>
      <c r="M83">
        <v>4</v>
      </c>
      <c r="N83">
        <v>1</v>
      </c>
      <c r="O83">
        <v>0.2</v>
      </c>
      <c r="P83" t="b">
        <v>0</v>
      </c>
    </row>
    <row r="84" spans="1:16" x14ac:dyDescent="0.2">
      <c r="A84" t="s">
        <v>406</v>
      </c>
      <c r="B84" t="s">
        <v>127</v>
      </c>
      <c r="C84" t="s">
        <v>9</v>
      </c>
      <c r="D84" t="s">
        <v>128</v>
      </c>
      <c r="E84" t="s">
        <v>22</v>
      </c>
      <c r="F84">
        <v>75007</v>
      </c>
      <c r="G84" t="s">
        <v>12</v>
      </c>
      <c r="H84" t="s">
        <v>772</v>
      </c>
      <c r="I84" s="1">
        <v>43058</v>
      </c>
      <c r="J84" s="1">
        <v>43060</v>
      </c>
      <c r="K84">
        <v>3</v>
      </c>
      <c r="L84" t="s">
        <v>774</v>
      </c>
      <c r="M84">
        <v>1</v>
      </c>
      <c r="N84">
        <v>1</v>
      </c>
      <c r="O84">
        <v>0.2</v>
      </c>
      <c r="P84" t="b">
        <v>1</v>
      </c>
    </row>
    <row r="85" spans="1:16" x14ac:dyDescent="0.2">
      <c r="A85" t="s">
        <v>406</v>
      </c>
      <c r="B85" t="s">
        <v>127</v>
      </c>
      <c r="C85" t="s">
        <v>9</v>
      </c>
      <c r="D85" t="s">
        <v>128</v>
      </c>
      <c r="E85" t="s">
        <v>22</v>
      </c>
      <c r="F85">
        <v>75007</v>
      </c>
      <c r="G85" t="s">
        <v>12</v>
      </c>
      <c r="H85" t="s">
        <v>772</v>
      </c>
      <c r="I85" s="1">
        <v>43058</v>
      </c>
      <c r="J85" s="1">
        <v>43060</v>
      </c>
      <c r="K85">
        <v>3</v>
      </c>
      <c r="L85" t="s">
        <v>775</v>
      </c>
      <c r="M85">
        <v>4</v>
      </c>
      <c r="N85">
        <v>1</v>
      </c>
      <c r="O85">
        <v>0.2</v>
      </c>
      <c r="P85" t="b">
        <v>0</v>
      </c>
    </row>
    <row r="86" spans="1:16" x14ac:dyDescent="0.2">
      <c r="A86" t="s">
        <v>406</v>
      </c>
      <c r="B86" t="s">
        <v>127</v>
      </c>
      <c r="C86" t="s">
        <v>9</v>
      </c>
      <c r="D86" t="s">
        <v>128</v>
      </c>
      <c r="E86" t="s">
        <v>22</v>
      </c>
      <c r="F86">
        <v>75007</v>
      </c>
      <c r="G86" t="s">
        <v>12</v>
      </c>
      <c r="H86" t="s">
        <v>772</v>
      </c>
      <c r="I86" s="1">
        <v>43058</v>
      </c>
      <c r="J86" s="1">
        <v>43060</v>
      </c>
      <c r="K86">
        <v>3</v>
      </c>
      <c r="L86" t="s">
        <v>776</v>
      </c>
      <c r="M86">
        <v>2</v>
      </c>
      <c r="N86">
        <v>1</v>
      </c>
      <c r="O86">
        <v>0.6</v>
      </c>
      <c r="P86" t="b">
        <v>0</v>
      </c>
    </row>
    <row r="87" spans="1:16" x14ac:dyDescent="0.2">
      <c r="A87" t="s">
        <v>510</v>
      </c>
      <c r="B87" t="s">
        <v>289</v>
      </c>
      <c r="C87" t="s">
        <v>9</v>
      </c>
      <c r="D87" t="s">
        <v>290</v>
      </c>
      <c r="E87" t="s">
        <v>63</v>
      </c>
      <c r="F87">
        <v>28403</v>
      </c>
      <c r="G87" t="s">
        <v>47</v>
      </c>
      <c r="H87" t="s">
        <v>652</v>
      </c>
      <c r="I87" s="1">
        <v>41701</v>
      </c>
      <c r="J87" s="1">
        <v>41705</v>
      </c>
      <c r="K87">
        <v>3</v>
      </c>
      <c r="L87" t="s">
        <v>653</v>
      </c>
      <c r="M87">
        <v>4</v>
      </c>
      <c r="N87">
        <v>1</v>
      </c>
      <c r="O87">
        <v>0.2</v>
      </c>
      <c r="P87" t="b">
        <v>0</v>
      </c>
    </row>
    <row r="88" spans="1:16" x14ac:dyDescent="0.2">
      <c r="A88" t="s">
        <v>548</v>
      </c>
      <c r="B88" t="s">
        <v>346</v>
      </c>
      <c r="C88" t="s">
        <v>9</v>
      </c>
      <c r="D88" t="s">
        <v>347</v>
      </c>
      <c r="E88" t="s">
        <v>166</v>
      </c>
      <c r="F88">
        <v>33614</v>
      </c>
      <c r="G88" t="s">
        <v>47</v>
      </c>
      <c r="H88" t="s">
        <v>654</v>
      </c>
      <c r="I88" s="1">
        <v>41713</v>
      </c>
      <c r="J88" s="1">
        <v>41717</v>
      </c>
      <c r="K88">
        <v>4</v>
      </c>
      <c r="L88" t="s">
        <v>655</v>
      </c>
      <c r="M88">
        <v>1</v>
      </c>
      <c r="N88">
        <v>1</v>
      </c>
      <c r="O88">
        <v>0.2</v>
      </c>
      <c r="P88" t="b">
        <v>0</v>
      </c>
    </row>
    <row r="89" spans="1:16" x14ac:dyDescent="0.2">
      <c r="A89" t="s">
        <v>548</v>
      </c>
      <c r="B89" t="s">
        <v>346</v>
      </c>
      <c r="C89" t="s">
        <v>9</v>
      </c>
      <c r="D89" t="s">
        <v>347</v>
      </c>
      <c r="E89" t="s">
        <v>166</v>
      </c>
      <c r="F89">
        <v>33614</v>
      </c>
      <c r="G89" t="s">
        <v>47</v>
      </c>
      <c r="H89" t="s">
        <v>654</v>
      </c>
      <c r="I89" s="1">
        <v>41713</v>
      </c>
      <c r="J89" s="1">
        <v>41717</v>
      </c>
      <c r="K89">
        <v>4</v>
      </c>
      <c r="L89" t="s">
        <v>656</v>
      </c>
      <c r="M89">
        <v>3</v>
      </c>
      <c r="N89">
        <v>1</v>
      </c>
      <c r="O89">
        <v>0.2</v>
      </c>
      <c r="P89" t="b">
        <v>0</v>
      </c>
    </row>
    <row r="90" spans="1:16" x14ac:dyDescent="0.2">
      <c r="A90" t="s">
        <v>548</v>
      </c>
      <c r="B90" t="s">
        <v>346</v>
      </c>
      <c r="C90" t="s">
        <v>9</v>
      </c>
      <c r="D90" t="s">
        <v>347</v>
      </c>
      <c r="E90" t="s">
        <v>166</v>
      </c>
      <c r="F90">
        <v>33614</v>
      </c>
      <c r="G90" t="s">
        <v>47</v>
      </c>
      <c r="H90" t="s">
        <v>654</v>
      </c>
      <c r="I90" s="1">
        <v>41713</v>
      </c>
      <c r="J90" s="1">
        <v>41717</v>
      </c>
      <c r="K90">
        <v>4</v>
      </c>
      <c r="L90" t="s">
        <v>657</v>
      </c>
      <c r="M90">
        <v>3</v>
      </c>
      <c r="N90">
        <v>1</v>
      </c>
      <c r="O90">
        <v>0.7</v>
      </c>
      <c r="P90" t="b">
        <v>0</v>
      </c>
    </row>
    <row r="91" spans="1:16" x14ac:dyDescent="0.2">
      <c r="A91" t="s">
        <v>548</v>
      </c>
      <c r="B91" t="s">
        <v>346</v>
      </c>
      <c r="C91" t="s">
        <v>9</v>
      </c>
      <c r="D91" t="s">
        <v>347</v>
      </c>
      <c r="E91" t="s">
        <v>166</v>
      </c>
      <c r="F91">
        <v>33614</v>
      </c>
      <c r="G91" t="s">
        <v>47</v>
      </c>
      <c r="H91" t="s">
        <v>654</v>
      </c>
      <c r="I91" s="1">
        <v>41713</v>
      </c>
      <c r="J91" s="1">
        <v>41717</v>
      </c>
      <c r="K91">
        <v>4</v>
      </c>
      <c r="L91" t="s">
        <v>658</v>
      </c>
      <c r="M91">
        <v>4</v>
      </c>
      <c r="N91">
        <v>1</v>
      </c>
      <c r="O91">
        <v>0.7</v>
      </c>
      <c r="P91" t="b">
        <v>0</v>
      </c>
    </row>
    <row r="92" spans="1:16" x14ac:dyDescent="0.2">
      <c r="A92" t="s">
        <v>548</v>
      </c>
      <c r="B92" t="s">
        <v>346</v>
      </c>
      <c r="C92" t="s">
        <v>9</v>
      </c>
      <c r="D92" t="s">
        <v>347</v>
      </c>
      <c r="E92" t="s">
        <v>166</v>
      </c>
      <c r="F92">
        <v>33614</v>
      </c>
      <c r="G92" t="s">
        <v>47</v>
      </c>
      <c r="H92" t="s">
        <v>654</v>
      </c>
      <c r="I92" s="1">
        <v>41713</v>
      </c>
      <c r="J92" s="1">
        <v>41717</v>
      </c>
      <c r="K92">
        <v>4</v>
      </c>
      <c r="L92" t="s">
        <v>659</v>
      </c>
      <c r="M92">
        <v>3</v>
      </c>
      <c r="N92">
        <v>1</v>
      </c>
      <c r="O92">
        <v>0.2</v>
      </c>
      <c r="P92" t="b">
        <v>0</v>
      </c>
    </row>
    <row r="93" spans="1:16" x14ac:dyDescent="0.2">
      <c r="A93" t="s">
        <v>574</v>
      </c>
      <c r="B93" t="s">
        <v>573</v>
      </c>
      <c r="C93" t="s">
        <v>9</v>
      </c>
      <c r="D93" t="s">
        <v>38</v>
      </c>
      <c r="E93" t="s">
        <v>17</v>
      </c>
      <c r="F93">
        <v>90036</v>
      </c>
      <c r="G93" t="s">
        <v>18</v>
      </c>
      <c r="H93" t="s">
        <v>673</v>
      </c>
      <c r="I93" s="1">
        <v>42091</v>
      </c>
      <c r="J93" s="1">
        <v>42096</v>
      </c>
      <c r="K93">
        <v>4</v>
      </c>
      <c r="L93" t="s">
        <v>674</v>
      </c>
      <c r="M93">
        <v>1</v>
      </c>
      <c r="N93">
        <v>0</v>
      </c>
      <c r="O93">
        <v>0</v>
      </c>
      <c r="P93" t="b">
        <v>0</v>
      </c>
    </row>
    <row r="94" spans="1:16" x14ac:dyDescent="0.2">
      <c r="A94" t="s">
        <v>574</v>
      </c>
      <c r="B94" t="s">
        <v>573</v>
      </c>
      <c r="C94" t="s">
        <v>9</v>
      </c>
      <c r="D94" t="s">
        <v>38</v>
      </c>
      <c r="E94" t="s">
        <v>17</v>
      </c>
      <c r="F94">
        <v>90036</v>
      </c>
      <c r="G94" t="s">
        <v>18</v>
      </c>
      <c r="H94" t="s">
        <v>673</v>
      </c>
      <c r="I94" s="1">
        <v>42091</v>
      </c>
      <c r="J94" s="1">
        <v>42096</v>
      </c>
      <c r="K94">
        <v>4</v>
      </c>
      <c r="L94" t="s">
        <v>675</v>
      </c>
      <c r="M94">
        <v>5</v>
      </c>
      <c r="N94">
        <v>0</v>
      </c>
      <c r="O94">
        <v>0</v>
      </c>
      <c r="P94" t="b">
        <v>0</v>
      </c>
    </row>
    <row r="95" spans="1:16" x14ac:dyDescent="0.2">
      <c r="A95" t="s">
        <v>574</v>
      </c>
      <c r="B95" t="s">
        <v>573</v>
      </c>
      <c r="C95" t="s">
        <v>9</v>
      </c>
      <c r="D95" t="s">
        <v>38</v>
      </c>
      <c r="E95" t="s">
        <v>17</v>
      </c>
      <c r="F95">
        <v>90036</v>
      </c>
      <c r="G95" t="s">
        <v>18</v>
      </c>
      <c r="H95" t="s">
        <v>701</v>
      </c>
      <c r="I95" s="1">
        <v>42839</v>
      </c>
      <c r="J95" s="1">
        <v>42842</v>
      </c>
      <c r="K95">
        <v>2</v>
      </c>
      <c r="L95" t="s">
        <v>653</v>
      </c>
      <c r="M95">
        <v>3</v>
      </c>
      <c r="N95">
        <v>1</v>
      </c>
      <c r="O95">
        <v>0.2</v>
      </c>
      <c r="P95" t="b">
        <v>0</v>
      </c>
    </row>
    <row r="96" spans="1:16" x14ac:dyDescent="0.2">
      <c r="A96" t="s">
        <v>574</v>
      </c>
      <c r="B96" t="s">
        <v>573</v>
      </c>
      <c r="C96" t="s">
        <v>9</v>
      </c>
      <c r="D96" t="s">
        <v>38</v>
      </c>
      <c r="E96" t="s">
        <v>17</v>
      </c>
      <c r="F96">
        <v>90036</v>
      </c>
      <c r="G96" t="s">
        <v>18</v>
      </c>
      <c r="H96" t="s">
        <v>701</v>
      </c>
      <c r="I96" s="1">
        <v>42839</v>
      </c>
      <c r="J96" s="1">
        <v>42842</v>
      </c>
      <c r="K96">
        <v>2</v>
      </c>
      <c r="L96" t="s">
        <v>702</v>
      </c>
      <c r="M96">
        <v>3</v>
      </c>
      <c r="N96">
        <v>1</v>
      </c>
      <c r="O96">
        <v>0.2</v>
      </c>
      <c r="P96" t="b">
        <v>0</v>
      </c>
    </row>
    <row r="97" spans="1:16" x14ac:dyDescent="0.2">
      <c r="A97" t="s">
        <v>574</v>
      </c>
      <c r="B97" t="s">
        <v>573</v>
      </c>
      <c r="C97" t="s">
        <v>9</v>
      </c>
      <c r="D97" t="s">
        <v>38</v>
      </c>
      <c r="E97" t="s">
        <v>17</v>
      </c>
      <c r="F97">
        <v>90036</v>
      </c>
      <c r="G97" t="s">
        <v>18</v>
      </c>
      <c r="H97" t="s">
        <v>701</v>
      </c>
      <c r="I97" s="1">
        <v>42839</v>
      </c>
      <c r="J97" s="1">
        <v>42842</v>
      </c>
      <c r="K97">
        <v>2</v>
      </c>
      <c r="L97" t="s">
        <v>703</v>
      </c>
      <c r="M97">
        <v>3</v>
      </c>
      <c r="N97">
        <v>1</v>
      </c>
      <c r="O97">
        <v>0.2</v>
      </c>
      <c r="P97" t="b">
        <v>0</v>
      </c>
    </row>
    <row r="98" spans="1:16" x14ac:dyDescent="0.2">
      <c r="A98" t="s">
        <v>410</v>
      </c>
      <c r="B98" t="s">
        <v>135</v>
      </c>
      <c r="C98" t="s">
        <v>90</v>
      </c>
      <c r="D98" t="s">
        <v>136</v>
      </c>
      <c r="E98" t="s">
        <v>137</v>
      </c>
      <c r="F98">
        <v>44052</v>
      </c>
      <c r="G98" t="s">
        <v>27</v>
      </c>
      <c r="H98" t="s">
        <v>739</v>
      </c>
      <c r="I98" s="1">
        <v>42888</v>
      </c>
      <c r="J98" s="1">
        <v>42892</v>
      </c>
      <c r="K98">
        <v>4</v>
      </c>
      <c r="L98" t="s">
        <v>740</v>
      </c>
      <c r="M98">
        <v>1</v>
      </c>
      <c r="N98">
        <v>1</v>
      </c>
      <c r="O98">
        <v>0.4</v>
      </c>
      <c r="P98" t="b">
        <v>0</v>
      </c>
    </row>
    <row r="99" spans="1:16" x14ac:dyDescent="0.2">
      <c r="A99" t="s">
        <v>410</v>
      </c>
      <c r="B99" t="s">
        <v>135</v>
      </c>
      <c r="C99" t="s">
        <v>90</v>
      </c>
      <c r="D99" t="s">
        <v>136</v>
      </c>
      <c r="E99" t="s">
        <v>137</v>
      </c>
      <c r="F99">
        <v>44052</v>
      </c>
      <c r="G99" t="s">
        <v>27</v>
      </c>
      <c r="H99" t="s">
        <v>739</v>
      </c>
      <c r="I99" s="1">
        <v>42888</v>
      </c>
      <c r="J99" s="1">
        <v>42892</v>
      </c>
      <c r="K99">
        <v>4</v>
      </c>
      <c r="L99" t="s">
        <v>644</v>
      </c>
      <c r="M99">
        <v>2</v>
      </c>
      <c r="N99">
        <v>1</v>
      </c>
      <c r="O99">
        <v>0.2</v>
      </c>
      <c r="P99" t="b">
        <v>0</v>
      </c>
    </row>
    <row r="100" spans="1:16" x14ac:dyDescent="0.2">
      <c r="A100" t="s">
        <v>411</v>
      </c>
      <c r="B100" t="s">
        <v>138</v>
      </c>
      <c r="C100" t="s">
        <v>90</v>
      </c>
      <c r="D100" t="s">
        <v>139</v>
      </c>
      <c r="E100" t="s">
        <v>22</v>
      </c>
      <c r="F100">
        <v>75023</v>
      </c>
      <c r="G100" t="s">
        <v>12</v>
      </c>
      <c r="H100" t="s">
        <v>782</v>
      </c>
      <c r="I100" s="1">
        <v>42547</v>
      </c>
      <c r="J100" s="1">
        <v>42550</v>
      </c>
      <c r="K100">
        <v>3</v>
      </c>
      <c r="L100" t="s">
        <v>783</v>
      </c>
      <c r="M100">
        <v>2</v>
      </c>
      <c r="N100">
        <v>1</v>
      </c>
      <c r="O100">
        <v>0.2</v>
      </c>
      <c r="P100" t="b">
        <v>0</v>
      </c>
    </row>
    <row r="101" spans="1:16" x14ac:dyDescent="0.2">
      <c r="A101" t="s">
        <v>532</v>
      </c>
      <c r="B101" t="s">
        <v>323</v>
      </c>
      <c r="C101" t="s">
        <v>9</v>
      </c>
      <c r="D101" t="s">
        <v>97</v>
      </c>
      <c r="E101" t="s">
        <v>67</v>
      </c>
      <c r="F101">
        <v>19134</v>
      </c>
      <c r="G101" t="s">
        <v>27</v>
      </c>
      <c r="H101" t="s">
        <v>660</v>
      </c>
      <c r="I101" s="1">
        <v>41782</v>
      </c>
      <c r="J101" s="1">
        <v>41786</v>
      </c>
      <c r="K101">
        <v>4</v>
      </c>
      <c r="L101" t="s">
        <v>661</v>
      </c>
      <c r="M101">
        <v>2</v>
      </c>
      <c r="N101">
        <v>1</v>
      </c>
      <c r="O101">
        <v>0.7</v>
      </c>
      <c r="P101" t="b">
        <v>0</v>
      </c>
    </row>
    <row r="102" spans="1:16" x14ac:dyDescent="0.2">
      <c r="A102" t="s">
        <v>532</v>
      </c>
      <c r="B102" t="s">
        <v>323</v>
      </c>
      <c r="C102" t="s">
        <v>9</v>
      </c>
      <c r="D102" t="s">
        <v>97</v>
      </c>
      <c r="E102" t="s">
        <v>67</v>
      </c>
      <c r="F102">
        <v>19134</v>
      </c>
      <c r="G102" t="s">
        <v>27</v>
      </c>
      <c r="H102" t="s">
        <v>660</v>
      </c>
      <c r="I102" s="1">
        <v>41782</v>
      </c>
      <c r="J102" s="1">
        <v>41786</v>
      </c>
      <c r="K102">
        <v>4</v>
      </c>
      <c r="L102" t="s">
        <v>662</v>
      </c>
      <c r="M102">
        <v>9</v>
      </c>
      <c r="N102">
        <v>1</v>
      </c>
      <c r="O102">
        <v>0.2</v>
      </c>
      <c r="P102" t="b">
        <v>0</v>
      </c>
    </row>
    <row r="103" spans="1:16" x14ac:dyDescent="0.2">
      <c r="A103" t="s">
        <v>532</v>
      </c>
      <c r="B103" t="s">
        <v>323</v>
      </c>
      <c r="C103" t="s">
        <v>9</v>
      </c>
      <c r="D103" t="s">
        <v>97</v>
      </c>
      <c r="E103" t="s">
        <v>67</v>
      </c>
      <c r="F103">
        <v>19134</v>
      </c>
      <c r="G103" t="s">
        <v>27</v>
      </c>
      <c r="H103" t="s">
        <v>660</v>
      </c>
      <c r="I103" s="1">
        <v>41782</v>
      </c>
      <c r="J103" s="1">
        <v>41786</v>
      </c>
      <c r="K103">
        <v>4</v>
      </c>
      <c r="L103" t="s">
        <v>663</v>
      </c>
      <c r="M103">
        <v>2</v>
      </c>
      <c r="N103">
        <v>1</v>
      </c>
      <c r="O103">
        <v>0.4</v>
      </c>
      <c r="P103" t="b">
        <v>0</v>
      </c>
    </row>
    <row r="104" spans="1:16" x14ac:dyDescent="0.2">
      <c r="A104" t="s">
        <v>532</v>
      </c>
      <c r="B104" t="s">
        <v>323</v>
      </c>
      <c r="C104" t="s">
        <v>9</v>
      </c>
      <c r="D104" t="s">
        <v>97</v>
      </c>
      <c r="E104" t="s">
        <v>67</v>
      </c>
      <c r="F104">
        <v>19134</v>
      </c>
      <c r="G104" t="s">
        <v>27</v>
      </c>
      <c r="H104" t="s">
        <v>680</v>
      </c>
      <c r="I104" s="1">
        <v>42247</v>
      </c>
      <c r="J104" s="1">
        <v>42252</v>
      </c>
      <c r="K104">
        <v>4</v>
      </c>
      <c r="L104" t="s">
        <v>681</v>
      </c>
      <c r="M104">
        <v>9</v>
      </c>
      <c r="N104">
        <v>0</v>
      </c>
      <c r="O104">
        <v>0</v>
      </c>
      <c r="P104" t="b">
        <v>0</v>
      </c>
    </row>
    <row r="105" spans="1:16" x14ac:dyDescent="0.2">
      <c r="A105" t="s">
        <v>557</v>
      </c>
      <c r="B105" t="s">
        <v>361</v>
      </c>
      <c r="C105" t="s">
        <v>9</v>
      </c>
      <c r="D105" t="s">
        <v>362</v>
      </c>
      <c r="E105" t="s">
        <v>53</v>
      </c>
      <c r="F105">
        <v>37211</v>
      </c>
      <c r="G105" t="s">
        <v>47</v>
      </c>
      <c r="H105" t="s">
        <v>664</v>
      </c>
      <c r="I105" s="1">
        <v>42874</v>
      </c>
      <c r="J105" s="1">
        <v>42878</v>
      </c>
      <c r="K105">
        <v>4</v>
      </c>
      <c r="L105" t="s">
        <v>665</v>
      </c>
      <c r="M105">
        <v>2</v>
      </c>
      <c r="N105">
        <v>0</v>
      </c>
      <c r="O105">
        <v>0</v>
      </c>
      <c r="P105" t="b">
        <v>0</v>
      </c>
    </row>
    <row r="106" spans="1:16" x14ac:dyDescent="0.2">
      <c r="A106" t="s">
        <v>557</v>
      </c>
      <c r="B106" t="s">
        <v>361</v>
      </c>
      <c r="C106" t="s">
        <v>9</v>
      </c>
      <c r="D106" t="s">
        <v>362</v>
      </c>
      <c r="E106" t="s">
        <v>53</v>
      </c>
      <c r="F106">
        <v>37211</v>
      </c>
      <c r="G106" t="s">
        <v>47</v>
      </c>
      <c r="H106" t="s">
        <v>708</v>
      </c>
      <c r="I106" s="1">
        <v>42948</v>
      </c>
      <c r="J106" s="1">
        <v>42950</v>
      </c>
      <c r="K106">
        <v>4</v>
      </c>
      <c r="L106" t="s">
        <v>709</v>
      </c>
      <c r="M106">
        <v>2</v>
      </c>
      <c r="N106">
        <v>1</v>
      </c>
      <c r="O106">
        <v>0.2</v>
      </c>
      <c r="P106" t="b">
        <v>0</v>
      </c>
    </row>
    <row r="107" spans="1:16" x14ac:dyDescent="0.2">
      <c r="A107" t="s">
        <v>535</v>
      </c>
      <c r="B107" t="s">
        <v>326</v>
      </c>
      <c r="C107" t="s">
        <v>150</v>
      </c>
      <c r="D107" t="s">
        <v>327</v>
      </c>
      <c r="E107" t="s">
        <v>86</v>
      </c>
      <c r="F107">
        <v>98661</v>
      </c>
      <c r="G107" t="s">
        <v>18</v>
      </c>
      <c r="H107" t="s">
        <v>666</v>
      </c>
      <c r="I107" s="1">
        <v>42715</v>
      </c>
      <c r="J107" s="1">
        <v>42720</v>
      </c>
      <c r="K107">
        <v>3</v>
      </c>
      <c r="L107" t="s">
        <v>667</v>
      </c>
      <c r="M107">
        <v>4</v>
      </c>
      <c r="N107">
        <v>0</v>
      </c>
      <c r="O107">
        <v>0</v>
      </c>
      <c r="P107" t="b">
        <v>0</v>
      </c>
    </row>
    <row r="108" spans="1:16" x14ac:dyDescent="0.2">
      <c r="A108" t="s">
        <v>535</v>
      </c>
      <c r="B108" t="s">
        <v>326</v>
      </c>
      <c r="C108" t="s">
        <v>150</v>
      </c>
      <c r="D108" t="s">
        <v>327</v>
      </c>
      <c r="E108" t="s">
        <v>86</v>
      </c>
      <c r="F108">
        <v>98661</v>
      </c>
      <c r="G108" t="s">
        <v>18</v>
      </c>
      <c r="H108" t="s">
        <v>666</v>
      </c>
      <c r="I108" s="1">
        <v>42715</v>
      </c>
      <c r="J108" s="1">
        <v>42720</v>
      </c>
      <c r="K108">
        <v>3</v>
      </c>
      <c r="L108" t="s">
        <v>668</v>
      </c>
      <c r="M108">
        <v>3</v>
      </c>
      <c r="N108">
        <v>1</v>
      </c>
      <c r="O108">
        <v>0.2</v>
      </c>
      <c r="P108" t="b">
        <v>0</v>
      </c>
    </row>
    <row r="109" spans="1:16" x14ac:dyDescent="0.2">
      <c r="A109" t="s">
        <v>535</v>
      </c>
      <c r="B109" t="s">
        <v>326</v>
      </c>
      <c r="C109" t="s">
        <v>150</v>
      </c>
      <c r="D109" t="s">
        <v>327</v>
      </c>
      <c r="E109" t="s">
        <v>86</v>
      </c>
      <c r="F109">
        <v>98661</v>
      </c>
      <c r="G109" t="s">
        <v>18</v>
      </c>
      <c r="H109" t="s">
        <v>666</v>
      </c>
      <c r="I109" s="1">
        <v>42715</v>
      </c>
      <c r="J109" s="1">
        <v>42720</v>
      </c>
      <c r="K109">
        <v>3</v>
      </c>
      <c r="L109" t="s">
        <v>669</v>
      </c>
      <c r="M109">
        <v>4</v>
      </c>
      <c r="N109">
        <v>0</v>
      </c>
      <c r="O109">
        <v>0</v>
      </c>
      <c r="P109" t="b">
        <v>0</v>
      </c>
    </row>
    <row r="110" spans="1:16" x14ac:dyDescent="0.2">
      <c r="A110" t="s">
        <v>417</v>
      </c>
      <c r="B110" t="s">
        <v>149</v>
      </c>
      <c r="C110" t="s">
        <v>150</v>
      </c>
      <c r="D110" t="s">
        <v>151</v>
      </c>
      <c r="E110" t="s">
        <v>31</v>
      </c>
      <c r="F110">
        <v>85705</v>
      </c>
      <c r="G110" t="s">
        <v>18</v>
      </c>
      <c r="H110" t="s">
        <v>746</v>
      </c>
      <c r="I110" s="1">
        <v>43049</v>
      </c>
      <c r="J110" s="1">
        <v>43050</v>
      </c>
      <c r="K110">
        <v>2</v>
      </c>
      <c r="L110" t="s">
        <v>747</v>
      </c>
      <c r="M110">
        <v>14</v>
      </c>
      <c r="N110">
        <v>1</v>
      </c>
      <c r="O110">
        <v>0.7</v>
      </c>
      <c r="P110" t="b">
        <v>0</v>
      </c>
    </row>
    <row r="111" spans="1:16" x14ac:dyDescent="0.2">
      <c r="A111" t="s">
        <v>417</v>
      </c>
      <c r="B111" t="s">
        <v>149</v>
      </c>
      <c r="C111" t="s">
        <v>150</v>
      </c>
      <c r="D111" t="s">
        <v>151</v>
      </c>
      <c r="E111" t="s">
        <v>31</v>
      </c>
      <c r="F111">
        <v>85705</v>
      </c>
      <c r="G111" t="s">
        <v>18</v>
      </c>
      <c r="H111" t="s">
        <v>746</v>
      </c>
      <c r="I111" s="1">
        <v>43049</v>
      </c>
      <c r="J111" s="1">
        <v>43050</v>
      </c>
      <c r="K111">
        <v>2</v>
      </c>
      <c r="L111" t="s">
        <v>748</v>
      </c>
      <c r="M111">
        <v>2</v>
      </c>
      <c r="N111">
        <v>1</v>
      </c>
      <c r="O111">
        <v>0.7</v>
      </c>
      <c r="P111" t="b">
        <v>1</v>
      </c>
    </row>
    <row r="112" spans="1:16" x14ac:dyDescent="0.2">
      <c r="A112" t="s">
        <v>417</v>
      </c>
      <c r="B112" t="s">
        <v>149</v>
      </c>
      <c r="C112" t="s">
        <v>150</v>
      </c>
      <c r="D112" t="s">
        <v>151</v>
      </c>
      <c r="E112" t="s">
        <v>31</v>
      </c>
      <c r="F112">
        <v>85705</v>
      </c>
      <c r="G112" t="s">
        <v>18</v>
      </c>
      <c r="H112" t="s">
        <v>746</v>
      </c>
      <c r="I112" s="1">
        <v>43049</v>
      </c>
      <c r="J112" s="1">
        <v>43050</v>
      </c>
      <c r="K112">
        <v>2</v>
      </c>
      <c r="L112" t="s">
        <v>749</v>
      </c>
      <c r="M112">
        <v>6</v>
      </c>
      <c r="N112">
        <v>1</v>
      </c>
      <c r="O112">
        <v>0.2</v>
      </c>
      <c r="P112" t="b">
        <v>0</v>
      </c>
    </row>
    <row r="113" spans="1:16" x14ac:dyDescent="0.2">
      <c r="A113" t="s">
        <v>417</v>
      </c>
      <c r="B113" t="s">
        <v>149</v>
      </c>
      <c r="C113" t="s">
        <v>150</v>
      </c>
      <c r="D113" t="s">
        <v>151</v>
      </c>
      <c r="E113" t="s">
        <v>31</v>
      </c>
      <c r="F113">
        <v>85705</v>
      </c>
      <c r="G113" t="s">
        <v>18</v>
      </c>
      <c r="H113" t="s">
        <v>746</v>
      </c>
      <c r="I113" s="1">
        <v>43049</v>
      </c>
      <c r="J113" s="1">
        <v>43050</v>
      </c>
      <c r="K113">
        <v>2</v>
      </c>
      <c r="L113" t="s">
        <v>750</v>
      </c>
      <c r="M113">
        <v>2</v>
      </c>
      <c r="N113">
        <v>1</v>
      </c>
      <c r="O113">
        <v>0.2</v>
      </c>
      <c r="P113" t="b">
        <v>0</v>
      </c>
    </row>
    <row r="114" spans="1:16" x14ac:dyDescent="0.2">
      <c r="A114" t="s">
        <v>417</v>
      </c>
      <c r="B114" t="s">
        <v>149</v>
      </c>
      <c r="C114" t="s">
        <v>150</v>
      </c>
      <c r="D114" t="s">
        <v>151</v>
      </c>
      <c r="E114" t="s">
        <v>31</v>
      </c>
      <c r="F114">
        <v>85705</v>
      </c>
      <c r="G114" t="s">
        <v>18</v>
      </c>
      <c r="H114" t="s">
        <v>746</v>
      </c>
      <c r="I114" s="1">
        <v>43049</v>
      </c>
      <c r="J114" s="1">
        <v>43050</v>
      </c>
      <c r="K114">
        <v>2</v>
      </c>
      <c r="L114" t="s">
        <v>751</v>
      </c>
      <c r="M114">
        <v>4</v>
      </c>
      <c r="N114">
        <v>1</v>
      </c>
      <c r="O114">
        <v>0.2</v>
      </c>
      <c r="P114" t="b">
        <v>0</v>
      </c>
    </row>
    <row r="115" spans="1:16" x14ac:dyDescent="0.2">
      <c r="A115" t="s">
        <v>423</v>
      </c>
      <c r="B115" t="s">
        <v>159</v>
      </c>
      <c r="C115" t="s">
        <v>150</v>
      </c>
      <c r="D115" t="s">
        <v>121</v>
      </c>
      <c r="E115" t="s">
        <v>22</v>
      </c>
      <c r="F115">
        <v>77041</v>
      </c>
      <c r="G115" t="s">
        <v>12</v>
      </c>
      <c r="H115" t="s">
        <v>807</v>
      </c>
      <c r="I115" s="1">
        <v>43011</v>
      </c>
      <c r="J115" s="1">
        <v>43014</v>
      </c>
      <c r="K115">
        <v>2</v>
      </c>
      <c r="L115" t="s">
        <v>808</v>
      </c>
      <c r="M115">
        <v>2</v>
      </c>
      <c r="N115">
        <v>0</v>
      </c>
      <c r="O115">
        <v>0</v>
      </c>
      <c r="P115" t="b">
        <v>0</v>
      </c>
    </row>
    <row r="116" spans="1:16" x14ac:dyDescent="0.2">
      <c r="A116" t="s">
        <v>524</v>
      </c>
      <c r="B116" t="s">
        <v>311</v>
      </c>
      <c r="C116" t="s">
        <v>9</v>
      </c>
      <c r="D116" t="s">
        <v>38</v>
      </c>
      <c r="E116" t="s">
        <v>17</v>
      </c>
      <c r="F116">
        <v>90045</v>
      </c>
      <c r="G116" t="s">
        <v>18</v>
      </c>
      <c r="H116" t="s">
        <v>678</v>
      </c>
      <c r="I116" s="1">
        <v>42981</v>
      </c>
      <c r="J116" s="1">
        <v>42985</v>
      </c>
      <c r="K116">
        <v>4</v>
      </c>
      <c r="L116" t="s">
        <v>679</v>
      </c>
      <c r="M116">
        <v>4</v>
      </c>
      <c r="N116">
        <v>1</v>
      </c>
      <c r="O116">
        <v>0.2</v>
      </c>
      <c r="P116" t="b">
        <v>0</v>
      </c>
    </row>
    <row r="117" spans="1:16" x14ac:dyDescent="0.2">
      <c r="A117" t="s">
        <v>524</v>
      </c>
      <c r="B117" t="s">
        <v>311</v>
      </c>
      <c r="C117" t="s">
        <v>9</v>
      </c>
      <c r="D117" t="s">
        <v>38</v>
      </c>
      <c r="E117" t="s">
        <v>17</v>
      </c>
      <c r="F117">
        <v>90045</v>
      </c>
      <c r="G117" t="s">
        <v>18</v>
      </c>
      <c r="H117" t="s">
        <v>714</v>
      </c>
      <c r="I117" s="1">
        <v>41911</v>
      </c>
      <c r="J117" s="1">
        <v>41915</v>
      </c>
      <c r="K117">
        <v>4</v>
      </c>
      <c r="L117" t="s">
        <v>715</v>
      </c>
      <c r="M117">
        <v>2</v>
      </c>
      <c r="N117">
        <v>0</v>
      </c>
      <c r="O117">
        <v>0</v>
      </c>
      <c r="P117" t="b">
        <v>0</v>
      </c>
    </row>
    <row r="118" spans="1:16" x14ac:dyDescent="0.2">
      <c r="A118" t="s">
        <v>524</v>
      </c>
      <c r="B118" t="s">
        <v>311</v>
      </c>
      <c r="C118" t="s">
        <v>9</v>
      </c>
      <c r="D118" t="s">
        <v>38</v>
      </c>
      <c r="E118" t="s">
        <v>17</v>
      </c>
      <c r="F118">
        <v>90045</v>
      </c>
      <c r="G118" t="s">
        <v>18</v>
      </c>
      <c r="H118" t="s">
        <v>714</v>
      </c>
      <c r="I118" s="1">
        <v>41911</v>
      </c>
      <c r="J118" s="1">
        <v>41915</v>
      </c>
      <c r="K118">
        <v>4</v>
      </c>
      <c r="L118" t="s">
        <v>716</v>
      </c>
      <c r="M118">
        <v>4</v>
      </c>
      <c r="N118">
        <v>0</v>
      </c>
      <c r="O118">
        <v>0</v>
      </c>
      <c r="P118" t="b">
        <v>0</v>
      </c>
    </row>
    <row r="119" spans="1:16" x14ac:dyDescent="0.2">
      <c r="A119" t="s">
        <v>524</v>
      </c>
      <c r="B119" t="s">
        <v>311</v>
      </c>
      <c r="C119" t="s">
        <v>9</v>
      </c>
      <c r="D119" t="s">
        <v>38</v>
      </c>
      <c r="E119" t="s">
        <v>17</v>
      </c>
      <c r="F119">
        <v>90045</v>
      </c>
      <c r="G119" t="s">
        <v>18</v>
      </c>
      <c r="H119" t="s">
        <v>714</v>
      </c>
      <c r="I119" s="1">
        <v>41911</v>
      </c>
      <c r="J119" s="1">
        <v>41915</v>
      </c>
      <c r="K119">
        <v>4</v>
      </c>
      <c r="L119" t="s">
        <v>717</v>
      </c>
      <c r="M119">
        <v>1</v>
      </c>
      <c r="N119">
        <v>0</v>
      </c>
      <c r="O119">
        <v>0</v>
      </c>
      <c r="P119" t="b">
        <v>0</v>
      </c>
    </row>
    <row r="120" spans="1:16" x14ac:dyDescent="0.2">
      <c r="A120" t="s">
        <v>524</v>
      </c>
      <c r="B120" t="s">
        <v>311</v>
      </c>
      <c r="C120" t="s">
        <v>9</v>
      </c>
      <c r="D120" t="s">
        <v>38</v>
      </c>
      <c r="E120" t="s">
        <v>17</v>
      </c>
      <c r="F120">
        <v>90045</v>
      </c>
      <c r="G120" t="s">
        <v>18</v>
      </c>
      <c r="H120" t="s">
        <v>714</v>
      </c>
      <c r="I120" s="1">
        <v>41911</v>
      </c>
      <c r="J120" s="1">
        <v>41915</v>
      </c>
      <c r="K120">
        <v>4</v>
      </c>
      <c r="L120" t="s">
        <v>718</v>
      </c>
      <c r="M120">
        <v>2</v>
      </c>
      <c r="N120">
        <v>1</v>
      </c>
      <c r="O120">
        <v>0.2</v>
      </c>
      <c r="P120" t="b">
        <v>0</v>
      </c>
    </row>
    <row r="121" spans="1:16" x14ac:dyDescent="0.2">
      <c r="A121" t="s">
        <v>524</v>
      </c>
      <c r="B121" t="s">
        <v>311</v>
      </c>
      <c r="C121" t="s">
        <v>9</v>
      </c>
      <c r="D121" t="s">
        <v>38</v>
      </c>
      <c r="E121" t="s">
        <v>17</v>
      </c>
      <c r="F121">
        <v>90045</v>
      </c>
      <c r="G121" t="s">
        <v>18</v>
      </c>
      <c r="H121" t="s">
        <v>714</v>
      </c>
      <c r="I121" s="1">
        <v>41911</v>
      </c>
      <c r="J121" s="1">
        <v>41915</v>
      </c>
      <c r="K121">
        <v>4</v>
      </c>
      <c r="L121" t="s">
        <v>719</v>
      </c>
      <c r="M121">
        <v>1</v>
      </c>
      <c r="N121">
        <v>0</v>
      </c>
      <c r="O121">
        <v>0</v>
      </c>
      <c r="P121" t="b">
        <v>0</v>
      </c>
    </row>
    <row r="122" spans="1:16" x14ac:dyDescent="0.2">
      <c r="A122" t="s">
        <v>506</v>
      </c>
      <c r="B122" t="s">
        <v>284</v>
      </c>
      <c r="C122" t="s">
        <v>150</v>
      </c>
      <c r="D122" t="s">
        <v>212</v>
      </c>
      <c r="E122" t="s">
        <v>166</v>
      </c>
      <c r="F122">
        <v>33710</v>
      </c>
      <c r="G122" t="s">
        <v>47</v>
      </c>
      <c r="H122" t="s">
        <v>682</v>
      </c>
      <c r="I122" s="1">
        <v>41773</v>
      </c>
      <c r="J122" s="1">
        <v>41779</v>
      </c>
      <c r="K122">
        <v>3</v>
      </c>
      <c r="L122" t="s">
        <v>683</v>
      </c>
      <c r="M122">
        <v>2</v>
      </c>
      <c r="N122">
        <v>1</v>
      </c>
      <c r="O122">
        <v>0.2</v>
      </c>
      <c r="P122" t="b">
        <v>0</v>
      </c>
    </row>
    <row r="123" spans="1:16" x14ac:dyDescent="0.2">
      <c r="A123" t="s">
        <v>506</v>
      </c>
      <c r="B123" t="s">
        <v>284</v>
      </c>
      <c r="C123" t="s">
        <v>150</v>
      </c>
      <c r="D123" t="s">
        <v>212</v>
      </c>
      <c r="E123" t="s">
        <v>166</v>
      </c>
      <c r="F123">
        <v>33710</v>
      </c>
      <c r="G123" t="s">
        <v>47</v>
      </c>
      <c r="H123" t="s">
        <v>690</v>
      </c>
      <c r="I123" s="1">
        <v>42374</v>
      </c>
      <c r="J123" s="1">
        <v>42376</v>
      </c>
      <c r="K123">
        <v>3</v>
      </c>
      <c r="L123" t="s">
        <v>691</v>
      </c>
      <c r="M123">
        <v>6</v>
      </c>
      <c r="N123">
        <v>1</v>
      </c>
      <c r="O123">
        <v>0.2</v>
      </c>
      <c r="P123" t="b">
        <v>0</v>
      </c>
    </row>
    <row r="124" spans="1:16" x14ac:dyDescent="0.2">
      <c r="A124" t="s">
        <v>506</v>
      </c>
      <c r="B124" t="s">
        <v>284</v>
      </c>
      <c r="C124" t="s">
        <v>150</v>
      </c>
      <c r="D124" t="s">
        <v>212</v>
      </c>
      <c r="E124" t="s">
        <v>166</v>
      </c>
      <c r="F124">
        <v>33710</v>
      </c>
      <c r="G124" t="s">
        <v>47</v>
      </c>
      <c r="H124" t="s">
        <v>690</v>
      </c>
      <c r="I124" s="1">
        <v>42374</v>
      </c>
      <c r="J124" s="1">
        <v>42376</v>
      </c>
      <c r="K124">
        <v>3</v>
      </c>
      <c r="L124" t="s">
        <v>692</v>
      </c>
      <c r="M124">
        <v>2</v>
      </c>
      <c r="N124">
        <v>1</v>
      </c>
      <c r="O124">
        <v>0.2</v>
      </c>
      <c r="P124" t="b">
        <v>1</v>
      </c>
    </row>
    <row r="125" spans="1:16" x14ac:dyDescent="0.2">
      <c r="A125" t="s">
        <v>506</v>
      </c>
      <c r="B125" t="s">
        <v>284</v>
      </c>
      <c r="C125" t="s">
        <v>150</v>
      </c>
      <c r="D125" t="s">
        <v>212</v>
      </c>
      <c r="E125" t="s">
        <v>166</v>
      </c>
      <c r="F125">
        <v>33710</v>
      </c>
      <c r="G125" t="s">
        <v>47</v>
      </c>
      <c r="H125" t="s">
        <v>690</v>
      </c>
      <c r="I125" s="1">
        <v>42374</v>
      </c>
      <c r="J125" s="1">
        <v>42376</v>
      </c>
      <c r="K125">
        <v>3</v>
      </c>
      <c r="L125" t="s">
        <v>693</v>
      </c>
      <c r="M125">
        <v>2</v>
      </c>
      <c r="N125">
        <v>1</v>
      </c>
      <c r="O125">
        <v>0.2</v>
      </c>
      <c r="P125" t="b">
        <v>0</v>
      </c>
    </row>
    <row r="126" spans="1:16" x14ac:dyDescent="0.2">
      <c r="A126" t="s">
        <v>427</v>
      </c>
      <c r="B126" t="s">
        <v>167</v>
      </c>
      <c r="C126" t="s">
        <v>150</v>
      </c>
      <c r="D126" t="s">
        <v>25</v>
      </c>
      <c r="E126" t="s">
        <v>26</v>
      </c>
      <c r="F126">
        <v>10009</v>
      </c>
      <c r="G126" t="s">
        <v>27</v>
      </c>
      <c r="H126" t="s">
        <v>812</v>
      </c>
      <c r="I126" s="1">
        <v>42980</v>
      </c>
      <c r="J126" s="1">
        <v>42984</v>
      </c>
      <c r="K126">
        <v>4</v>
      </c>
      <c r="L126" t="s">
        <v>627</v>
      </c>
      <c r="M126">
        <v>2</v>
      </c>
      <c r="N126">
        <v>0</v>
      </c>
      <c r="O126">
        <v>0</v>
      </c>
      <c r="P126" t="b">
        <v>0</v>
      </c>
    </row>
    <row r="127" spans="1:16" x14ac:dyDescent="0.2">
      <c r="A127" t="s">
        <v>427</v>
      </c>
      <c r="B127" t="s">
        <v>167</v>
      </c>
      <c r="C127" t="s">
        <v>150</v>
      </c>
      <c r="D127" t="s">
        <v>25</v>
      </c>
      <c r="E127" t="s">
        <v>26</v>
      </c>
      <c r="F127">
        <v>10009</v>
      </c>
      <c r="G127" t="s">
        <v>27</v>
      </c>
      <c r="H127" t="s">
        <v>812</v>
      </c>
      <c r="I127" s="1">
        <v>42980</v>
      </c>
      <c r="J127" s="1">
        <v>42984</v>
      </c>
      <c r="K127">
        <v>4</v>
      </c>
      <c r="L127" t="s">
        <v>813</v>
      </c>
      <c r="M127">
        <v>2</v>
      </c>
      <c r="N127">
        <v>0</v>
      </c>
      <c r="O127">
        <v>0</v>
      </c>
      <c r="P127" t="b">
        <v>0</v>
      </c>
    </row>
    <row r="128" spans="1:16" x14ac:dyDescent="0.2">
      <c r="A128" t="s">
        <v>427</v>
      </c>
      <c r="B128" t="s">
        <v>167</v>
      </c>
      <c r="C128" t="s">
        <v>150</v>
      </c>
      <c r="D128" t="s">
        <v>25</v>
      </c>
      <c r="E128" t="s">
        <v>26</v>
      </c>
      <c r="F128">
        <v>10009</v>
      </c>
      <c r="G128" t="s">
        <v>27</v>
      </c>
      <c r="H128" t="s">
        <v>812</v>
      </c>
      <c r="I128" s="1">
        <v>42980</v>
      </c>
      <c r="J128" s="1">
        <v>42984</v>
      </c>
      <c r="K128">
        <v>4</v>
      </c>
      <c r="L128" t="s">
        <v>814</v>
      </c>
      <c r="M128">
        <v>1</v>
      </c>
      <c r="N128">
        <v>1</v>
      </c>
      <c r="O128">
        <v>0.4</v>
      </c>
      <c r="P128" t="b">
        <v>0</v>
      </c>
    </row>
    <row r="129" spans="1:16" x14ac:dyDescent="0.2">
      <c r="A129" t="s">
        <v>427</v>
      </c>
      <c r="B129" t="s">
        <v>167</v>
      </c>
      <c r="C129" t="s">
        <v>150</v>
      </c>
      <c r="D129" t="s">
        <v>25</v>
      </c>
      <c r="E129" t="s">
        <v>26</v>
      </c>
      <c r="F129">
        <v>10009</v>
      </c>
      <c r="G129" t="s">
        <v>27</v>
      </c>
      <c r="H129" t="s">
        <v>812</v>
      </c>
      <c r="I129" s="1">
        <v>42980</v>
      </c>
      <c r="J129" s="1">
        <v>42984</v>
      </c>
      <c r="K129">
        <v>4</v>
      </c>
      <c r="L129" t="s">
        <v>815</v>
      </c>
      <c r="M129">
        <v>1</v>
      </c>
      <c r="N129">
        <v>0</v>
      </c>
      <c r="O129">
        <v>0</v>
      </c>
      <c r="P129" t="b">
        <v>0</v>
      </c>
    </row>
    <row r="130" spans="1:16" x14ac:dyDescent="0.2">
      <c r="A130" t="s">
        <v>427</v>
      </c>
      <c r="B130" t="s">
        <v>167</v>
      </c>
      <c r="C130" t="s">
        <v>150</v>
      </c>
      <c r="D130" t="s">
        <v>25</v>
      </c>
      <c r="E130" t="s">
        <v>26</v>
      </c>
      <c r="F130">
        <v>10009</v>
      </c>
      <c r="G130" t="s">
        <v>27</v>
      </c>
      <c r="H130" t="s">
        <v>812</v>
      </c>
      <c r="I130" s="1">
        <v>42980</v>
      </c>
      <c r="J130" s="1">
        <v>42984</v>
      </c>
      <c r="K130">
        <v>4</v>
      </c>
      <c r="L130" t="s">
        <v>816</v>
      </c>
      <c r="M130">
        <v>8</v>
      </c>
      <c r="N130">
        <v>1</v>
      </c>
      <c r="O130">
        <v>0.2</v>
      </c>
      <c r="P130" t="b">
        <v>0</v>
      </c>
    </row>
    <row r="131" spans="1:16" x14ac:dyDescent="0.2">
      <c r="A131" t="s">
        <v>427</v>
      </c>
      <c r="B131" t="s">
        <v>167</v>
      </c>
      <c r="C131" t="s">
        <v>150</v>
      </c>
      <c r="D131" t="s">
        <v>25</v>
      </c>
      <c r="E131" t="s">
        <v>26</v>
      </c>
      <c r="F131">
        <v>10009</v>
      </c>
      <c r="G131" t="s">
        <v>27</v>
      </c>
      <c r="H131" t="s">
        <v>812</v>
      </c>
      <c r="I131" s="1">
        <v>42980</v>
      </c>
      <c r="J131" s="1">
        <v>42984</v>
      </c>
      <c r="K131">
        <v>4</v>
      </c>
      <c r="L131" t="s">
        <v>817</v>
      </c>
      <c r="M131">
        <v>3</v>
      </c>
      <c r="N131">
        <v>0</v>
      </c>
      <c r="O131">
        <v>0</v>
      </c>
      <c r="P131" t="b">
        <v>0</v>
      </c>
    </row>
    <row r="132" spans="1:16" x14ac:dyDescent="0.2">
      <c r="A132" t="s">
        <v>427</v>
      </c>
      <c r="B132" t="s">
        <v>167</v>
      </c>
      <c r="C132" t="s">
        <v>150</v>
      </c>
      <c r="D132" t="s">
        <v>25</v>
      </c>
      <c r="E132" t="s">
        <v>26</v>
      </c>
      <c r="F132">
        <v>10009</v>
      </c>
      <c r="G132" t="s">
        <v>27</v>
      </c>
      <c r="H132" t="s">
        <v>812</v>
      </c>
      <c r="I132" s="1">
        <v>42980</v>
      </c>
      <c r="J132" s="1">
        <v>42984</v>
      </c>
      <c r="K132">
        <v>4</v>
      </c>
      <c r="L132" t="s">
        <v>818</v>
      </c>
      <c r="M132">
        <v>6</v>
      </c>
      <c r="N132">
        <v>0</v>
      </c>
      <c r="O132">
        <v>0</v>
      </c>
      <c r="P132" t="b">
        <v>0</v>
      </c>
    </row>
    <row r="133" spans="1:16" x14ac:dyDescent="0.2">
      <c r="A133" t="s">
        <v>427</v>
      </c>
      <c r="B133" t="s">
        <v>167</v>
      </c>
      <c r="C133" t="s">
        <v>150</v>
      </c>
      <c r="D133" t="s">
        <v>25</v>
      </c>
      <c r="E133" t="s">
        <v>26</v>
      </c>
      <c r="F133">
        <v>10009</v>
      </c>
      <c r="G133" t="s">
        <v>27</v>
      </c>
      <c r="H133" t="s">
        <v>812</v>
      </c>
      <c r="I133" s="1">
        <v>42980</v>
      </c>
      <c r="J133" s="1">
        <v>42984</v>
      </c>
      <c r="K133">
        <v>4</v>
      </c>
      <c r="L133" t="s">
        <v>819</v>
      </c>
      <c r="M133">
        <v>5</v>
      </c>
      <c r="N133">
        <v>1</v>
      </c>
      <c r="O133">
        <v>0.1</v>
      </c>
      <c r="P133" t="b">
        <v>0</v>
      </c>
    </row>
    <row r="134" spans="1:16" x14ac:dyDescent="0.2">
      <c r="A134" t="s">
        <v>427</v>
      </c>
      <c r="B134" t="s">
        <v>167</v>
      </c>
      <c r="C134" t="s">
        <v>150</v>
      </c>
      <c r="D134" t="s">
        <v>25</v>
      </c>
      <c r="E134" t="s">
        <v>26</v>
      </c>
      <c r="F134">
        <v>10009</v>
      </c>
      <c r="G134" t="s">
        <v>27</v>
      </c>
      <c r="H134" t="s">
        <v>812</v>
      </c>
      <c r="I134" s="1">
        <v>42980</v>
      </c>
      <c r="J134" s="1">
        <v>42984</v>
      </c>
      <c r="K134">
        <v>4</v>
      </c>
      <c r="L134" t="s">
        <v>820</v>
      </c>
      <c r="M134">
        <v>3</v>
      </c>
      <c r="N134">
        <v>0</v>
      </c>
      <c r="O134">
        <v>0</v>
      </c>
      <c r="P134" t="b">
        <v>0</v>
      </c>
    </row>
    <row r="135" spans="1:16" x14ac:dyDescent="0.2">
      <c r="A135" t="s">
        <v>427</v>
      </c>
      <c r="B135" t="s">
        <v>167</v>
      </c>
      <c r="C135" t="s">
        <v>150</v>
      </c>
      <c r="D135" t="s">
        <v>25</v>
      </c>
      <c r="E135" t="s">
        <v>26</v>
      </c>
      <c r="F135">
        <v>10009</v>
      </c>
      <c r="G135" t="s">
        <v>27</v>
      </c>
      <c r="H135" t="s">
        <v>812</v>
      </c>
      <c r="I135" s="1">
        <v>42980</v>
      </c>
      <c r="J135" s="1">
        <v>42984</v>
      </c>
      <c r="K135">
        <v>4</v>
      </c>
      <c r="L135" t="s">
        <v>821</v>
      </c>
      <c r="M135">
        <v>2</v>
      </c>
      <c r="N135">
        <v>0</v>
      </c>
      <c r="O135">
        <v>0</v>
      </c>
      <c r="P135" t="b">
        <v>1</v>
      </c>
    </row>
    <row r="136" spans="1:16" x14ac:dyDescent="0.2">
      <c r="A136" t="s">
        <v>427</v>
      </c>
      <c r="B136" t="s">
        <v>167</v>
      </c>
      <c r="C136" t="s">
        <v>150</v>
      </c>
      <c r="D136" t="s">
        <v>25</v>
      </c>
      <c r="E136" t="s">
        <v>26</v>
      </c>
      <c r="F136">
        <v>10009</v>
      </c>
      <c r="G136" t="s">
        <v>27</v>
      </c>
      <c r="H136" t="s">
        <v>812</v>
      </c>
      <c r="I136" s="1">
        <v>42980</v>
      </c>
      <c r="J136" s="1">
        <v>42984</v>
      </c>
      <c r="K136">
        <v>4</v>
      </c>
      <c r="L136" t="s">
        <v>822</v>
      </c>
      <c r="M136">
        <v>3</v>
      </c>
      <c r="N136">
        <v>0</v>
      </c>
      <c r="O136">
        <v>0</v>
      </c>
      <c r="P136" t="b">
        <v>0</v>
      </c>
    </row>
    <row r="137" spans="1:16" x14ac:dyDescent="0.2">
      <c r="A137" t="s">
        <v>427</v>
      </c>
      <c r="B137" t="s">
        <v>167</v>
      </c>
      <c r="C137" t="s">
        <v>150</v>
      </c>
      <c r="D137" t="s">
        <v>25</v>
      </c>
      <c r="E137" t="s">
        <v>26</v>
      </c>
      <c r="F137">
        <v>10009</v>
      </c>
      <c r="G137" t="s">
        <v>27</v>
      </c>
      <c r="H137" t="s">
        <v>812</v>
      </c>
      <c r="I137" s="1">
        <v>42980</v>
      </c>
      <c r="J137" s="1">
        <v>42984</v>
      </c>
      <c r="K137">
        <v>4</v>
      </c>
      <c r="L137" t="s">
        <v>823</v>
      </c>
      <c r="M137">
        <v>4</v>
      </c>
      <c r="N137">
        <v>0</v>
      </c>
      <c r="O137">
        <v>0</v>
      </c>
      <c r="P137" t="b">
        <v>0</v>
      </c>
    </row>
    <row r="138" spans="1:16" x14ac:dyDescent="0.2">
      <c r="A138" t="s">
        <v>576</v>
      </c>
      <c r="B138" t="s">
        <v>575</v>
      </c>
      <c r="C138" t="s">
        <v>9</v>
      </c>
      <c r="D138" t="s">
        <v>251</v>
      </c>
      <c r="E138" t="s">
        <v>73</v>
      </c>
      <c r="F138">
        <v>40214</v>
      </c>
      <c r="G138" t="s">
        <v>47</v>
      </c>
      <c r="H138" t="s">
        <v>687</v>
      </c>
      <c r="I138" s="1">
        <v>42290</v>
      </c>
      <c r="J138" s="1">
        <v>42294</v>
      </c>
      <c r="K138">
        <v>4</v>
      </c>
      <c r="L138" t="s">
        <v>688</v>
      </c>
      <c r="M138">
        <v>7</v>
      </c>
      <c r="N138">
        <v>0</v>
      </c>
      <c r="O138">
        <v>0</v>
      </c>
      <c r="P138" t="b">
        <v>0</v>
      </c>
    </row>
    <row r="139" spans="1:16" x14ac:dyDescent="0.2">
      <c r="A139" t="s">
        <v>576</v>
      </c>
      <c r="B139" t="s">
        <v>575</v>
      </c>
      <c r="C139" t="s">
        <v>9</v>
      </c>
      <c r="D139" t="s">
        <v>251</v>
      </c>
      <c r="E139" t="s">
        <v>73</v>
      </c>
      <c r="F139">
        <v>40214</v>
      </c>
      <c r="G139" t="s">
        <v>47</v>
      </c>
      <c r="H139" t="s">
        <v>687</v>
      </c>
      <c r="I139" s="1">
        <v>42290</v>
      </c>
      <c r="J139" s="1">
        <v>42294</v>
      </c>
      <c r="K139">
        <v>4</v>
      </c>
      <c r="L139" t="s">
        <v>689</v>
      </c>
      <c r="M139">
        <v>3</v>
      </c>
      <c r="N139">
        <v>0</v>
      </c>
      <c r="O139">
        <v>0</v>
      </c>
      <c r="P139" t="b">
        <v>0</v>
      </c>
    </row>
    <row r="140" spans="1:16" x14ac:dyDescent="0.2">
      <c r="A140" t="s">
        <v>503</v>
      </c>
      <c r="B140" t="s">
        <v>278</v>
      </c>
      <c r="C140" t="s">
        <v>150</v>
      </c>
      <c r="D140" t="s">
        <v>270</v>
      </c>
      <c r="E140" t="s">
        <v>95</v>
      </c>
      <c r="F140">
        <v>22153</v>
      </c>
      <c r="G140" t="s">
        <v>47</v>
      </c>
      <c r="H140" t="s">
        <v>694</v>
      </c>
      <c r="I140" s="1">
        <v>41649</v>
      </c>
      <c r="J140" s="1">
        <v>41654</v>
      </c>
      <c r="K140">
        <v>4</v>
      </c>
      <c r="L140" t="s">
        <v>695</v>
      </c>
      <c r="M140">
        <v>1</v>
      </c>
      <c r="N140">
        <v>0</v>
      </c>
      <c r="O140">
        <v>0</v>
      </c>
      <c r="P140" t="b">
        <v>0</v>
      </c>
    </row>
    <row r="141" spans="1:16" x14ac:dyDescent="0.2">
      <c r="A141" t="s">
        <v>503</v>
      </c>
      <c r="B141" t="s">
        <v>278</v>
      </c>
      <c r="C141" t="s">
        <v>150</v>
      </c>
      <c r="D141" t="s">
        <v>270</v>
      </c>
      <c r="E141" t="s">
        <v>95</v>
      </c>
      <c r="F141">
        <v>22153</v>
      </c>
      <c r="G141" t="s">
        <v>47</v>
      </c>
      <c r="H141" t="s">
        <v>694</v>
      </c>
      <c r="I141" s="1">
        <v>41649</v>
      </c>
      <c r="J141" s="1">
        <v>41654</v>
      </c>
      <c r="K141">
        <v>4</v>
      </c>
      <c r="L141" t="s">
        <v>696</v>
      </c>
      <c r="M141">
        <v>1</v>
      </c>
      <c r="N141">
        <v>0</v>
      </c>
      <c r="O141">
        <v>0</v>
      </c>
      <c r="P141" t="b">
        <v>0</v>
      </c>
    </row>
    <row r="142" spans="1:16" x14ac:dyDescent="0.2">
      <c r="A142" t="s">
        <v>435</v>
      </c>
      <c r="B142" t="s">
        <v>180</v>
      </c>
      <c r="C142" t="s">
        <v>9</v>
      </c>
      <c r="D142" t="s">
        <v>25</v>
      </c>
      <c r="E142" t="s">
        <v>26</v>
      </c>
      <c r="F142">
        <v>10035</v>
      </c>
      <c r="G142" t="s">
        <v>27</v>
      </c>
      <c r="H142" t="s">
        <v>733</v>
      </c>
      <c r="I142" s="1">
        <v>42189</v>
      </c>
      <c r="J142" s="1">
        <v>42193</v>
      </c>
      <c r="K142">
        <v>4</v>
      </c>
      <c r="L142" t="s">
        <v>734</v>
      </c>
      <c r="M142">
        <v>3</v>
      </c>
      <c r="N142">
        <v>0</v>
      </c>
      <c r="O142">
        <v>0</v>
      </c>
      <c r="P142" t="b">
        <v>0</v>
      </c>
    </row>
    <row r="143" spans="1:16" x14ac:dyDescent="0.2">
      <c r="A143" t="s">
        <v>462</v>
      </c>
      <c r="B143" t="s">
        <v>220</v>
      </c>
      <c r="C143" t="s">
        <v>90</v>
      </c>
      <c r="D143" t="s">
        <v>97</v>
      </c>
      <c r="E143" t="s">
        <v>67</v>
      </c>
      <c r="F143">
        <v>19120</v>
      </c>
      <c r="G143" t="s">
        <v>27</v>
      </c>
      <c r="H143" t="s">
        <v>697</v>
      </c>
      <c r="I143" s="1">
        <v>41899</v>
      </c>
      <c r="J143" s="1">
        <v>41903</v>
      </c>
      <c r="K143">
        <v>4</v>
      </c>
      <c r="L143" t="s">
        <v>698</v>
      </c>
      <c r="M143">
        <v>4</v>
      </c>
      <c r="N143">
        <v>1</v>
      </c>
      <c r="O143">
        <v>0.7</v>
      </c>
      <c r="P143" t="b">
        <v>0</v>
      </c>
    </row>
    <row r="144" spans="1:16" x14ac:dyDescent="0.2">
      <c r="A144" t="s">
        <v>436</v>
      </c>
      <c r="B144" t="s">
        <v>181</v>
      </c>
      <c r="C144" t="s">
        <v>90</v>
      </c>
      <c r="D144" t="s">
        <v>97</v>
      </c>
      <c r="E144" t="s">
        <v>67</v>
      </c>
      <c r="F144">
        <v>19120</v>
      </c>
      <c r="G144" t="s">
        <v>27</v>
      </c>
      <c r="H144" t="s">
        <v>737</v>
      </c>
      <c r="I144" s="1">
        <v>42169</v>
      </c>
      <c r="J144" s="1">
        <v>42173</v>
      </c>
      <c r="K144">
        <v>4</v>
      </c>
      <c r="L144" t="s">
        <v>738</v>
      </c>
      <c r="M144">
        <v>6</v>
      </c>
      <c r="N144">
        <v>1</v>
      </c>
      <c r="O144">
        <v>0.2</v>
      </c>
      <c r="P144" t="b">
        <v>0</v>
      </c>
    </row>
    <row r="145" spans="1:16" x14ac:dyDescent="0.2">
      <c r="A145" t="s">
        <v>474</v>
      </c>
      <c r="B145" t="s">
        <v>239</v>
      </c>
      <c r="C145" t="s">
        <v>150</v>
      </c>
      <c r="D145" t="s">
        <v>25</v>
      </c>
      <c r="E145" t="s">
        <v>26</v>
      </c>
      <c r="F145">
        <v>10011</v>
      </c>
      <c r="G145" t="s">
        <v>27</v>
      </c>
      <c r="H145" t="s">
        <v>699</v>
      </c>
      <c r="I145" s="1">
        <v>42628</v>
      </c>
      <c r="J145" s="1">
        <v>42633</v>
      </c>
      <c r="K145">
        <v>4</v>
      </c>
      <c r="L145" t="s">
        <v>700</v>
      </c>
      <c r="M145">
        <v>2</v>
      </c>
      <c r="N145">
        <v>1</v>
      </c>
      <c r="O145">
        <v>0.2</v>
      </c>
      <c r="P145" t="b">
        <v>0</v>
      </c>
    </row>
    <row r="146" spans="1:16" x14ac:dyDescent="0.2">
      <c r="A146" t="s">
        <v>474</v>
      </c>
      <c r="B146" t="s">
        <v>239</v>
      </c>
      <c r="C146" t="s">
        <v>150</v>
      </c>
      <c r="D146" t="s">
        <v>25</v>
      </c>
      <c r="E146" t="s">
        <v>26</v>
      </c>
      <c r="F146">
        <v>10011</v>
      </c>
      <c r="G146" t="s">
        <v>27</v>
      </c>
      <c r="H146" t="s">
        <v>768</v>
      </c>
      <c r="I146" s="1">
        <v>43065</v>
      </c>
      <c r="J146" s="1">
        <v>43069</v>
      </c>
      <c r="K146">
        <v>4</v>
      </c>
      <c r="L146" t="s">
        <v>769</v>
      </c>
      <c r="M146">
        <v>3</v>
      </c>
      <c r="N146">
        <v>0</v>
      </c>
      <c r="O146">
        <v>0</v>
      </c>
      <c r="P146" t="b">
        <v>0</v>
      </c>
    </row>
    <row r="147" spans="1:16" x14ac:dyDescent="0.2">
      <c r="A147" t="s">
        <v>440</v>
      </c>
      <c r="B147" t="s">
        <v>187</v>
      </c>
      <c r="C147" t="s">
        <v>9</v>
      </c>
      <c r="D147" t="s">
        <v>188</v>
      </c>
      <c r="E147" t="s">
        <v>22</v>
      </c>
      <c r="F147">
        <v>77840</v>
      </c>
      <c r="G147" t="s">
        <v>12</v>
      </c>
      <c r="H147" t="s">
        <v>843</v>
      </c>
      <c r="I147" s="1">
        <v>43058</v>
      </c>
      <c r="J147" s="1">
        <v>43065</v>
      </c>
      <c r="K147">
        <v>4</v>
      </c>
      <c r="L147" t="s">
        <v>844</v>
      </c>
      <c r="M147">
        <v>3</v>
      </c>
      <c r="N147">
        <v>1</v>
      </c>
      <c r="O147">
        <v>0.3</v>
      </c>
      <c r="P147" t="b">
        <v>1</v>
      </c>
    </row>
    <row r="148" spans="1:16" x14ac:dyDescent="0.2">
      <c r="A148" t="s">
        <v>553</v>
      </c>
      <c r="B148" t="s">
        <v>355</v>
      </c>
      <c r="C148" t="s">
        <v>90</v>
      </c>
      <c r="D148" t="s">
        <v>356</v>
      </c>
      <c r="E148" t="s">
        <v>22</v>
      </c>
      <c r="F148">
        <v>77506</v>
      </c>
      <c r="G148" t="s">
        <v>12</v>
      </c>
      <c r="H148" t="s">
        <v>704</v>
      </c>
      <c r="I148" s="1">
        <v>43007</v>
      </c>
      <c r="J148" s="1">
        <v>43013</v>
      </c>
      <c r="K148">
        <v>4</v>
      </c>
      <c r="L148" t="s">
        <v>705</v>
      </c>
      <c r="M148">
        <v>2</v>
      </c>
      <c r="N148">
        <v>1</v>
      </c>
      <c r="O148">
        <v>0.2</v>
      </c>
      <c r="P148" t="b">
        <v>1</v>
      </c>
    </row>
    <row r="149" spans="1:16" x14ac:dyDescent="0.2">
      <c r="A149" t="s">
        <v>553</v>
      </c>
      <c r="B149" t="s">
        <v>355</v>
      </c>
      <c r="C149" t="s">
        <v>90</v>
      </c>
      <c r="D149" t="s">
        <v>356</v>
      </c>
      <c r="E149" t="s">
        <v>22</v>
      </c>
      <c r="F149">
        <v>77506</v>
      </c>
      <c r="G149" t="s">
        <v>12</v>
      </c>
      <c r="H149" t="s">
        <v>704</v>
      </c>
      <c r="I149" s="1">
        <v>43007</v>
      </c>
      <c r="J149" s="1">
        <v>43013</v>
      </c>
      <c r="K149">
        <v>4</v>
      </c>
      <c r="L149" t="s">
        <v>706</v>
      </c>
      <c r="M149">
        <v>4</v>
      </c>
      <c r="N149">
        <v>1</v>
      </c>
      <c r="O149">
        <v>0.2</v>
      </c>
      <c r="P149" t="b">
        <v>0</v>
      </c>
    </row>
    <row r="150" spans="1:16" x14ac:dyDescent="0.2">
      <c r="A150" t="s">
        <v>553</v>
      </c>
      <c r="B150" t="s">
        <v>355</v>
      </c>
      <c r="C150" t="s">
        <v>90</v>
      </c>
      <c r="D150" t="s">
        <v>356</v>
      </c>
      <c r="E150" t="s">
        <v>22</v>
      </c>
      <c r="F150">
        <v>77506</v>
      </c>
      <c r="G150" t="s">
        <v>12</v>
      </c>
      <c r="H150" t="s">
        <v>704</v>
      </c>
      <c r="I150" s="1">
        <v>43007</v>
      </c>
      <c r="J150" s="1">
        <v>43013</v>
      </c>
      <c r="K150">
        <v>4</v>
      </c>
      <c r="L150" t="s">
        <v>707</v>
      </c>
      <c r="M150">
        <v>3</v>
      </c>
      <c r="N150">
        <v>1</v>
      </c>
      <c r="O150">
        <v>0.4</v>
      </c>
      <c r="P150" t="b">
        <v>0</v>
      </c>
    </row>
    <row r="151" spans="1:16" x14ac:dyDescent="0.2">
      <c r="A151" t="s">
        <v>441</v>
      </c>
      <c r="B151" t="s">
        <v>189</v>
      </c>
      <c r="C151" t="s">
        <v>9</v>
      </c>
      <c r="D151" t="s">
        <v>190</v>
      </c>
      <c r="E151" t="s">
        <v>191</v>
      </c>
      <c r="F151">
        <v>7055</v>
      </c>
      <c r="G151" t="s">
        <v>27</v>
      </c>
      <c r="H151" t="s">
        <v>881</v>
      </c>
      <c r="I151" s="1">
        <v>42512</v>
      </c>
      <c r="J151" s="1">
        <v>42517</v>
      </c>
      <c r="K151">
        <v>4</v>
      </c>
      <c r="L151" t="s">
        <v>882</v>
      </c>
      <c r="M151">
        <v>5</v>
      </c>
      <c r="N151">
        <v>0</v>
      </c>
      <c r="O151">
        <v>0</v>
      </c>
      <c r="P151" t="b">
        <v>0</v>
      </c>
    </row>
    <row r="152" spans="1:16" x14ac:dyDescent="0.2">
      <c r="A152" t="s">
        <v>441</v>
      </c>
      <c r="B152" t="s">
        <v>189</v>
      </c>
      <c r="C152" t="s">
        <v>9</v>
      </c>
      <c r="D152" t="s">
        <v>190</v>
      </c>
      <c r="E152" t="s">
        <v>191</v>
      </c>
      <c r="F152">
        <v>7055</v>
      </c>
      <c r="G152" t="s">
        <v>27</v>
      </c>
      <c r="H152" t="s">
        <v>881</v>
      </c>
      <c r="I152" s="1">
        <v>42512</v>
      </c>
      <c r="J152" s="1">
        <v>42517</v>
      </c>
      <c r="K152">
        <v>4</v>
      </c>
      <c r="L152" t="s">
        <v>883</v>
      </c>
      <c r="M152">
        <v>2</v>
      </c>
      <c r="N152">
        <v>1</v>
      </c>
      <c r="O152">
        <v>0.3</v>
      </c>
      <c r="P152" t="b">
        <v>0</v>
      </c>
    </row>
    <row r="153" spans="1:16" x14ac:dyDescent="0.2">
      <c r="A153" t="s">
        <v>441</v>
      </c>
      <c r="B153" t="s">
        <v>189</v>
      </c>
      <c r="C153" t="s">
        <v>9</v>
      </c>
      <c r="D153" t="s">
        <v>190</v>
      </c>
      <c r="E153" t="s">
        <v>191</v>
      </c>
      <c r="F153">
        <v>7055</v>
      </c>
      <c r="G153" t="s">
        <v>27</v>
      </c>
      <c r="H153" t="s">
        <v>881</v>
      </c>
      <c r="I153" s="1">
        <v>42512</v>
      </c>
      <c r="J153" s="1">
        <v>42517</v>
      </c>
      <c r="K153">
        <v>4</v>
      </c>
      <c r="L153" t="s">
        <v>884</v>
      </c>
      <c r="M153">
        <v>4</v>
      </c>
      <c r="N153">
        <v>0</v>
      </c>
      <c r="O153">
        <v>0</v>
      </c>
      <c r="P153" t="b">
        <v>0</v>
      </c>
    </row>
    <row r="154" spans="1:16" x14ac:dyDescent="0.2">
      <c r="A154" t="s">
        <v>441</v>
      </c>
      <c r="B154" t="s">
        <v>189</v>
      </c>
      <c r="C154" t="s">
        <v>9</v>
      </c>
      <c r="D154" t="s">
        <v>190</v>
      </c>
      <c r="E154" t="s">
        <v>191</v>
      </c>
      <c r="F154">
        <v>7055</v>
      </c>
      <c r="G154" t="s">
        <v>27</v>
      </c>
      <c r="H154" t="s">
        <v>881</v>
      </c>
      <c r="I154" s="1">
        <v>42512</v>
      </c>
      <c r="J154" s="1">
        <v>42517</v>
      </c>
      <c r="K154">
        <v>4</v>
      </c>
      <c r="L154" t="s">
        <v>885</v>
      </c>
      <c r="M154">
        <v>5</v>
      </c>
      <c r="N154">
        <v>0</v>
      </c>
      <c r="O154">
        <v>0</v>
      </c>
      <c r="P154" t="b">
        <v>0</v>
      </c>
    </row>
    <row r="155" spans="1:16" x14ac:dyDescent="0.2">
      <c r="A155" t="s">
        <v>441</v>
      </c>
      <c r="B155" t="s">
        <v>189</v>
      </c>
      <c r="C155" t="s">
        <v>9</v>
      </c>
      <c r="D155" t="s">
        <v>190</v>
      </c>
      <c r="E155" t="s">
        <v>191</v>
      </c>
      <c r="F155">
        <v>7055</v>
      </c>
      <c r="G155" t="s">
        <v>27</v>
      </c>
      <c r="H155" t="s">
        <v>881</v>
      </c>
      <c r="I155" s="1">
        <v>42512</v>
      </c>
      <c r="J155" s="1">
        <v>42517</v>
      </c>
      <c r="K155">
        <v>4</v>
      </c>
      <c r="L155" t="s">
        <v>886</v>
      </c>
      <c r="M155">
        <v>6</v>
      </c>
      <c r="N155">
        <v>0</v>
      </c>
      <c r="O155">
        <v>0</v>
      </c>
      <c r="P155" t="b">
        <v>0</v>
      </c>
    </row>
    <row r="156" spans="1:16" x14ac:dyDescent="0.2">
      <c r="A156" t="s">
        <v>441</v>
      </c>
      <c r="B156" t="s">
        <v>189</v>
      </c>
      <c r="C156" t="s">
        <v>9</v>
      </c>
      <c r="D156" t="s">
        <v>190</v>
      </c>
      <c r="E156" t="s">
        <v>191</v>
      </c>
      <c r="F156">
        <v>7055</v>
      </c>
      <c r="G156" t="s">
        <v>27</v>
      </c>
      <c r="H156" t="s">
        <v>881</v>
      </c>
      <c r="I156" s="1">
        <v>42512</v>
      </c>
      <c r="J156" s="1">
        <v>42517</v>
      </c>
      <c r="K156">
        <v>4</v>
      </c>
      <c r="L156" t="s">
        <v>887</v>
      </c>
      <c r="M156">
        <v>2</v>
      </c>
      <c r="N156">
        <v>0</v>
      </c>
      <c r="O156">
        <v>0</v>
      </c>
      <c r="P156" t="b">
        <v>0</v>
      </c>
    </row>
    <row r="157" spans="1:16" x14ac:dyDescent="0.2">
      <c r="A157" t="s">
        <v>451</v>
      </c>
      <c r="B157" t="s">
        <v>204</v>
      </c>
      <c r="C157" t="s">
        <v>9</v>
      </c>
      <c r="D157" t="s">
        <v>205</v>
      </c>
      <c r="E157" t="s">
        <v>137</v>
      </c>
      <c r="F157">
        <v>45231</v>
      </c>
      <c r="G157" t="s">
        <v>27</v>
      </c>
      <c r="H157" t="s">
        <v>710</v>
      </c>
      <c r="I157" s="1">
        <v>42694</v>
      </c>
      <c r="J157" s="1">
        <v>42696</v>
      </c>
      <c r="K157">
        <v>2</v>
      </c>
      <c r="L157" t="s">
        <v>711</v>
      </c>
      <c r="M157">
        <v>3</v>
      </c>
      <c r="N157">
        <v>1</v>
      </c>
      <c r="O157">
        <v>0.2</v>
      </c>
      <c r="P157" t="b">
        <v>0</v>
      </c>
    </row>
    <row r="158" spans="1:16" x14ac:dyDescent="0.2">
      <c r="A158" t="s">
        <v>451</v>
      </c>
      <c r="B158" t="s">
        <v>204</v>
      </c>
      <c r="C158" t="s">
        <v>9</v>
      </c>
      <c r="D158" t="s">
        <v>205</v>
      </c>
      <c r="E158" t="s">
        <v>137</v>
      </c>
      <c r="F158">
        <v>45231</v>
      </c>
      <c r="G158" t="s">
        <v>27</v>
      </c>
      <c r="H158" t="s">
        <v>710</v>
      </c>
      <c r="I158" s="1">
        <v>42694</v>
      </c>
      <c r="J158" s="1">
        <v>42696</v>
      </c>
      <c r="K158">
        <v>2</v>
      </c>
      <c r="L158" t="s">
        <v>712</v>
      </c>
      <c r="M158">
        <v>2</v>
      </c>
      <c r="N158">
        <v>1</v>
      </c>
      <c r="O158">
        <v>0.7</v>
      </c>
      <c r="P158" t="b">
        <v>0</v>
      </c>
    </row>
    <row r="159" spans="1:16" x14ac:dyDescent="0.2">
      <c r="A159" t="s">
        <v>451</v>
      </c>
      <c r="B159" t="s">
        <v>204</v>
      </c>
      <c r="C159" t="s">
        <v>9</v>
      </c>
      <c r="D159" t="s">
        <v>205</v>
      </c>
      <c r="E159" t="s">
        <v>137</v>
      </c>
      <c r="F159">
        <v>45231</v>
      </c>
      <c r="G159" t="s">
        <v>27</v>
      </c>
      <c r="H159" t="s">
        <v>710</v>
      </c>
      <c r="I159" s="1">
        <v>42694</v>
      </c>
      <c r="J159" s="1">
        <v>42696</v>
      </c>
      <c r="K159">
        <v>2</v>
      </c>
      <c r="L159" t="s">
        <v>713</v>
      </c>
      <c r="M159">
        <v>3</v>
      </c>
      <c r="N159">
        <v>1</v>
      </c>
      <c r="O159">
        <v>0.7</v>
      </c>
      <c r="P159" t="b">
        <v>0</v>
      </c>
    </row>
    <row r="160" spans="1:16" x14ac:dyDescent="0.2">
      <c r="A160" t="s">
        <v>451</v>
      </c>
      <c r="B160" t="s">
        <v>204</v>
      </c>
      <c r="C160" t="s">
        <v>9</v>
      </c>
      <c r="D160" t="s">
        <v>205</v>
      </c>
      <c r="E160" t="s">
        <v>137</v>
      </c>
      <c r="F160">
        <v>45231</v>
      </c>
      <c r="G160" t="s">
        <v>27</v>
      </c>
      <c r="H160" t="s">
        <v>853</v>
      </c>
      <c r="I160" s="1">
        <v>42705</v>
      </c>
      <c r="J160" s="1">
        <v>42710</v>
      </c>
      <c r="K160">
        <v>4</v>
      </c>
      <c r="L160" t="s">
        <v>854</v>
      </c>
      <c r="M160">
        <v>2</v>
      </c>
      <c r="N160">
        <v>1</v>
      </c>
      <c r="O160">
        <v>0.2</v>
      </c>
      <c r="P160" t="b">
        <v>0</v>
      </c>
    </row>
    <row r="161" spans="1:16" x14ac:dyDescent="0.2">
      <c r="A161" t="s">
        <v>520</v>
      </c>
      <c r="B161" t="s">
        <v>305</v>
      </c>
      <c r="C161" t="s">
        <v>90</v>
      </c>
      <c r="D161" t="s">
        <v>25</v>
      </c>
      <c r="E161" t="s">
        <v>26</v>
      </c>
      <c r="F161">
        <v>10035</v>
      </c>
      <c r="G161" t="s">
        <v>27</v>
      </c>
      <c r="H161" t="s">
        <v>723</v>
      </c>
      <c r="I161" s="1">
        <v>41701</v>
      </c>
      <c r="J161" s="1">
        <v>41706</v>
      </c>
      <c r="K161">
        <v>4</v>
      </c>
      <c r="L161" t="s">
        <v>724</v>
      </c>
      <c r="M161">
        <v>1</v>
      </c>
      <c r="N161">
        <v>0</v>
      </c>
      <c r="O161">
        <v>0</v>
      </c>
      <c r="P161" t="b">
        <v>0</v>
      </c>
    </row>
    <row r="162" spans="1:16" x14ac:dyDescent="0.2">
      <c r="A162" t="s">
        <v>520</v>
      </c>
      <c r="B162" t="s">
        <v>305</v>
      </c>
      <c r="C162" t="s">
        <v>90</v>
      </c>
      <c r="D162" t="s">
        <v>25</v>
      </c>
      <c r="E162" t="s">
        <v>26</v>
      </c>
      <c r="F162">
        <v>10035</v>
      </c>
      <c r="G162" t="s">
        <v>27</v>
      </c>
      <c r="H162" t="s">
        <v>723</v>
      </c>
      <c r="I162" s="1">
        <v>41701</v>
      </c>
      <c r="J162" s="1">
        <v>41706</v>
      </c>
      <c r="K162">
        <v>4</v>
      </c>
      <c r="L162" t="s">
        <v>725</v>
      </c>
      <c r="M162">
        <v>3</v>
      </c>
      <c r="N162">
        <v>1</v>
      </c>
      <c r="O162">
        <v>0.2</v>
      </c>
      <c r="P162" t="b">
        <v>0</v>
      </c>
    </row>
    <row r="163" spans="1:16" x14ac:dyDescent="0.2">
      <c r="A163" t="s">
        <v>520</v>
      </c>
      <c r="B163" t="s">
        <v>305</v>
      </c>
      <c r="C163" t="s">
        <v>90</v>
      </c>
      <c r="D163" t="s">
        <v>25</v>
      </c>
      <c r="E163" t="s">
        <v>26</v>
      </c>
      <c r="F163">
        <v>10035</v>
      </c>
      <c r="G163" t="s">
        <v>27</v>
      </c>
      <c r="H163" t="s">
        <v>723</v>
      </c>
      <c r="I163" s="1">
        <v>41701</v>
      </c>
      <c r="J163" s="1">
        <v>41706</v>
      </c>
      <c r="K163">
        <v>4</v>
      </c>
      <c r="L163" t="s">
        <v>726</v>
      </c>
      <c r="M163">
        <v>5</v>
      </c>
      <c r="N163">
        <v>1</v>
      </c>
      <c r="O163">
        <v>0.2</v>
      </c>
      <c r="P163" t="b">
        <v>0</v>
      </c>
    </row>
    <row r="164" spans="1:16" x14ac:dyDescent="0.2">
      <c r="A164" t="s">
        <v>520</v>
      </c>
      <c r="B164" t="s">
        <v>305</v>
      </c>
      <c r="C164" t="s">
        <v>90</v>
      </c>
      <c r="D164" t="s">
        <v>25</v>
      </c>
      <c r="E164" t="s">
        <v>26</v>
      </c>
      <c r="F164">
        <v>10035</v>
      </c>
      <c r="G164" t="s">
        <v>27</v>
      </c>
      <c r="H164" t="s">
        <v>770</v>
      </c>
      <c r="I164" s="1">
        <v>42513</v>
      </c>
      <c r="J164" s="1">
        <v>42517</v>
      </c>
      <c r="K164">
        <v>4</v>
      </c>
      <c r="L164" t="s">
        <v>771</v>
      </c>
      <c r="M164">
        <v>1</v>
      </c>
      <c r="N164">
        <v>0</v>
      </c>
      <c r="O164">
        <v>0</v>
      </c>
      <c r="P164" t="b">
        <v>0</v>
      </c>
    </row>
    <row r="165" spans="1:16" x14ac:dyDescent="0.2">
      <c r="A165" t="s">
        <v>556</v>
      </c>
      <c r="B165" t="s">
        <v>360</v>
      </c>
      <c r="C165" t="s">
        <v>90</v>
      </c>
      <c r="D165" t="s">
        <v>38</v>
      </c>
      <c r="E165" t="s">
        <v>17</v>
      </c>
      <c r="F165">
        <v>90004</v>
      </c>
      <c r="G165" t="s">
        <v>18</v>
      </c>
      <c r="H165" t="s">
        <v>731</v>
      </c>
      <c r="I165" s="1">
        <v>42000</v>
      </c>
      <c r="J165" s="1">
        <v>42003</v>
      </c>
      <c r="K165">
        <v>3</v>
      </c>
      <c r="L165" t="s">
        <v>732</v>
      </c>
      <c r="M165">
        <v>4</v>
      </c>
      <c r="N165">
        <v>0</v>
      </c>
      <c r="O165">
        <v>0</v>
      </c>
      <c r="P165" t="b">
        <v>0</v>
      </c>
    </row>
    <row r="166" spans="1:16" x14ac:dyDescent="0.2">
      <c r="A166" t="s">
        <v>556</v>
      </c>
      <c r="B166" t="s">
        <v>360</v>
      </c>
      <c r="C166" t="s">
        <v>90</v>
      </c>
      <c r="D166" t="s">
        <v>38</v>
      </c>
      <c r="E166" t="s">
        <v>17</v>
      </c>
      <c r="F166">
        <v>90004</v>
      </c>
      <c r="G166" t="s">
        <v>18</v>
      </c>
      <c r="H166" t="s">
        <v>756</v>
      </c>
      <c r="I166" s="1">
        <v>42698</v>
      </c>
      <c r="J166" s="1">
        <v>42705</v>
      </c>
      <c r="K166">
        <v>4</v>
      </c>
      <c r="L166" t="s">
        <v>757</v>
      </c>
      <c r="M166">
        <v>2</v>
      </c>
      <c r="N166">
        <v>1</v>
      </c>
      <c r="O166">
        <v>0.2</v>
      </c>
      <c r="P166" t="b">
        <v>0</v>
      </c>
    </row>
    <row r="167" spans="1:16" x14ac:dyDescent="0.2">
      <c r="A167" t="s">
        <v>556</v>
      </c>
      <c r="B167" t="s">
        <v>360</v>
      </c>
      <c r="C167" t="s">
        <v>90</v>
      </c>
      <c r="D167" t="s">
        <v>38</v>
      </c>
      <c r="E167" t="s">
        <v>17</v>
      </c>
      <c r="F167">
        <v>90004</v>
      </c>
      <c r="G167" t="s">
        <v>18</v>
      </c>
      <c r="H167" t="s">
        <v>756</v>
      </c>
      <c r="I167" s="1">
        <v>42698</v>
      </c>
      <c r="J167" s="1">
        <v>42705</v>
      </c>
      <c r="K167">
        <v>4</v>
      </c>
      <c r="L167" t="s">
        <v>758</v>
      </c>
      <c r="M167">
        <v>2</v>
      </c>
      <c r="N167">
        <v>0</v>
      </c>
      <c r="O167">
        <v>0</v>
      </c>
      <c r="P167" t="b">
        <v>0</v>
      </c>
    </row>
    <row r="168" spans="1:16" x14ac:dyDescent="0.2">
      <c r="A168" t="s">
        <v>458</v>
      </c>
      <c r="B168" t="s">
        <v>214</v>
      </c>
      <c r="C168" t="s">
        <v>9</v>
      </c>
      <c r="D168" t="s">
        <v>156</v>
      </c>
      <c r="E168" t="s">
        <v>63</v>
      </c>
      <c r="F168">
        <v>28540</v>
      </c>
      <c r="G168" t="s">
        <v>47</v>
      </c>
      <c r="H168" t="s">
        <v>787</v>
      </c>
      <c r="I168" s="1">
        <v>42945</v>
      </c>
      <c r="J168" s="1">
        <v>42948</v>
      </c>
      <c r="K168">
        <v>3</v>
      </c>
      <c r="L168" t="s">
        <v>788</v>
      </c>
      <c r="M168">
        <v>2</v>
      </c>
      <c r="N168">
        <v>1</v>
      </c>
      <c r="O168">
        <v>0.2</v>
      </c>
      <c r="P168" t="b">
        <v>0</v>
      </c>
    </row>
    <row r="169" spans="1:16" x14ac:dyDescent="0.2">
      <c r="A169" t="s">
        <v>458</v>
      </c>
      <c r="B169" t="s">
        <v>214</v>
      </c>
      <c r="C169" t="s">
        <v>9</v>
      </c>
      <c r="D169" t="s">
        <v>156</v>
      </c>
      <c r="E169" t="s">
        <v>63</v>
      </c>
      <c r="F169">
        <v>28540</v>
      </c>
      <c r="G169" t="s">
        <v>47</v>
      </c>
      <c r="H169" t="s">
        <v>787</v>
      </c>
      <c r="I169" s="1">
        <v>42945</v>
      </c>
      <c r="J169" s="1">
        <v>42948</v>
      </c>
      <c r="K169">
        <v>3</v>
      </c>
      <c r="L169" t="s">
        <v>789</v>
      </c>
      <c r="M169">
        <v>5</v>
      </c>
      <c r="N169">
        <v>1</v>
      </c>
      <c r="O169">
        <v>0.2</v>
      </c>
      <c r="P169" t="b">
        <v>0</v>
      </c>
    </row>
    <row r="170" spans="1:16" x14ac:dyDescent="0.2">
      <c r="A170" t="s">
        <v>458</v>
      </c>
      <c r="B170" t="s">
        <v>214</v>
      </c>
      <c r="C170" t="s">
        <v>9</v>
      </c>
      <c r="D170" t="s">
        <v>156</v>
      </c>
      <c r="E170" t="s">
        <v>63</v>
      </c>
      <c r="F170">
        <v>28540</v>
      </c>
      <c r="G170" t="s">
        <v>47</v>
      </c>
      <c r="H170" t="s">
        <v>787</v>
      </c>
      <c r="I170" s="1">
        <v>42945</v>
      </c>
      <c r="J170" s="1">
        <v>42948</v>
      </c>
      <c r="K170">
        <v>3</v>
      </c>
      <c r="L170" t="s">
        <v>790</v>
      </c>
      <c r="M170">
        <v>3</v>
      </c>
      <c r="N170">
        <v>1</v>
      </c>
      <c r="O170">
        <v>0.2</v>
      </c>
      <c r="P170" t="b">
        <v>0</v>
      </c>
    </row>
    <row r="171" spans="1:16" x14ac:dyDescent="0.2">
      <c r="A171" t="s">
        <v>537</v>
      </c>
      <c r="B171" t="s">
        <v>330</v>
      </c>
      <c r="C171" t="s">
        <v>150</v>
      </c>
      <c r="D171" t="s">
        <v>156</v>
      </c>
      <c r="E171" t="s">
        <v>63</v>
      </c>
      <c r="F171">
        <v>28540</v>
      </c>
      <c r="G171" t="s">
        <v>47</v>
      </c>
      <c r="H171" t="s">
        <v>741</v>
      </c>
      <c r="I171" s="1">
        <v>42737</v>
      </c>
      <c r="J171" s="1">
        <v>42739</v>
      </c>
      <c r="K171">
        <v>2</v>
      </c>
      <c r="L171" t="s">
        <v>742</v>
      </c>
      <c r="M171">
        <v>2</v>
      </c>
      <c r="N171">
        <v>1</v>
      </c>
      <c r="O171">
        <v>0.5</v>
      </c>
      <c r="P171" t="b">
        <v>0</v>
      </c>
    </row>
    <row r="172" spans="1:16" x14ac:dyDescent="0.2">
      <c r="A172" t="s">
        <v>537</v>
      </c>
      <c r="B172" t="s">
        <v>330</v>
      </c>
      <c r="C172" t="s">
        <v>150</v>
      </c>
      <c r="D172" t="s">
        <v>156</v>
      </c>
      <c r="E172" t="s">
        <v>63</v>
      </c>
      <c r="F172">
        <v>28540</v>
      </c>
      <c r="G172" t="s">
        <v>47</v>
      </c>
      <c r="H172" t="s">
        <v>741</v>
      </c>
      <c r="I172" s="1">
        <v>42737</v>
      </c>
      <c r="J172" s="1">
        <v>42739</v>
      </c>
      <c r="K172">
        <v>2</v>
      </c>
      <c r="L172" t="s">
        <v>743</v>
      </c>
      <c r="M172">
        <v>5</v>
      </c>
      <c r="N172">
        <v>1</v>
      </c>
      <c r="O172">
        <v>0.7</v>
      </c>
      <c r="P172" t="b">
        <v>0</v>
      </c>
    </row>
    <row r="173" spans="1:16" x14ac:dyDescent="0.2">
      <c r="A173" t="s">
        <v>537</v>
      </c>
      <c r="B173" t="s">
        <v>330</v>
      </c>
      <c r="C173" t="s">
        <v>150</v>
      </c>
      <c r="D173" t="s">
        <v>156</v>
      </c>
      <c r="E173" t="s">
        <v>63</v>
      </c>
      <c r="F173">
        <v>28540</v>
      </c>
      <c r="G173" t="s">
        <v>47</v>
      </c>
      <c r="H173" t="s">
        <v>741</v>
      </c>
      <c r="I173" s="1">
        <v>42737</v>
      </c>
      <c r="J173" s="1">
        <v>42739</v>
      </c>
      <c r="K173">
        <v>2</v>
      </c>
      <c r="L173" t="s">
        <v>713</v>
      </c>
      <c r="M173">
        <v>6</v>
      </c>
      <c r="N173">
        <v>1</v>
      </c>
      <c r="O173">
        <v>0.7</v>
      </c>
      <c r="P173" t="b">
        <v>0</v>
      </c>
    </row>
    <row r="174" spans="1:16" x14ac:dyDescent="0.2">
      <c r="A174" t="s">
        <v>537</v>
      </c>
      <c r="B174" t="s">
        <v>330</v>
      </c>
      <c r="C174" t="s">
        <v>150</v>
      </c>
      <c r="D174" t="s">
        <v>156</v>
      </c>
      <c r="E174" t="s">
        <v>63</v>
      </c>
      <c r="F174">
        <v>28540</v>
      </c>
      <c r="G174" t="s">
        <v>47</v>
      </c>
      <c r="H174" t="s">
        <v>744</v>
      </c>
      <c r="I174" s="1">
        <v>42457</v>
      </c>
      <c r="J174" s="1">
        <v>42460</v>
      </c>
      <c r="K174">
        <v>2</v>
      </c>
      <c r="L174" t="s">
        <v>745</v>
      </c>
      <c r="M174">
        <v>2</v>
      </c>
      <c r="N174">
        <v>0</v>
      </c>
      <c r="O174">
        <v>0</v>
      </c>
      <c r="P174" t="b">
        <v>0</v>
      </c>
    </row>
    <row r="175" spans="1:16" x14ac:dyDescent="0.2">
      <c r="A175" t="s">
        <v>537</v>
      </c>
      <c r="B175" t="s">
        <v>330</v>
      </c>
      <c r="C175" t="s">
        <v>150</v>
      </c>
      <c r="D175" t="s">
        <v>156</v>
      </c>
      <c r="E175" t="s">
        <v>63</v>
      </c>
      <c r="F175">
        <v>28540</v>
      </c>
      <c r="G175" t="s">
        <v>47</v>
      </c>
      <c r="H175" t="s">
        <v>797</v>
      </c>
      <c r="I175" s="1">
        <v>42948</v>
      </c>
      <c r="J175" s="1">
        <v>42954</v>
      </c>
      <c r="K175">
        <v>4</v>
      </c>
      <c r="L175" t="s">
        <v>798</v>
      </c>
      <c r="M175">
        <v>3</v>
      </c>
      <c r="N175">
        <v>1</v>
      </c>
      <c r="O175">
        <v>0.4</v>
      </c>
      <c r="P175" t="b">
        <v>0</v>
      </c>
    </row>
    <row r="176" spans="1:16" x14ac:dyDescent="0.2">
      <c r="A176" t="s">
        <v>537</v>
      </c>
      <c r="B176" t="s">
        <v>330</v>
      </c>
      <c r="C176" t="s">
        <v>150</v>
      </c>
      <c r="D176" t="s">
        <v>156</v>
      </c>
      <c r="E176" t="s">
        <v>63</v>
      </c>
      <c r="F176">
        <v>28540</v>
      </c>
      <c r="G176" t="s">
        <v>47</v>
      </c>
      <c r="H176" t="s">
        <v>797</v>
      </c>
      <c r="I176" s="1">
        <v>42948</v>
      </c>
      <c r="J176" s="1">
        <v>42954</v>
      </c>
      <c r="K176">
        <v>4</v>
      </c>
      <c r="L176" t="s">
        <v>799</v>
      </c>
      <c r="M176">
        <v>7</v>
      </c>
      <c r="N176">
        <v>1</v>
      </c>
      <c r="O176">
        <v>0.2</v>
      </c>
      <c r="P176" t="b">
        <v>0</v>
      </c>
    </row>
    <row r="177" spans="1:16" x14ac:dyDescent="0.2">
      <c r="A177" t="s">
        <v>466</v>
      </c>
      <c r="B177" t="s">
        <v>225</v>
      </c>
      <c r="C177" t="s">
        <v>9</v>
      </c>
      <c r="D177" t="s">
        <v>38</v>
      </c>
      <c r="E177" t="s">
        <v>17</v>
      </c>
      <c r="F177">
        <v>90008</v>
      </c>
      <c r="G177" t="s">
        <v>18</v>
      </c>
      <c r="H177" t="s">
        <v>784</v>
      </c>
      <c r="I177" s="1">
        <v>42365</v>
      </c>
      <c r="J177" s="1">
        <v>42369</v>
      </c>
      <c r="K177">
        <v>4</v>
      </c>
      <c r="L177" t="s">
        <v>785</v>
      </c>
      <c r="M177">
        <v>2</v>
      </c>
      <c r="N177">
        <v>0</v>
      </c>
      <c r="O177">
        <v>0</v>
      </c>
      <c r="P177" t="b">
        <v>0</v>
      </c>
    </row>
    <row r="178" spans="1:16" x14ac:dyDescent="0.2">
      <c r="A178" t="s">
        <v>466</v>
      </c>
      <c r="B178" t="s">
        <v>225</v>
      </c>
      <c r="C178" t="s">
        <v>9</v>
      </c>
      <c r="D178" t="s">
        <v>38</v>
      </c>
      <c r="E178" t="s">
        <v>17</v>
      </c>
      <c r="F178">
        <v>90008</v>
      </c>
      <c r="G178" t="s">
        <v>18</v>
      </c>
      <c r="H178" t="s">
        <v>784</v>
      </c>
      <c r="I178" s="1">
        <v>42365</v>
      </c>
      <c r="J178" s="1">
        <v>42369</v>
      </c>
      <c r="K178">
        <v>4</v>
      </c>
      <c r="L178" t="s">
        <v>786</v>
      </c>
      <c r="M178">
        <v>7</v>
      </c>
      <c r="N178">
        <v>0</v>
      </c>
      <c r="O178">
        <v>0</v>
      </c>
      <c r="P178" t="b">
        <v>0</v>
      </c>
    </row>
    <row r="179" spans="1:16" x14ac:dyDescent="0.2">
      <c r="A179" t="s">
        <v>466</v>
      </c>
      <c r="B179" t="s">
        <v>225</v>
      </c>
      <c r="C179" t="s">
        <v>9</v>
      </c>
      <c r="D179" t="s">
        <v>38</v>
      </c>
      <c r="E179" t="s">
        <v>17</v>
      </c>
      <c r="F179">
        <v>90008</v>
      </c>
      <c r="G179" t="s">
        <v>18</v>
      </c>
      <c r="H179" t="s">
        <v>791</v>
      </c>
      <c r="I179" s="1">
        <v>42252</v>
      </c>
      <c r="J179" s="1">
        <v>42256</v>
      </c>
      <c r="K179">
        <v>4</v>
      </c>
      <c r="L179" t="s">
        <v>792</v>
      </c>
      <c r="M179">
        <v>4</v>
      </c>
      <c r="N179">
        <v>1</v>
      </c>
      <c r="O179">
        <v>0.15</v>
      </c>
      <c r="P179" t="b">
        <v>0</v>
      </c>
    </row>
    <row r="180" spans="1:16" x14ac:dyDescent="0.2">
      <c r="A180" t="s">
        <v>466</v>
      </c>
      <c r="B180" t="s">
        <v>225</v>
      </c>
      <c r="C180" t="s">
        <v>9</v>
      </c>
      <c r="D180" t="s">
        <v>38</v>
      </c>
      <c r="E180" t="s">
        <v>17</v>
      </c>
      <c r="F180">
        <v>90008</v>
      </c>
      <c r="G180" t="s">
        <v>18</v>
      </c>
      <c r="H180" t="s">
        <v>791</v>
      </c>
      <c r="I180" s="1">
        <v>42252</v>
      </c>
      <c r="J180" s="1">
        <v>42256</v>
      </c>
      <c r="K180">
        <v>4</v>
      </c>
      <c r="L180" t="s">
        <v>793</v>
      </c>
      <c r="M180">
        <v>6</v>
      </c>
      <c r="N180">
        <v>1</v>
      </c>
      <c r="O180">
        <v>0.2</v>
      </c>
      <c r="P180" t="b">
        <v>0</v>
      </c>
    </row>
    <row r="181" spans="1:16" x14ac:dyDescent="0.2">
      <c r="A181" t="s">
        <v>466</v>
      </c>
      <c r="B181" t="s">
        <v>225</v>
      </c>
      <c r="C181" t="s">
        <v>9</v>
      </c>
      <c r="D181" t="s">
        <v>38</v>
      </c>
      <c r="E181" t="s">
        <v>17</v>
      </c>
      <c r="F181">
        <v>90008</v>
      </c>
      <c r="G181" t="s">
        <v>18</v>
      </c>
      <c r="H181" t="s">
        <v>791</v>
      </c>
      <c r="I181" s="1">
        <v>42252</v>
      </c>
      <c r="J181" s="1">
        <v>42256</v>
      </c>
      <c r="K181">
        <v>4</v>
      </c>
      <c r="L181" t="s">
        <v>794</v>
      </c>
      <c r="M181">
        <v>3</v>
      </c>
      <c r="N181">
        <v>1</v>
      </c>
      <c r="O181">
        <v>0.15</v>
      </c>
      <c r="P181" t="b">
        <v>0</v>
      </c>
    </row>
    <row r="182" spans="1:16" x14ac:dyDescent="0.2">
      <c r="A182" t="s">
        <v>533</v>
      </c>
      <c r="B182" t="s">
        <v>324</v>
      </c>
      <c r="C182" t="s">
        <v>9</v>
      </c>
      <c r="D182" t="s">
        <v>145</v>
      </c>
      <c r="E182" t="s">
        <v>119</v>
      </c>
      <c r="F182">
        <v>49201</v>
      </c>
      <c r="G182" t="s">
        <v>12</v>
      </c>
      <c r="H182" t="s">
        <v>759</v>
      </c>
      <c r="I182" s="1">
        <v>43093</v>
      </c>
      <c r="J182" s="1">
        <v>43098</v>
      </c>
      <c r="K182">
        <v>3</v>
      </c>
      <c r="L182" t="s">
        <v>760</v>
      </c>
      <c r="M182">
        <v>3</v>
      </c>
      <c r="N182">
        <v>1</v>
      </c>
      <c r="O182">
        <v>0.2</v>
      </c>
      <c r="P182" t="b">
        <v>0</v>
      </c>
    </row>
    <row r="183" spans="1:16" x14ac:dyDescent="0.2">
      <c r="A183" t="s">
        <v>533</v>
      </c>
      <c r="B183" t="s">
        <v>324</v>
      </c>
      <c r="C183" t="s">
        <v>9</v>
      </c>
      <c r="D183" t="s">
        <v>145</v>
      </c>
      <c r="E183" t="s">
        <v>119</v>
      </c>
      <c r="F183">
        <v>49201</v>
      </c>
      <c r="G183" t="s">
        <v>12</v>
      </c>
      <c r="H183" t="s">
        <v>845</v>
      </c>
      <c r="I183" s="1">
        <v>42330</v>
      </c>
      <c r="J183" s="1">
        <v>42334</v>
      </c>
      <c r="K183">
        <v>3</v>
      </c>
      <c r="L183" t="s">
        <v>846</v>
      </c>
      <c r="M183">
        <v>3</v>
      </c>
      <c r="N183">
        <v>0</v>
      </c>
      <c r="O183">
        <v>0</v>
      </c>
      <c r="P183" t="b">
        <v>0</v>
      </c>
    </row>
    <row r="184" spans="1:16" x14ac:dyDescent="0.2">
      <c r="A184" t="s">
        <v>475</v>
      </c>
      <c r="B184" t="s">
        <v>240</v>
      </c>
      <c r="C184" t="s">
        <v>150</v>
      </c>
      <c r="D184" t="s">
        <v>108</v>
      </c>
      <c r="E184" t="s">
        <v>230</v>
      </c>
      <c r="F184">
        <v>89015</v>
      </c>
      <c r="G184" t="s">
        <v>18</v>
      </c>
      <c r="H184" t="s">
        <v>803</v>
      </c>
      <c r="I184" s="1">
        <v>42840</v>
      </c>
      <c r="J184" s="1">
        <v>42843</v>
      </c>
      <c r="K184">
        <v>2</v>
      </c>
      <c r="L184" t="s">
        <v>804</v>
      </c>
      <c r="M184">
        <v>5</v>
      </c>
      <c r="N184">
        <v>0</v>
      </c>
      <c r="O184">
        <v>0</v>
      </c>
      <c r="P184" t="b">
        <v>0</v>
      </c>
    </row>
    <row r="185" spans="1:16" x14ac:dyDescent="0.2">
      <c r="A185" t="s">
        <v>499</v>
      </c>
      <c r="B185" t="s">
        <v>273</v>
      </c>
      <c r="C185" t="s">
        <v>9</v>
      </c>
      <c r="D185" t="s">
        <v>97</v>
      </c>
      <c r="E185" t="s">
        <v>67</v>
      </c>
      <c r="F185">
        <v>19120</v>
      </c>
      <c r="G185" t="s">
        <v>27</v>
      </c>
      <c r="H185" t="s">
        <v>761</v>
      </c>
      <c r="I185" s="1">
        <v>43080</v>
      </c>
      <c r="J185" s="1">
        <v>43086</v>
      </c>
      <c r="K185">
        <v>4</v>
      </c>
      <c r="L185" t="s">
        <v>762</v>
      </c>
      <c r="M185">
        <v>1</v>
      </c>
      <c r="N185">
        <v>1</v>
      </c>
      <c r="O185">
        <v>0.3</v>
      </c>
      <c r="P185" t="b">
        <v>0</v>
      </c>
    </row>
    <row r="186" spans="1:16" x14ac:dyDescent="0.2">
      <c r="A186" t="s">
        <v>561</v>
      </c>
      <c r="B186" t="s">
        <v>368</v>
      </c>
      <c r="C186" t="s">
        <v>9</v>
      </c>
      <c r="D186" t="s">
        <v>369</v>
      </c>
      <c r="E186" t="s">
        <v>17</v>
      </c>
      <c r="F186">
        <v>93309</v>
      </c>
      <c r="G186" t="s">
        <v>18</v>
      </c>
      <c r="H186" t="s">
        <v>765</v>
      </c>
      <c r="I186" s="1">
        <v>42337</v>
      </c>
      <c r="J186" s="1">
        <v>42338</v>
      </c>
      <c r="K186">
        <v>4</v>
      </c>
      <c r="L186" t="s">
        <v>766</v>
      </c>
      <c r="M186">
        <v>3</v>
      </c>
      <c r="N186">
        <v>1</v>
      </c>
      <c r="O186">
        <v>0.2</v>
      </c>
      <c r="P186" t="b">
        <v>1</v>
      </c>
    </row>
    <row r="187" spans="1:16" x14ac:dyDescent="0.2">
      <c r="A187" t="s">
        <v>561</v>
      </c>
      <c r="B187" t="s">
        <v>368</v>
      </c>
      <c r="C187" t="s">
        <v>9</v>
      </c>
      <c r="D187" t="s">
        <v>369</v>
      </c>
      <c r="E187" t="s">
        <v>17</v>
      </c>
      <c r="F187">
        <v>93309</v>
      </c>
      <c r="G187" t="s">
        <v>18</v>
      </c>
      <c r="H187" t="s">
        <v>765</v>
      </c>
      <c r="I187" s="1">
        <v>42337</v>
      </c>
      <c r="J187" s="1">
        <v>42338</v>
      </c>
      <c r="K187">
        <v>4</v>
      </c>
      <c r="L187" t="s">
        <v>767</v>
      </c>
      <c r="M187">
        <v>4</v>
      </c>
      <c r="N187">
        <v>1</v>
      </c>
      <c r="O187">
        <v>0.8</v>
      </c>
      <c r="P187" t="b">
        <v>0</v>
      </c>
    </row>
    <row r="188" spans="1:16" x14ac:dyDescent="0.2">
      <c r="A188" t="s">
        <v>561</v>
      </c>
      <c r="B188" t="s">
        <v>368</v>
      </c>
      <c r="C188" t="s">
        <v>9</v>
      </c>
      <c r="D188" t="s">
        <v>369</v>
      </c>
      <c r="E188" t="s">
        <v>17</v>
      </c>
      <c r="F188">
        <v>93309</v>
      </c>
      <c r="G188" t="s">
        <v>18</v>
      </c>
      <c r="H188" t="s">
        <v>780</v>
      </c>
      <c r="I188" s="1">
        <v>43079</v>
      </c>
      <c r="J188" s="1">
        <v>43081</v>
      </c>
      <c r="K188">
        <v>4</v>
      </c>
      <c r="L188" t="s">
        <v>781</v>
      </c>
      <c r="M188">
        <v>2</v>
      </c>
      <c r="N188">
        <v>1</v>
      </c>
      <c r="O188">
        <v>0.2</v>
      </c>
      <c r="P188" t="b">
        <v>0</v>
      </c>
    </row>
    <row r="189" spans="1:16" x14ac:dyDescent="0.2">
      <c r="A189" t="s">
        <v>561</v>
      </c>
      <c r="B189" t="s">
        <v>368</v>
      </c>
      <c r="C189" t="s">
        <v>9</v>
      </c>
      <c r="D189" t="s">
        <v>369</v>
      </c>
      <c r="E189" t="s">
        <v>17</v>
      </c>
      <c r="F189">
        <v>93309</v>
      </c>
      <c r="G189" t="s">
        <v>18</v>
      </c>
      <c r="H189" t="s">
        <v>780</v>
      </c>
      <c r="I189" s="1">
        <v>43079</v>
      </c>
      <c r="J189" s="1">
        <v>43081</v>
      </c>
      <c r="K189">
        <v>4</v>
      </c>
      <c r="L189" t="s">
        <v>683</v>
      </c>
      <c r="M189">
        <v>2</v>
      </c>
      <c r="N189">
        <v>1</v>
      </c>
      <c r="O189">
        <v>0.2</v>
      </c>
      <c r="P189" t="b">
        <v>1</v>
      </c>
    </row>
    <row r="190" spans="1:16" x14ac:dyDescent="0.2">
      <c r="A190" t="s">
        <v>561</v>
      </c>
      <c r="B190" t="s">
        <v>368</v>
      </c>
      <c r="C190" t="s">
        <v>9</v>
      </c>
      <c r="D190" t="s">
        <v>369</v>
      </c>
      <c r="E190" t="s">
        <v>17</v>
      </c>
      <c r="F190">
        <v>93309</v>
      </c>
      <c r="G190" t="s">
        <v>18</v>
      </c>
      <c r="H190" t="s">
        <v>839</v>
      </c>
      <c r="I190" s="1">
        <v>42107</v>
      </c>
      <c r="J190" s="1">
        <v>42109</v>
      </c>
      <c r="K190">
        <v>4</v>
      </c>
      <c r="L190" t="s">
        <v>840</v>
      </c>
      <c r="M190">
        <v>1</v>
      </c>
      <c r="N190">
        <v>0</v>
      </c>
      <c r="O190">
        <v>0</v>
      </c>
      <c r="P190" t="b">
        <v>0</v>
      </c>
    </row>
    <row r="191" spans="1:16" x14ac:dyDescent="0.2">
      <c r="A191" t="s">
        <v>480</v>
      </c>
      <c r="B191" t="s">
        <v>247</v>
      </c>
      <c r="C191" t="s">
        <v>90</v>
      </c>
      <c r="D191" t="s">
        <v>151</v>
      </c>
      <c r="E191" t="s">
        <v>31</v>
      </c>
      <c r="F191">
        <v>85705</v>
      </c>
      <c r="G191" t="s">
        <v>18</v>
      </c>
      <c r="H191" t="s">
        <v>841</v>
      </c>
      <c r="I191" s="1">
        <v>41838</v>
      </c>
      <c r="J191" s="1">
        <v>41838</v>
      </c>
      <c r="K191">
        <v>1</v>
      </c>
      <c r="L191" t="s">
        <v>842</v>
      </c>
      <c r="M191">
        <v>4</v>
      </c>
      <c r="N191">
        <v>1</v>
      </c>
      <c r="O191">
        <v>0.2</v>
      </c>
      <c r="P191" t="b">
        <v>0</v>
      </c>
    </row>
    <row r="192" spans="1:16" x14ac:dyDescent="0.2">
      <c r="A192" t="s">
        <v>549</v>
      </c>
      <c r="B192" t="s">
        <v>348</v>
      </c>
      <c r="C192" t="s">
        <v>9</v>
      </c>
      <c r="D192" t="s">
        <v>349</v>
      </c>
      <c r="E192" t="s">
        <v>137</v>
      </c>
      <c r="F192">
        <v>44105</v>
      </c>
      <c r="G192" t="s">
        <v>27</v>
      </c>
      <c r="H192" t="s">
        <v>777</v>
      </c>
      <c r="I192" s="1">
        <v>42907</v>
      </c>
      <c r="J192" s="1">
        <v>42911</v>
      </c>
      <c r="K192">
        <v>3</v>
      </c>
      <c r="L192" t="s">
        <v>778</v>
      </c>
      <c r="M192">
        <v>5</v>
      </c>
      <c r="N192">
        <v>1</v>
      </c>
      <c r="O192">
        <v>0.2</v>
      </c>
      <c r="P192" t="b">
        <v>0</v>
      </c>
    </row>
    <row r="193" spans="1:16" x14ac:dyDescent="0.2">
      <c r="A193" t="s">
        <v>549</v>
      </c>
      <c r="B193" t="s">
        <v>348</v>
      </c>
      <c r="C193" t="s">
        <v>9</v>
      </c>
      <c r="D193" t="s">
        <v>349</v>
      </c>
      <c r="E193" t="s">
        <v>137</v>
      </c>
      <c r="F193">
        <v>44105</v>
      </c>
      <c r="G193" t="s">
        <v>27</v>
      </c>
      <c r="H193" t="s">
        <v>777</v>
      </c>
      <c r="I193" s="1">
        <v>42907</v>
      </c>
      <c r="J193" s="1">
        <v>42911</v>
      </c>
      <c r="K193">
        <v>3</v>
      </c>
      <c r="L193" t="s">
        <v>779</v>
      </c>
      <c r="M193">
        <v>6</v>
      </c>
      <c r="N193">
        <v>1</v>
      </c>
      <c r="O193">
        <v>0.7</v>
      </c>
      <c r="P193" t="b">
        <v>0</v>
      </c>
    </row>
    <row r="194" spans="1:16" x14ac:dyDescent="0.2">
      <c r="A194" t="s">
        <v>549</v>
      </c>
      <c r="B194" t="s">
        <v>348</v>
      </c>
      <c r="C194" t="s">
        <v>9</v>
      </c>
      <c r="D194" t="s">
        <v>349</v>
      </c>
      <c r="E194" t="s">
        <v>137</v>
      </c>
      <c r="F194">
        <v>44105</v>
      </c>
      <c r="G194" t="s">
        <v>27</v>
      </c>
      <c r="H194" t="s">
        <v>847</v>
      </c>
      <c r="I194" s="1">
        <v>42546</v>
      </c>
      <c r="J194" s="1">
        <v>42550</v>
      </c>
      <c r="K194">
        <v>3</v>
      </c>
      <c r="L194" t="s">
        <v>848</v>
      </c>
      <c r="M194">
        <v>3</v>
      </c>
      <c r="N194">
        <v>0</v>
      </c>
      <c r="O194">
        <v>0</v>
      </c>
      <c r="P194" t="b">
        <v>0</v>
      </c>
    </row>
    <row r="195" spans="1:16" x14ac:dyDescent="0.2">
      <c r="A195" t="s">
        <v>539</v>
      </c>
      <c r="B195" t="s">
        <v>333</v>
      </c>
      <c r="C195" t="s">
        <v>9</v>
      </c>
      <c r="D195" t="s">
        <v>270</v>
      </c>
      <c r="E195" t="s">
        <v>334</v>
      </c>
      <c r="F195">
        <v>65807</v>
      </c>
      <c r="G195" t="s">
        <v>12</v>
      </c>
      <c r="H195" t="s">
        <v>805</v>
      </c>
      <c r="I195" s="1">
        <v>43071</v>
      </c>
      <c r="J195" s="1">
        <v>43074</v>
      </c>
      <c r="K195">
        <v>4</v>
      </c>
      <c r="L195" t="s">
        <v>806</v>
      </c>
      <c r="M195">
        <v>3</v>
      </c>
      <c r="N195">
        <v>0</v>
      </c>
      <c r="O195">
        <v>0</v>
      </c>
      <c r="P195" t="b">
        <v>0</v>
      </c>
    </row>
    <row r="196" spans="1:16" x14ac:dyDescent="0.2">
      <c r="A196" t="s">
        <v>539</v>
      </c>
      <c r="B196" t="s">
        <v>333</v>
      </c>
      <c r="C196" t="s">
        <v>9</v>
      </c>
      <c r="D196" t="s">
        <v>270</v>
      </c>
      <c r="E196" t="s">
        <v>334</v>
      </c>
      <c r="F196">
        <v>65807</v>
      </c>
      <c r="G196" t="s">
        <v>12</v>
      </c>
      <c r="H196" t="s">
        <v>830</v>
      </c>
      <c r="I196" s="1">
        <v>42317</v>
      </c>
      <c r="J196" s="1">
        <v>42321</v>
      </c>
      <c r="K196">
        <v>4</v>
      </c>
      <c r="L196" t="s">
        <v>831</v>
      </c>
      <c r="M196">
        <v>3</v>
      </c>
      <c r="N196">
        <v>0</v>
      </c>
      <c r="O196">
        <v>0</v>
      </c>
      <c r="P196" t="b">
        <v>0</v>
      </c>
    </row>
    <row r="197" spans="1:16" x14ac:dyDescent="0.2">
      <c r="A197" t="s">
        <v>539</v>
      </c>
      <c r="B197" t="s">
        <v>333</v>
      </c>
      <c r="C197" t="s">
        <v>9</v>
      </c>
      <c r="D197" t="s">
        <v>270</v>
      </c>
      <c r="E197" t="s">
        <v>334</v>
      </c>
      <c r="F197">
        <v>65807</v>
      </c>
      <c r="G197" t="s">
        <v>12</v>
      </c>
      <c r="H197" t="s">
        <v>830</v>
      </c>
      <c r="I197" s="1">
        <v>42317</v>
      </c>
      <c r="J197" s="1">
        <v>42321</v>
      </c>
      <c r="K197">
        <v>4</v>
      </c>
      <c r="L197" t="s">
        <v>832</v>
      </c>
      <c r="M197">
        <v>7</v>
      </c>
      <c r="N197">
        <v>0</v>
      </c>
      <c r="O197">
        <v>0</v>
      </c>
      <c r="P197" t="b">
        <v>0</v>
      </c>
    </row>
    <row r="198" spans="1:16" x14ac:dyDescent="0.2">
      <c r="A198" t="s">
        <v>539</v>
      </c>
      <c r="B198" t="s">
        <v>333</v>
      </c>
      <c r="C198" t="s">
        <v>9</v>
      </c>
      <c r="D198" t="s">
        <v>270</v>
      </c>
      <c r="E198" t="s">
        <v>334</v>
      </c>
      <c r="F198">
        <v>65807</v>
      </c>
      <c r="G198" t="s">
        <v>12</v>
      </c>
      <c r="H198" t="s">
        <v>830</v>
      </c>
      <c r="I198" s="1">
        <v>42317</v>
      </c>
      <c r="J198" s="1">
        <v>42321</v>
      </c>
      <c r="K198">
        <v>4</v>
      </c>
      <c r="L198" t="s">
        <v>833</v>
      </c>
      <c r="M198">
        <v>3</v>
      </c>
      <c r="N198">
        <v>0</v>
      </c>
      <c r="O198">
        <v>0</v>
      </c>
      <c r="P198" t="b">
        <v>0</v>
      </c>
    </row>
    <row r="199" spans="1:16" x14ac:dyDescent="0.2">
      <c r="A199" t="s">
        <v>539</v>
      </c>
      <c r="B199" t="s">
        <v>333</v>
      </c>
      <c r="C199" t="s">
        <v>9</v>
      </c>
      <c r="D199" t="s">
        <v>270</v>
      </c>
      <c r="E199" t="s">
        <v>334</v>
      </c>
      <c r="F199">
        <v>65807</v>
      </c>
      <c r="G199" t="s">
        <v>12</v>
      </c>
      <c r="H199" t="s">
        <v>830</v>
      </c>
      <c r="I199" s="1">
        <v>42317</v>
      </c>
      <c r="J199" s="1">
        <v>42321</v>
      </c>
      <c r="K199">
        <v>4</v>
      </c>
      <c r="L199" t="s">
        <v>834</v>
      </c>
      <c r="M199">
        <v>3</v>
      </c>
      <c r="N199">
        <v>0</v>
      </c>
      <c r="O199">
        <v>0</v>
      </c>
      <c r="P199" t="b">
        <v>0</v>
      </c>
    </row>
    <row r="200" spans="1:16" x14ac:dyDescent="0.2">
      <c r="A200" t="s">
        <v>539</v>
      </c>
      <c r="B200" t="s">
        <v>333</v>
      </c>
      <c r="C200" t="s">
        <v>9</v>
      </c>
      <c r="D200" t="s">
        <v>270</v>
      </c>
      <c r="E200" t="s">
        <v>334</v>
      </c>
      <c r="F200">
        <v>65807</v>
      </c>
      <c r="G200" t="s">
        <v>12</v>
      </c>
      <c r="H200" t="s">
        <v>875</v>
      </c>
      <c r="I200" s="1">
        <v>42826</v>
      </c>
      <c r="J200" s="1">
        <v>42829</v>
      </c>
      <c r="K200">
        <v>4</v>
      </c>
      <c r="L200" t="s">
        <v>745</v>
      </c>
      <c r="M200">
        <v>6</v>
      </c>
      <c r="N200">
        <v>0</v>
      </c>
      <c r="O200">
        <v>0</v>
      </c>
      <c r="P200" t="b">
        <v>0</v>
      </c>
    </row>
    <row r="201" spans="1:16" x14ac:dyDescent="0.2">
      <c r="A201" t="s">
        <v>539</v>
      </c>
      <c r="B201" t="s">
        <v>333</v>
      </c>
      <c r="C201" t="s">
        <v>9</v>
      </c>
      <c r="D201" t="s">
        <v>270</v>
      </c>
      <c r="E201" t="s">
        <v>334</v>
      </c>
      <c r="F201">
        <v>65807</v>
      </c>
      <c r="G201" t="s">
        <v>12</v>
      </c>
      <c r="H201" t="s">
        <v>875</v>
      </c>
      <c r="I201" s="1">
        <v>42826</v>
      </c>
      <c r="J201" s="1">
        <v>42829</v>
      </c>
      <c r="K201">
        <v>4</v>
      </c>
      <c r="L201" t="s">
        <v>876</v>
      </c>
      <c r="M201">
        <v>5</v>
      </c>
      <c r="N201">
        <v>0</v>
      </c>
      <c r="O201">
        <v>0</v>
      </c>
      <c r="P201" t="b">
        <v>0</v>
      </c>
    </row>
    <row r="202" spans="1:16" x14ac:dyDescent="0.2">
      <c r="A202" t="s">
        <v>554</v>
      </c>
      <c r="B202" t="s">
        <v>357</v>
      </c>
      <c r="C202" t="s">
        <v>90</v>
      </c>
      <c r="D202" t="s">
        <v>358</v>
      </c>
      <c r="E202" t="s">
        <v>166</v>
      </c>
      <c r="F202">
        <v>33437</v>
      </c>
      <c r="G202" t="s">
        <v>47</v>
      </c>
      <c r="H202" t="s">
        <v>809</v>
      </c>
      <c r="I202" s="1">
        <v>42855</v>
      </c>
      <c r="J202" s="1">
        <v>42860</v>
      </c>
      <c r="K202">
        <v>4</v>
      </c>
      <c r="L202" t="s">
        <v>810</v>
      </c>
      <c r="M202">
        <v>2</v>
      </c>
      <c r="N202">
        <v>1</v>
      </c>
      <c r="O202">
        <v>0.2</v>
      </c>
      <c r="P202" t="b">
        <v>0</v>
      </c>
    </row>
    <row r="203" spans="1:16" x14ac:dyDescent="0.2">
      <c r="A203" t="s">
        <v>554</v>
      </c>
      <c r="B203" t="s">
        <v>357</v>
      </c>
      <c r="C203" t="s">
        <v>90</v>
      </c>
      <c r="D203" t="s">
        <v>358</v>
      </c>
      <c r="E203" t="s">
        <v>166</v>
      </c>
      <c r="F203">
        <v>33437</v>
      </c>
      <c r="G203" t="s">
        <v>47</v>
      </c>
      <c r="H203" t="s">
        <v>809</v>
      </c>
      <c r="I203" s="1">
        <v>42855</v>
      </c>
      <c r="J203" s="1">
        <v>42860</v>
      </c>
      <c r="K203">
        <v>4</v>
      </c>
      <c r="L203" t="s">
        <v>811</v>
      </c>
      <c r="M203">
        <v>3</v>
      </c>
      <c r="N203">
        <v>1</v>
      </c>
      <c r="O203">
        <v>0.2</v>
      </c>
      <c r="P203" t="b">
        <v>0</v>
      </c>
    </row>
    <row r="204" spans="1:16" x14ac:dyDescent="0.2">
      <c r="A204" t="s">
        <v>554</v>
      </c>
      <c r="B204" t="s">
        <v>357</v>
      </c>
      <c r="C204" t="s">
        <v>90</v>
      </c>
      <c r="D204" t="s">
        <v>358</v>
      </c>
      <c r="E204" t="s">
        <v>166</v>
      </c>
      <c r="F204">
        <v>33437</v>
      </c>
      <c r="G204" t="s">
        <v>47</v>
      </c>
      <c r="H204" t="s">
        <v>809</v>
      </c>
      <c r="I204" s="1">
        <v>42855</v>
      </c>
      <c r="J204" s="1">
        <v>42860</v>
      </c>
      <c r="K204">
        <v>4</v>
      </c>
      <c r="L204" t="s">
        <v>705</v>
      </c>
      <c r="M204">
        <v>3</v>
      </c>
      <c r="N204">
        <v>1</v>
      </c>
      <c r="O204">
        <v>0.2</v>
      </c>
      <c r="P204" t="b">
        <v>0</v>
      </c>
    </row>
    <row r="205" spans="1:16" x14ac:dyDescent="0.2">
      <c r="A205" t="s">
        <v>554</v>
      </c>
      <c r="B205" t="s">
        <v>357</v>
      </c>
      <c r="C205" t="s">
        <v>90</v>
      </c>
      <c r="D205" t="s">
        <v>358</v>
      </c>
      <c r="E205" t="s">
        <v>166</v>
      </c>
      <c r="F205">
        <v>33437</v>
      </c>
      <c r="G205" t="s">
        <v>47</v>
      </c>
      <c r="H205" t="s">
        <v>877</v>
      </c>
      <c r="I205" s="1">
        <v>41852</v>
      </c>
      <c r="J205" s="1">
        <v>41857</v>
      </c>
      <c r="K205">
        <v>4</v>
      </c>
      <c r="L205" t="s">
        <v>878</v>
      </c>
      <c r="M205">
        <v>2</v>
      </c>
      <c r="N205">
        <v>1</v>
      </c>
      <c r="O205">
        <v>0.2</v>
      </c>
      <c r="P205" t="b">
        <v>0</v>
      </c>
    </row>
    <row r="206" spans="1:16" x14ac:dyDescent="0.2">
      <c r="A206" t="s">
        <v>514</v>
      </c>
      <c r="B206" t="s">
        <v>296</v>
      </c>
      <c r="C206" t="s">
        <v>150</v>
      </c>
      <c r="D206" t="s">
        <v>38</v>
      </c>
      <c r="E206" t="s">
        <v>17</v>
      </c>
      <c r="F206">
        <v>90032</v>
      </c>
      <c r="G206" t="s">
        <v>18</v>
      </c>
      <c r="H206" t="s">
        <v>866</v>
      </c>
      <c r="I206" s="1">
        <v>43071</v>
      </c>
      <c r="J206" s="1">
        <v>43072</v>
      </c>
      <c r="K206">
        <v>1</v>
      </c>
      <c r="L206" t="s">
        <v>868</v>
      </c>
      <c r="M206">
        <v>2</v>
      </c>
      <c r="N206">
        <v>1</v>
      </c>
      <c r="O206">
        <v>0.2</v>
      </c>
      <c r="P206" t="b">
        <v>0</v>
      </c>
    </row>
    <row r="207" spans="1:16" x14ac:dyDescent="0.2">
      <c r="A207" t="s">
        <v>514</v>
      </c>
      <c r="B207" t="s">
        <v>296</v>
      </c>
      <c r="C207" t="s">
        <v>150</v>
      </c>
      <c r="D207" t="s">
        <v>38</v>
      </c>
      <c r="E207" t="s">
        <v>17</v>
      </c>
      <c r="F207">
        <v>90032</v>
      </c>
      <c r="G207" t="s">
        <v>18</v>
      </c>
      <c r="H207" t="s">
        <v>866</v>
      </c>
      <c r="I207" s="1">
        <v>43071</v>
      </c>
      <c r="J207" s="1">
        <v>43072</v>
      </c>
      <c r="K207">
        <v>1</v>
      </c>
      <c r="L207" t="s">
        <v>869</v>
      </c>
      <c r="M207">
        <v>2</v>
      </c>
      <c r="N207">
        <v>0</v>
      </c>
      <c r="O207">
        <v>0</v>
      </c>
      <c r="P207" t="b">
        <v>0</v>
      </c>
    </row>
    <row r="208" spans="1:16" x14ac:dyDescent="0.2">
      <c r="A208" t="s">
        <v>514</v>
      </c>
      <c r="B208" t="s">
        <v>296</v>
      </c>
      <c r="C208" t="s">
        <v>150</v>
      </c>
      <c r="D208" t="s">
        <v>38</v>
      </c>
      <c r="E208" t="s">
        <v>17</v>
      </c>
      <c r="F208">
        <v>90032</v>
      </c>
      <c r="G208" t="s">
        <v>18</v>
      </c>
      <c r="H208" t="s">
        <v>866</v>
      </c>
      <c r="I208" s="1">
        <v>43071</v>
      </c>
      <c r="J208" s="1">
        <v>43072</v>
      </c>
      <c r="K208">
        <v>1</v>
      </c>
      <c r="L208" t="s">
        <v>859</v>
      </c>
      <c r="M208">
        <v>3</v>
      </c>
      <c r="N208">
        <v>0</v>
      </c>
      <c r="O208">
        <v>0</v>
      </c>
      <c r="P208" t="b">
        <v>0</v>
      </c>
    </row>
    <row r="209" spans="1:16" x14ac:dyDescent="0.2">
      <c r="A209" t="s">
        <v>514</v>
      </c>
      <c r="B209" t="s">
        <v>296</v>
      </c>
      <c r="C209" t="s">
        <v>150</v>
      </c>
      <c r="D209" t="s">
        <v>38</v>
      </c>
      <c r="E209" t="s">
        <v>17</v>
      </c>
      <c r="F209">
        <v>90032</v>
      </c>
      <c r="G209" t="s">
        <v>18</v>
      </c>
      <c r="H209" t="s">
        <v>866</v>
      </c>
      <c r="I209" s="1">
        <v>43071</v>
      </c>
      <c r="J209" s="1">
        <v>43072</v>
      </c>
      <c r="K209">
        <v>1</v>
      </c>
      <c r="L209" t="s">
        <v>870</v>
      </c>
      <c r="M209">
        <v>6</v>
      </c>
      <c r="N209">
        <v>0</v>
      </c>
      <c r="O209">
        <v>0</v>
      </c>
      <c r="P209" t="b">
        <v>0</v>
      </c>
    </row>
    <row r="210" spans="1:16" x14ac:dyDescent="0.2">
      <c r="A210" t="s">
        <v>515</v>
      </c>
      <c r="B210" t="s">
        <v>297</v>
      </c>
      <c r="C210" t="s">
        <v>9</v>
      </c>
      <c r="D210" t="s">
        <v>298</v>
      </c>
      <c r="E210" t="s">
        <v>299</v>
      </c>
      <c r="F210">
        <v>36830</v>
      </c>
      <c r="G210" t="s">
        <v>47</v>
      </c>
      <c r="H210" t="s">
        <v>835</v>
      </c>
      <c r="I210" s="1">
        <v>42631</v>
      </c>
      <c r="J210" s="1">
        <v>42636</v>
      </c>
      <c r="K210">
        <v>4</v>
      </c>
      <c r="L210" t="s">
        <v>836</v>
      </c>
      <c r="M210">
        <v>1</v>
      </c>
      <c r="N210">
        <v>0</v>
      </c>
      <c r="O210">
        <v>0</v>
      </c>
      <c r="P210" t="b">
        <v>1</v>
      </c>
    </row>
    <row r="211" spans="1:16" x14ac:dyDescent="0.2">
      <c r="A211" t="s">
        <v>515</v>
      </c>
      <c r="B211" t="s">
        <v>297</v>
      </c>
      <c r="C211" t="s">
        <v>9</v>
      </c>
      <c r="D211" t="s">
        <v>298</v>
      </c>
      <c r="E211" t="s">
        <v>299</v>
      </c>
      <c r="F211">
        <v>36830</v>
      </c>
      <c r="G211" t="s">
        <v>47</v>
      </c>
      <c r="H211" t="s">
        <v>835</v>
      </c>
      <c r="I211" s="1">
        <v>42631</v>
      </c>
      <c r="J211" s="1">
        <v>42636</v>
      </c>
      <c r="K211">
        <v>4</v>
      </c>
      <c r="L211" t="s">
        <v>837</v>
      </c>
      <c r="M211">
        <v>2</v>
      </c>
      <c r="N211">
        <v>0</v>
      </c>
      <c r="O211">
        <v>0</v>
      </c>
      <c r="P211" t="b">
        <v>0</v>
      </c>
    </row>
    <row r="212" spans="1:16" x14ac:dyDescent="0.2">
      <c r="A212" t="s">
        <v>515</v>
      </c>
      <c r="B212" t="s">
        <v>297</v>
      </c>
      <c r="C212" t="s">
        <v>9</v>
      </c>
      <c r="D212" t="s">
        <v>298</v>
      </c>
      <c r="E212" t="s">
        <v>299</v>
      </c>
      <c r="F212">
        <v>36830</v>
      </c>
      <c r="G212" t="s">
        <v>47</v>
      </c>
      <c r="H212" t="s">
        <v>835</v>
      </c>
      <c r="I212" s="1">
        <v>42631</v>
      </c>
      <c r="J212" s="1">
        <v>42636</v>
      </c>
      <c r="K212">
        <v>4</v>
      </c>
      <c r="L212" t="s">
        <v>838</v>
      </c>
      <c r="M212">
        <v>4</v>
      </c>
      <c r="N212">
        <v>0</v>
      </c>
      <c r="O212">
        <v>0</v>
      </c>
      <c r="P212" t="b">
        <v>0</v>
      </c>
    </row>
    <row r="213" spans="1:16" x14ac:dyDescent="0.2">
      <c r="A213" t="s">
        <v>515</v>
      </c>
      <c r="B213" t="s">
        <v>297</v>
      </c>
      <c r="C213" t="s">
        <v>9</v>
      </c>
      <c r="D213" t="s">
        <v>298</v>
      </c>
      <c r="E213" t="s">
        <v>299</v>
      </c>
      <c r="F213">
        <v>36830</v>
      </c>
      <c r="G213" t="s">
        <v>47</v>
      </c>
      <c r="H213" t="s">
        <v>888</v>
      </c>
      <c r="I213" s="1">
        <v>42272</v>
      </c>
      <c r="J213" s="1">
        <v>42278</v>
      </c>
      <c r="K213">
        <v>4</v>
      </c>
      <c r="L213" t="s">
        <v>706</v>
      </c>
      <c r="M213">
        <v>2</v>
      </c>
      <c r="N213">
        <v>0</v>
      </c>
      <c r="O213">
        <v>0</v>
      </c>
      <c r="P213" t="b">
        <v>1</v>
      </c>
    </row>
    <row r="214" spans="1:16" x14ac:dyDescent="0.2">
      <c r="A214" t="s">
        <v>525</v>
      </c>
      <c r="B214" t="s">
        <v>312</v>
      </c>
      <c r="C214" t="s">
        <v>9</v>
      </c>
      <c r="D214" t="s">
        <v>85</v>
      </c>
      <c r="E214" t="s">
        <v>86</v>
      </c>
      <c r="F214">
        <v>98105</v>
      </c>
      <c r="G214" t="s">
        <v>18</v>
      </c>
      <c r="H214" t="s">
        <v>849</v>
      </c>
      <c r="I214" s="1">
        <v>42714</v>
      </c>
      <c r="J214" s="1">
        <v>42721</v>
      </c>
      <c r="K214">
        <v>4</v>
      </c>
      <c r="L214" t="s">
        <v>850</v>
      </c>
      <c r="M214">
        <v>3</v>
      </c>
      <c r="N214">
        <v>1</v>
      </c>
      <c r="O214">
        <v>0.2</v>
      </c>
      <c r="P214" t="b">
        <v>0</v>
      </c>
    </row>
    <row r="215" spans="1:16" x14ac:dyDescent="0.2">
      <c r="A215" t="s">
        <v>525</v>
      </c>
      <c r="B215" t="s">
        <v>312</v>
      </c>
      <c r="C215" t="s">
        <v>9</v>
      </c>
      <c r="D215" t="s">
        <v>85</v>
      </c>
      <c r="E215" t="s">
        <v>86</v>
      </c>
      <c r="F215">
        <v>98105</v>
      </c>
      <c r="G215" t="s">
        <v>18</v>
      </c>
      <c r="H215" t="s">
        <v>849</v>
      </c>
      <c r="I215" s="1">
        <v>42714</v>
      </c>
      <c r="J215" s="1">
        <v>42721</v>
      </c>
      <c r="K215">
        <v>4</v>
      </c>
      <c r="L215" t="s">
        <v>788</v>
      </c>
      <c r="M215">
        <v>3</v>
      </c>
      <c r="N215">
        <v>0</v>
      </c>
      <c r="O215">
        <v>0</v>
      </c>
      <c r="P215" t="b">
        <v>0</v>
      </c>
    </row>
    <row r="216" spans="1:16" x14ac:dyDescent="0.2">
      <c r="A216" t="s">
        <v>525</v>
      </c>
      <c r="B216" t="s">
        <v>312</v>
      </c>
      <c r="C216" t="s">
        <v>9</v>
      </c>
      <c r="D216" t="s">
        <v>85</v>
      </c>
      <c r="E216" t="s">
        <v>86</v>
      </c>
      <c r="F216">
        <v>98105</v>
      </c>
      <c r="G216" t="s">
        <v>18</v>
      </c>
      <c r="H216" t="s">
        <v>849</v>
      </c>
      <c r="I216" s="1">
        <v>42714</v>
      </c>
      <c r="J216" s="1">
        <v>42721</v>
      </c>
      <c r="K216">
        <v>4</v>
      </c>
      <c r="L216" t="s">
        <v>851</v>
      </c>
      <c r="M216">
        <v>4</v>
      </c>
      <c r="N216">
        <v>0</v>
      </c>
      <c r="O216">
        <v>0</v>
      </c>
      <c r="P216" t="b">
        <v>0</v>
      </c>
    </row>
    <row r="217" spans="1:16" x14ac:dyDescent="0.2">
      <c r="A217" t="s">
        <v>525</v>
      </c>
      <c r="B217" t="s">
        <v>312</v>
      </c>
      <c r="C217" t="s">
        <v>9</v>
      </c>
      <c r="D217" t="s">
        <v>85</v>
      </c>
      <c r="E217" t="s">
        <v>86</v>
      </c>
      <c r="F217">
        <v>98105</v>
      </c>
      <c r="G217" t="s">
        <v>18</v>
      </c>
      <c r="H217" t="s">
        <v>849</v>
      </c>
      <c r="I217" s="1">
        <v>42714</v>
      </c>
      <c r="J217" s="1">
        <v>42721</v>
      </c>
      <c r="K217">
        <v>4</v>
      </c>
      <c r="L217" t="s">
        <v>852</v>
      </c>
      <c r="M217">
        <v>3</v>
      </c>
      <c r="N217">
        <v>0</v>
      </c>
      <c r="O217">
        <v>0</v>
      </c>
      <c r="P217" t="b">
        <v>1</v>
      </c>
    </row>
    <row r="218" spans="1:16" x14ac:dyDescent="0.2">
      <c r="A218" t="s">
        <v>525</v>
      </c>
      <c r="B218" t="s">
        <v>312</v>
      </c>
      <c r="C218" t="s">
        <v>9</v>
      </c>
      <c r="D218" t="s">
        <v>85</v>
      </c>
      <c r="E218" t="s">
        <v>86</v>
      </c>
      <c r="F218">
        <v>98105</v>
      </c>
      <c r="G218" t="s">
        <v>18</v>
      </c>
      <c r="H218" t="s">
        <v>849</v>
      </c>
      <c r="I218" s="1">
        <v>42714</v>
      </c>
      <c r="J218" s="1">
        <v>42721</v>
      </c>
      <c r="K218">
        <v>4</v>
      </c>
      <c r="L218" t="s">
        <v>766</v>
      </c>
      <c r="M218">
        <v>5</v>
      </c>
      <c r="N218">
        <v>0</v>
      </c>
      <c r="O218">
        <v>0</v>
      </c>
      <c r="P218" t="b">
        <v>0</v>
      </c>
    </row>
    <row r="219" spans="1:16" x14ac:dyDescent="0.2">
      <c r="A219" t="s">
        <v>562</v>
      </c>
      <c r="B219" t="s">
        <v>370</v>
      </c>
      <c r="C219" t="s">
        <v>90</v>
      </c>
      <c r="D219" t="s">
        <v>371</v>
      </c>
      <c r="E219" t="s">
        <v>124</v>
      </c>
      <c r="F219">
        <v>60505</v>
      </c>
      <c r="G219" t="s">
        <v>12</v>
      </c>
      <c r="H219" t="s">
        <v>855</v>
      </c>
      <c r="I219" s="1">
        <v>41834</v>
      </c>
      <c r="J219" s="1">
        <v>41840</v>
      </c>
      <c r="K219">
        <v>4</v>
      </c>
      <c r="L219" t="s">
        <v>856</v>
      </c>
      <c r="M219">
        <v>7</v>
      </c>
      <c r="N219">
        <v>1</v>
      </c>
      <c r="O219">
        <v>0.8</v>
      </c>
      <c r="P219" t="b">
        <v>0</v>
      </c>
    </row>
    <row r="220" spans="1:16" x14ac:dyDescent="0.2">
      <c r="A220" t="s">
        <v>562</v>
      </c>
      <c r="B220" t="s">
        <v>370</v>
      </c>
      <c r="C220" t="s">
        <v>90</v>
      </c>
      <c r="D220" t="s">
        <v>371</v>
      </c>
      <c r="E220" t="s">
        <v>124</v>
      </c>
      <c r="F220">
        <v>60505</v>
      </c>
      <c r="G220" t="s">
        <v>12</v>
      </c>
      <c r="H220" t="s">
        <v>855</v>
      </c>
      <c r="I220" s="1">
        <v>41834</v>
      </c>
      <c r="J220" s="1">
        <v>41840</v>
      </c>
      <c r="K220">
        <v>4</v>
      </c>
      <c r="L220" t="s">
        <v>688</v>
      </c>
      <c r="M220">
        <v>4</v>
      </c>
      <c r="N220">
        <v>1</v>
      </c>
      <c r="O220">
        <v>0.2</v>
      </c>
      <c r="P220" t="b">
        <v>0</v>
      </c>
    </row>
    <row r="221" spans="1:16" x14ac:dyDescent="0.2">
      <c r="A221" t="s">
        <v>568</v>
      </c>
      <c r="B221" t="s">
        <v>379</v>
      </c>
      <c r="C221" t="s">
        <v>9</v>
      </c>
      <c r="D221" t="s">
        <v>380</v>
      </c>
      <c r="E221" t="s">
        <v>124</v>
      </c>
      <c r="F221">
        <v>60090</v>
      </c>
      <c r="G221" t="s">
        <v>12</v>
      </c>
      <c r="H221" t="s">
        <v>879</v>
      </c>
      <c r="I221" s="1">
        <v>41723</v>
      </c>
      <c r="J221" s="1">
        <v>41730</v>
      </c>
      <c r="K221">
        <v>4</v>
      </c>
      <c r="L221" t="s">
        <v>880</v>
      </c>
      <c r="M221">
        <v>7</v>
      </c>
      <c r="N221">
        <v>1</v>
      </c>
      <c r="O221">
        <v>0.1</v>
      </c>
      <c r="P221" t="b">
        <v>0</v>
      </c>
    </row>
    <row r="222" spans="1:16" x14ac:dyDescent="0.2">
      <c r="A222" t="s">
        <v>562</v>
      </c>
      <c r="B222" t="s">
        <v>370</v>
      </c>
      <c r="C222" t="s">
        <v>90</v>
      </c>
      <c r="D222" t="s">
        <v>371</v>
      </c>
      <c r="E222" t="s">
        <v>124</v>
      </c>
      <c r="F222">
        <v>60505</v>
      </c>
      <c r="G222" t="s">
        <v>12</v>
      </c>
      <c r="H222" t="s">
        <v>891</v>
      </c>
      <c r="I222" s="1">
        <v>42692</v>
      </c>
      <c r="J222" s="1">
        <v>42697</v>
      </c>
      <c r="K222">
        <v>4</v>
      </c>
      <c r="L222" t="s">
        <v>892</v>
      </c>
      <c r="M222">
        <v>4</v>
      </c>
      <c r="N222">
        <v>0</v>
      </c>
      <c r="O222">
        <v>0</v>
      </c>
      <c r="P222" t="b">
        <v>0</v>
      </c>
    </row>
    <row r="223" spans="1:16" x14ac:dyDescent="0.2">
      <c r="A223" t="s">
        <v>521</v>
      </c>
      <c r="B223" t="s">
        <v>306</v>
      </c>
      <c r="C223" t="s">
        <v>90</v>
      </c>
      <c r="D223" t="s">
        <v>307</v>
      </c>
      <c r="E223" t="s">
        <v>79</v>
      </c>
      <c r="F223">
        <v>2148</v>
      </c>
      <c r="G223" t="s">
        <v>27</v>
      </c>
      <c r="H223" t="s">
        <v>893</v>
      </c>
      <c r="I223" s="1">
        <v>42621</v>
      </c>
      <c r="J223" s="1">
        <v>42627</v>
      </c>
      <c r="K223">
        <v>4</v>
      </c>
      <c r="L223" t="s">
        <v>894</v>
      </c>
      <c r="M223">
        <v>3</v>
      </c>
      <c r="N223">
        <v>0</v>
      </c>
      <c r="O223">
        <v>0</v>
      </c>
      <c r="P223" t="b">
        <v>0</v>
      </c>
    </row>
    <row r="224" spans="1:16" x14ac:dyDescent="0.2">
      <c r="A224" t="s">
        <v>521</v>
      </c>
      <c r="B224" t="s">
        <v>306</v>
      </c>
      <c r="C224" t="s">
        <v>90</v>
      </c>
      <c r="D224" t="s">
        <v>307</v>
      </c>
      <c r="E224" t="s">
        <v>79</v>
      </c>
      <c r="F224">
        <v>2148</v>
      </c>
      <c r="G224" t="s">
        <v>27</v>
      </c>
      <c r="H224" t="s">
        <v>893</v>
      </c>
      <c r="I224" s="1">
        <v>42621</v>
      </c>
      <c r="J224" s="1">
        <v>42627</v>
      </c>
      <c r="K224">
        <v>4</v>
      </c>
      <c r="L224" t="s">
        <v>895</v>
      </c>
      <c r="M224">
        <v>4</v>
      </c>
      <c r="N224">
        <v>0</v>
      </c>
      <c r="O224">
        <v>0</v>
      </c>
      <c r="P224" t="b">
        <v>0</v>
      </c>
    </row>
    <row r="225" spans="1:16" x14ac:dyDescent="0.2">
      <c r="A225" t="s">
        <v>396</v>
      </c>
      <c r="B225" t="s">
        <v>107</v>
      </c>
      <c r="C225" t="s">
        <v>9</v>
      </c>
      <c r="D225" t="s">
        <v>108</v>
      </c>
      <c r="E225" t="s">
        <v>73</v>
      </c>
      <c r="F225">
        <v>42420</v>
      </c>
      <c r="G225" t="s">
        <v>47</v>
      </c>
      <c r="H225" t="s">
        <v>896</v>
      </c>
      <c r="I225" s="1">
        <v>43058</v>
      </c>
      <c r="J225" s="1">
        <v>43062</v>
      </c>
      <c r="K225">
        <v>4</v>
      </c>
      <c r="L225" t="s">
        <v>897</v>
      </c>
      <c r="M225">
        <v>6</v>
      </c>
      <c r="N225">
        <v>0</v>
      </c>
      <c r="O225">
        <v>0</v>
      </c>
      <c r="P225" t="b">
        <v>0</v>
      </c>
    </row>
    <row r="226" spans="1:16" x14ac:dyDescent="0.2">
      <c r="A226" t="s">
        <v>396</v>
      </c>
      <c r="B226" t="s">
        <v>107</v>
      </c>
      <c r="C226" t="s">
        <v>9</v>
      </c>
      <c r="D226" t="s">
        <v>108</v>
      </c>
      <c r="E226" t="s">
        <v>73</v>
      </c>
      <c r="F226">
        <v>42420</v>
      </c>
      <c r="G226" t="s">
        <v>47</v>
      </c>
      <c r="H226" t="s">
        <v>896</v>
      </c>
      <c r="I226" s="1">
        <v>43058</v>
      </c>
      <c r="J226" s="1">
        <v>43062</v>
      </c>
      <c r="K226">
        <v>4</v>
      </c>
      <c r="L226" t="s">
        <v>767</v>
      </c>
      <c r="M226">
        <v>2</v>
      </c>
      <c r="N226">
        <v>0</v>
      </c>
      <c r="O226">
        <v>0</v>
      </c>
      <c r="P226" t="b">
        <v>0</v>
      </c>
    </row>
    <row r="227" spans="1:16" x14ac:dyDescent="0.2">
      <c r="A227" t="s">
        <v>450</v>
      </c>
      <c r="B227" t="s">
        <v>203</v>
      </c>
      <c r="C227" t="s">
        <v>150</v>
      </c>
      <c r="D227" t="s">
        <v>16</v>
      </c>
      <c r="E227" t="s">
        <v>17</v>
      </c>
      <c r="F227">
        <v>94122</v>
      </c>
      <c r="G227" t="s">
        <v>18</v>
      </c>
      <c r="H227" t="s">
        <v>898</v>
      </c>
      <c r="I227" s="1">
        <v>41755</v>
      </c>
      <c r="J227" s="1">
        <v>41762</v>
      </c>
      <c r="K227">
        <v>4</v>
      </c>
      <c r="L227" t="s">
        <v>899</v>
      </c>
      <c r="M227">
        <v>3</v>
      </c>
      <c r="N227">
        <v>1</v>
      </c>
      <c r="O227">
        <v>0.2</v>
      </c>
      <c r="P227" t="b">
        <v>0</v>
      </c>
    </row>
    <row r="228" spans="1:16" x14ac:dyDescent="0.2">
      <c r="A228" t="s">
        <v>450</v>
      </c>
      <c r="B228" t="s">
        <v>203</v>
      </c>
      <c r="C228" t="s">
        <v>150</v>
      </c>
      <c r="D228" t="s">
        <v>16</v>
      </c>
      <c r="E228" t="s">
        <v>17</v>
      </c>
      <c r="F228">
        <v>94122</v>
      </c>
      <c r="G228" t="s">
        <v>18</v>
      </c>
      <c r="H228" t="s">
        <v>898</v>
      </c>
      <c r="I228" s="1">
        <v>41755</v>
      </c>
      <c r="J228" s="1">
        <v>41762</v>
      </c>
      <c r="K228">
        <v>4</v>
      </c>
      <c r="L228" t="s">
        <v>900</v>
      </c>
      <c r="M228">
        <v>6</v>
      </c>
      <c r="N228">
        <v>1</v>
      </c>
      <c r="O228">
        <v>0.2</v>
      </c>
      <c r="P228" t="b">
        <v>0</v>
      </c>
    </row>
    <row r="229" spans="1:16" x14ac:dyDescent="0.2">
      <c r="A229" t="s">
        <v>407</v>
      </c>
      <c r="B229" t="s">
        <v>129</v>
      </c>
      <c r="C229" t="s">
        <v>9</v>
      </c>
      <c r="D229" t="s">
        <v>130</v>
      </c>
      <c r="E229" t="s">
        <v>83</v>
      </c>
      <c r="F229">
        <v>74133</v>
      </c>
      <c r="G229" t="s">
        <v>12</v>
      </c>
      <c r="H229" t="s">
        <v>901</v>
      </c>
      <c r="I229" s="1">
        <v>42257</v>
      </c>
      <c r="J229" s="1">
        <v>42262</v>
      </c>
      <c r="K229">
        <v>4</v>
      </c>
      <c r="L229" t="s">
        <v>902</v>
      </c>
      <c r="M229">
        <v>3</v>
      </c>
      <c r="N229">
        <v>0</v>
      </c>
      <c r="O229">
        <v>0</v>
      </c>
      <c r="P229" t="b">
        <v>1</v>
      </c>
    </row>
    <row r="230" spans="1:16" x14ac:dyDescent="0.2">
      <c r="A230" t="s">
        <v>547</v>
      </c>
      <c r="B230" t="s">
        <v>344</v>
      </c>
      <c r="C230" t="s">
        <v>150</v>
      </c>
      <c r="D230" t="s">
        <v>345</v>
      </c>
      <c r="E230" t="s">
        <v>199</v>
      </c>
      <c r="F230">
        <v>84604</v>
      </c>
      <c r="G230" t="s">
        <v>18</v>
      </c>
      <c r="H230" t="s">
        <v>903</v>
      </c>
      <c r="I230" s="1">
        <v>42995</v>
      </c>
      <c r="J230" s="1">
        <v>42999</v>
      </c>
      <c r="K230">
        <v>3</v>
      </c>
      <c r="L230" t="s">
        <v>904</v>
      </c>
      <c r="M230">
        <v>3</v>
      </c>
      <c r="N230">
        <v>1</v>
      </c>
      <c r="O230">
        <v>0.2</v>
      </c>
      <c r="P230" t="b">
        <v>0</v>
      </c>
    </row>
    <row r="231" spans="1:16" x14ac:dyDescent="0.2">
      <c r="A231" t="s">
        <v>547</v>
      </c>
      <c r="B231" t="s">
        <v>344</v>
      </c>
      <c r="C231" t="s">
        <v>150</v>
      </c>
      <c r="D231" t="s">
        <v>345</v>
      </c>
      <c r="E231" t="s">
        <v>199</v>
      </c>
      <c r="F231">
        <v>84604</v>
      </c>
      <c r="G231" t="s">
        <v>18</v>
      </c>
      <c r="H231" t="s">
        <v>903</v>
      </c>
      <c r="I231" s="1">
        <v>42995</v>
      </c>
      <c r="J231" s="1">
        <v>42999</v>
      </c>
      <c r="K231">
        <v>3</v>
      </c>
      <c r="L231" t="s">
        <v>698</v>
      </c>
      <c r="M231">
        <v>3</v>
      </c>
      <c r="N231">
        <v>1</v>
      </c>
      <c r="O231">
        <v>0.2</v>
      </c>
      <c r="P231" t="b">
        <v>0</v>
      </c>
    </row>
    <row r="232" spans="1:16" x14ac:dyDescent="0.2">
      <c r="A232" t="s">
        <v>547</v>
      </c>
      <c r="B232" t="s">
        <v>344</v>
      </c>
      <c r="C232" t="s">
        <v>150</v>
      </c>
      <c r="D232" t="s">
        <v>345</v>
      </c>
      <c r="E232" t="s">
        <v>199</v>
      </c>
      <c r="F232">
        <v>84604</v>
      </c>
      <c r="G232" t="s">
        <v>18</v>
      </c>
      <c r="H232" t="s">
        <v>903</v>
      </c>
      <c r="I232" s="1">
        <v>42995</v>
      </c>
      <c r="J232" s="1">
        <v>42999</v>
      </c>
      <c r="K232">
        <v>3</v>
      </c>
      <c r="L232" t="s">
        <v>905</v>
      </c>
      <c r="M232">
        <v>3</v>
      </c>
      <c r="N232">
        <v>0</v>
      </c>
      <c r="O232">
        <v>0</v>
      </c>
      <c r="P232" t="b">
        <v>0</v>
      </c>
    </row>
    <row r="233" spans="1:16" x14ac:dyDescent="0.2">
      <c r="A233" t="s">
        <v>547</v>
      </c>
      <c r="B233" t="s">
        <v>344</v>
      </c>
      <c r="C233" t="s">
        <v>150</v>
      </c>
      <c r="D233" t="s">
        <v>345</v>
      </c>
      <c r="E233" t="s">
        <v>199</v>
      </c>
      <c r="F233">
        <v>84604</v>
      </c>
      <c r="G233" t="s">
        <v>18</v>
      </c>
      <c r="H233" t="s">
        <v>903</v>
      </c>
      <c r="I233" s="1">
        <v>42995</v>
      </c>
      <c r="J233" s="1">
        <v>42999</v>
      </c>
      <c r="K233">
        <v>3</v>
      </c>
      <c r="L233" t="s">
        <v>906</v>
      </c>
      <c r="M233">
        <v>3</v>
      </c>
      <c r="N233">
        <v>0</v>
      </c>
      <c r="O233">
        <v>0</v>
      </c>
      <c r="P233" t="b">
        <v>0</v>
      </c>
    </row>
    <row r="234" spans="1:16" x14ac:dyDescent="0.2">
      <c r="A234" t="s">
        <v>547</v>
      </c>
      <c r="B234" t="s">
        <v>344</v>
      </c>
      <c r="C234" t="s">
        <v>150</v>
      </c>
      <c r="D234" t="s">
        <v>345</v>
      </c>
      <c r="E234" t="s">
        <v>199</v>
      </c>
      <c r="F234">
        <v>84604</v>
      </c>
      <c r="G234" t="s">
        <v>18</v>
      </c>
      <c r="H234" t="s">
        <v>903</v>
      </c>
      <c r="I234" s="1">
        <v>42995</v>
      </c>
      <c r="J234" s="1">
        <v>42999</v>
      </c>
      <c r="K234">
        <v>3</v>
      </c>
      <c r="L234" t="s">
        <v>907</v>
      </c>
      <c r="M234">
        <v>2</v>
      </c>
      <c r="N234">
        <v>1</v>
      </c>
      <c r="O234">
        <v>0.2</v>
      </c>
      <c r="P234" t="b">
        <v>0</v>
      </c>
    </row>
    <row r="235" spans="1:16" x14ac:dyDescent="0.2">
      <c r="A235" t="s">
        <v>547</v>
      </c>
      <c r="B235" t="s">
        <v>344</v>
      </c>
      <c r="C235" t="s">
        <v>150</v>
      </c>
      <c r="D235" t="s">
        <v>345</v>
      </c>
      <c r="E235" t="s">
        <v>199</v>
      </c>
      <c r="F235">
        <v>84604</v>
      </c>
      <c r="G235" t="s">
        <v>18</v>
      </c>
      <c r="H235" t="s">
        <v>903</v>
      </c>
      <c r="I235" s="1">
        <v>42995</v>
      </c>
      <c r="J235" s="1">
        <v>42999</v>
      </c>
      <c r="K235">
        <v>3</v>
      </c>
      <c r="L235" t="s">
        <v>908</v>
      </c>
      <c r="M235">
        <v>2</v>
      </c>
      <c r="N235">
        <v>0</v>
      </c>
      <c r="O235">
        <v>0</v>
      </c>
      <c r="P235" t="b">
        <v>0</v>
      </c>
    </row>
    <row r="236" spans="1:16" x14ac:dyDescent="0.2">
      <c r="A236" t="s">
        <v>547</v>
      </c>
      <c r="B236" t="s">
        <v>344</v>
      </c>
      <c r="C236" t="s">
        <v>150</v>
      </c>
      <c r="D236" t="s">
        <v>345</v>
      </c>
      <c r="E236" t="s">
        <v>199</v>
      </c>
      <c r="F236">
        <v>84604</v>
      </c>
      <c r="G236" t="s">
        <v>18</v>
      </c>
      <c r="H236" t="s">
        <v>903</v>
      </c>
      <c r="I236" s="1">
        <v>42995</v>
      </c>
      <c r="J236" s="1">
        <v>42999</v>
      </c>
      <c r="K236">
        <v>3</v>
      </c>
      <c r="L236" t="s">
        <v>909</v>
      </c>
      <c r="M236">
        <v>5</v>
      </c>
      <c r="N236">
        <v>0</v>
      </c>
      <c r="O236">
        <v>0</v>
      </c>
      <c r="P236" t="b">
        <v>0</v>
      </c>
    </row>
    <row r="237" spans="1:16" x14ac:dyDescent="0.2">
      <c r="A237" t="s">
        <v>507</v>
      </c>
      <c r="B237" t="s">
        <v>285</v>
      </c>
      <c r="C237" t="s">
        <v>150</v>
      </c>
      <c r="D237" t="s">
        <v>16</v>
      </c>
      <c r="E237" t="s">
        <v>17</v>
      </c>
      <c r="F237">
        <v>94110</v>
      </c>
      <c r="G237" t="s">
        <v>18</v>
      </c>
      <c r="H237" t="s">
        <v>910</v>
      </c>
      <c r="I237" s="1">
        <v>42391</v>
      </c>
      <c r="J237" s="1">
        <v>42397</v>
      </c>
      <c r="K237">
        <v>4</v>
      </c>
      <c r="L237" t="s">
        <v>911</v>
      </c>
      <c r="M237">
        <v>5</v>
      </c>
      <c r="N237">
        <v>0</v>
      </c>
      <c r="O237">
        <v>0</v>
      </c>
      <c r="P237" t="b">
        <v>0</v>
      </c>
    </row>
    <row r="238" spans="1:16" x14ac:dyDescent="0.2">
      <c r="A238" t="s">
        <v>412</v>
      </c>
      <c r="B238" t="s">
        <v>140</v>
      </c>
      <c r="C238" t="s">
        <v>90</v>
      </c>
      <c r="D238" t="s">
        <v>141</v>
      </c>
      <c r="E238" t="s">
        <v>142</v>
      </c>
      <c r="F238">
        <v>88220</v>
      </c>
      <c r="G238" t="s">
        <v>18</v>
      </c>
      <c r="H238" t="s">
        <v>912</v>
      </c>
      <c r="I238" s="1">
        <v>42902</v>
      </c>
      <c r="J238" s="1">
        <v>42907</v>
      </c>
      <c r="K238">
        <v>4</v>
      </c>
      <c r="L238" t="s">
        <v>774</v>
      </c>
      <c r="M238">
        <v>2</v>
      </c>
      <c r="N238">
        <v>0</v>
      </c>
      <c r="O238">
        <v>0</v>
      </c>
      <c r="P238" t="b">
        <v>0</v>
      </c>
    </row>
    <row r="239" spans="1:16" x14ac:dyDescent="0.2">
      <c r="A239" t="s">
        <v>412</v>
      </c>
      <c r="B239" t="s">
        <v>140</v>
      </c>
      <c r="C239" t="s">
        <v>90</v>
      </c>
      <c r="D239" t="s">
        <v>141</v>
      </c>
      <c r="E239" t="s">
        <v>142</v>
      </c>
      <c r="F239">
        <v>88220</v>
      </c>
      <c r="G239" t="s">
        <v>18</v>
      </c>
      <c r="H239" t="s">
        <v>912</v>
      </c>
      <c r="I239" s="1">
        <v>42902</v>
      </c>
      <c r="J239" s="1">
        <v>42907</v>
      </c>
      <c r="K239">
        <v>4</v>
      </c>
      <c r="L239" t="s">
        <v>913</v>
      </c>
      <c r="M239">
        <v>3</v>
      </c>
      <c r="N239">
        <v>0</v>
      </c>
      <c r="O239">
        <v>0</v>
      </c>
      <c r="P239" t="b">
        <v>0</v>
      </c>
    </row>
    <row r="240" spans="1:16" x14ac:dyDescent="0.2">
      <c r="A240" t="s">
        <v>412</v>
      </c>
      <c r="B240" t="s">
        <v>140</v>
      </c>
      <c r="C240" t="s">
        <v>90</v>
      </c>
      <c r="D240" t="s">
        <v>141</v>
      </c>
      <c r="E240" t="s">
        <v>142</v>
      </c>
      <c r="F240">
        <v>88220</v>
      </c>
      <c r="G240" t="s">
        <v>18</v>
      </c>
      <c r="H240" t="s">
        <v>912</v>
      </c>
      <c r="I240" s="1">
        <v>42902</v>
      </c>
      <c r="J240" s="1">
        <v>42907</v>
      </c>
      <c r="K240">
        <v>4</v>
      </c>
      <c r="L240" t="s">
        <v>914</v>
      </c>
      <c r="M240">
        <v>4</v>
      </c>
      <c r="N240">
        <v>0</v>
      </c>
      <c r="O240">
        <v>0</v>
      </c>
      <c r="P240" t="b">
        <v>0</v>
      </c>
    </row>
    <row r="241" spans="1:16" x14ac:dyDescent="0.2">
      <c r="A241" t="s">
        <v>521</v>
      </c>
      <c r="B241" t="s">
        <v>306</v>
      </c>
      <c r="C241" t="s">
        <v>90</v>
      </c>
      <c r="D241" t="s">
        <v>307</v>
      </c>
      <c r="E241" t="s">
        <v>79</v>
      </c>
      <c r="F241">
        <v>2148</v>
      </c>
      <c r="G241" t="s">
        <v>27</v>
      </c>
      <c r="H241" t="s">
        <v>915</v>
      </c>
      <c r="I241" s="1">
        <v>42330</v>
      </c>
      <c r="J241" s="1">
        <v>42334</v>
      </c>
      <c r="K241">
        <v>4</v>
      </c>
      <c r="L241" t="s">
        <v>916</v>
      </c>
      <c r="M241">
        <v>4</v>
      </c>
      <c r="N241">
        <v>1</v>
      </c>
      <c r="O241">
        <v>0.2</v>
      </c>
      <c r="P241" t="b">
        <v>0</v>
      </c>
    </row>
    <row r="242" spans="1:16" x14ac:dyDescent="0.2">
      <c r="A242" t="s">
        <v>552</v>
      </c>
      <c r="B242" t="s">
        <v>353</v>
      </c>
      <c r="C242" t="s">
        <v>150</v>
      </c>
      <c r="D242" t="s">
        <v>354</v>
      </c>
      <c r="E242" t="s">
        <v>104</v>
      </c>
      <c r="F242">
        <v>46060</v>
      </c>
      <c r="G242" t="s">
        <v>12</v>
      </c>
      <c r="H242" t="s">
        <v>917</v>
      </c>
      <c r="I242" s="1">
        <v>42679</v>
      </c>
      <c r="J242" s="1">
        <v>42684</v>
      </c>
      <c r="K242">
        <v>4</v>
      </c>
      <c r="L242" t="s">
        <v>918</v>
      </c>
      <c r="M242">
        <v>2</v>
      </c>
      <c r="N242">
        <v>1</v>
      </c>
      <c r="O242">
        <v>0.4</v>
      </c>
      <c r="P242" t="b">
        <v>0</v>
      </c>
    </row>
    <row r="243" spans="1:16" x14ac:dyDescent="0.2">
      <c r="A243" t="s">
        <v>431</v>
      </c>
      <c r="B243" t="s">
        <v>172</v>
      </c>
      <c r="C243" t="s">
        <v>9</v>
      </c>
      <c r="D243" t="s">
        <v>173</v>
      </c>
      <c r="E243" t="s">
        <v>137</v>
      </c>
      <c r="F243">
        <v>44134</v>
      </c>
      <c r="G243" t="s">
        <v>27</v>
      </c>
      <c r="H243" t="s">
        <v>919</v>
      </c>
      <c r="I243" s="1">
        <v>42817</v>
      </c>
      <c r="J243" s="1">
        <v>42821</v>
      </c>
      <c r="K243">
        <v>4</v>
      </c>
      <c r="L243" t="s">
        <v>640</v>
      </c>
      <c r="M243">
        <v>2</v>
      </c>
      <c r="N243">
        <v>1</v>
      </c>
      <c r="O243">
        <v>0.2</v>
      </c>
      <c r="P243" t="b">
        <v>0</v>
      </c>
    </row>
    <row r="244" spans="1:16" x14ac:dyDescent="0.2">
      <c r="A244" t="s">
        <v>503</v>
      </c>
      <c r="B244" t="s">
        <v>278</v>
      </c>
      <c r="C244" t="s">
        <v>150</v>
      </c>
      <c r="D244" t="s">
        <v>270</v>
      </c>
      <c r="E244" t="s">
        <v>95</v>
      </c>
      <c r="F244">
        <v>22153</v>
      </c>
      <c r="G244" t="s">
        <v>47</v>
      </c>
      <c r="H244" t="s">
        <v>920</v>
      </c>
      <c r="I244" s="1">
        <v>42702</v>
      </c>
      <c r="J244" s="1">
        <v>42707</v>
      </c>
      <c r="K244">
        <v>4</v>
      </c>
      <c r="L244" t="s">
        <v>728</v>
      </c>
      <c r="M244">
        <v>6</v>
      </c>
      <c r="N244">
        <v>1</v>
      </c>
      <c r="O244">
        <v>0.7</v>
      </c>
      <c r="P244" t="b">
        <v>0</v>
      </c>
    </row>
    <row r="245" spans="1:16" x14ac:dyDescent="0.2">
      <c r="A245" t="s">
        <v>576</v>
      </c>
      <c r="B245" t="s">
        <v>575</v>
      </c>
      <c r="C245" t="s">
        <v>9</v>
      </c>
      <c r="D245" t="s">
        <v>251</v>
      </c>
      <c r="E245" t="s">
        <v>73</v>
      </c>
      <c r="F245">
        <v>40214</v>
      </c>
      <c r="G245" t="s">
        <v>47</v>
      </c>
      <c r="H245" t="s">
        <v>921</v>
      </c>
      <c r="I245" s="1">
        <v>42684</v>
      </c>
      <c r="J245" s="1">
        <v>42686</v>
      </c>
      <c r="K245">
        <v>3</v>
      </c>
      <c r="L245" t="s">
        <v>922</v>
      </c>
      <c r="M245">
        <v>5</v>
      </c>
      <c r="N245">
        <v>1</v>
      </c>
      <c r="O245">
        <v>0.2</v>
      </c>
      <c r="P245" t="b">
        <v>0</v>
      </c>
    </row>
    <row r="246" spans="1:16" x14ac:dyDescent="0.2">
      <c r="A246" t="s">
        <v>576</v>
      </c>
      <c r="B246" t="s">
        <v>575</v>
      </c>
      <c r="C246" t="s">
        <v>9</v>
      </c>
      <c r="D246" t="s">
        <v>251</v>
      </c>
      <c r="E246" t="s">
        <v>73</v>
      </c>
      <c r="F246">
        <v>40214</v>
      </c>
      <c r="G246" t="s">
        <v>47</v>
      </c>
      <c r="H246" t="s">
        <v>921</v>
      </c>
      <c r="I246" s="1">
        <v>42684</v>
      </c>
      <c r="J246" s="1">
        <v>42686</v>
      </c>
      <c r="K246">
        <v>3</v>
      </c>
      <c r="L246" t="s">
        <v>923</v>
      </c>
      <c r="M246">
        <v>3</v>
      </c>
      <c r="N246">
        <v>1</v>
      </c>
      <c r="O246">
        <v>0.2</v>
      </c>
      <c r="P246" t="b">
        <v>0</v>
      </c>
    </row>
    <row r="247" spans="1:16" x14ac:dyDescent="0.2">
      <c r="A247" t="s">
        <v>566</v>
      </c>
      <c r="B247" t="s">
        <v>376</v>
      </c>
      <c r="C247" t="s">
        <v>150</v>
      </c>
      <c r="D247" t="s">
        <v>377</v>
      </c>
      <c r="E247" t="s">
        <v>17</v>
      </c>
      <c r="F247">
        <v>92054</v>
      </c>
      <c r="G247" t="s">
        <v>18</v>
      </c>
      <c r="H247" t="s">
        <v>924</v>
      </c>
      <c r="I247" s="1">
        <v>43085</v>
      </c>
      <c r="J247" s="1">
        <v>43090</v>
      </c>
      <c r="K247">
        <v>3</v>
      </c>
      <c r="L247" t="s">
        <v>865</v>
      </c>
      <c r="M247">
        <v>2</v>
      </c>
      <c r="N247">
        <v>1</v>
      </c>
      <c r="O247">
        <v>0.2</v>
      </c>
      <c r="P247" t="b">
        <v>0</v>
      </c>
    </row>
    <row r="248" spans="1:16" x14ac:dyDescent="0.2">
      <c r="A248" t="s">
        <v>566</v>
      </c>
      <c r="B248" t="s">
        <v>376</v>
      </c>
      <c r="C248" t="s">
        <v>150</v>
      </c>
      <c r="D248" t="s">
        <v>377</v>
      </c>
      <c r="E248" t="s">
        <v>17</v>
      </c>
      <c r="F248">
        <v>92054</v>
      </c>
      <c r="G248" t="s">
        <v>18</v>
      </c>
      <c r="H248" t="s">
        <v>924</v>
      </c>
      <c r="I248" s="1">
        <v>43085</v>
      </c>
      <c r="J248" s="1">
        <v>43090</v>
      </c>
      <c r="K248">
        <v>3</v>
      </c>
      <c r="L248" t="s">
        <v>925</v>
      </c>
      <c r="M248">
        <v>2</v>
      </c>
      <c r="N248">
        <v>1</v>
      </c>
      <c r="O248">
        <v>0.2</v>
      </c>
      <c r="P248" t="b">
        <v>0</v>
      </c>
    </row>
    <row r="249" spans="1:16" x14ac:dyDescent="0.2">
      <c r="A249" t="s">
        <v>566</v>
      </c>
      <c r="B249" t="s">
        <v>376</v>
      </c>
      <c r="C249" t="s">
        <v>150</v>
      </c>
      <c r="D249" t="s">
        <v>377</v>
      </c>
      <c r="E249" t="s">
        <v>17</v>
      </c>
      <c r="F249">
        <v>92054</v>
      </c>
      <c r="G249" t="s">
        <v>18</v>
      </c>
      <c r="H249" t="s">
        <v>924</v>
      </c>
      <c r="I249" s="1">
        <v>43085</v>
      </c>
      <c r="J249" s="1">
        <v>43090</v>
      </c>
      <c r="K249">
        <v>3</v>
      </c>
      <c r="L249" t="s">
        <v>926</v>
      </c>
      <c r="M249">
        <v>5</v>
      </c>
      <c r="N249">
        <v>1</v>
      </c>
      <c r="O249">
        <v>0.2</v>
      </c>
      <c r="P249" t="b">
        <v>0</v>
      </c>
    </row>
    <row r="250" spans="1:16" x14ac:dyDescent="0.2">
      <c r="A250" t="s">
        <v>566</v>
      </c>
      <c r="B250" t="s">
        <v>376</v>
      </c>
      <c r="C250" t="s">
        <v>150</v>
      </c>
      <c r="D250" t="s">
        <v>377</v>
      </c>
      <c r="E250" t="s">
        <v>17</v>
      </c>
      <c r="F250">
        <v>92054</v>
      </c>
      <c r="G250" t="s">
        <v>18</v>
      </c>
      <c r="H250" t="s">
        <v>924</v>
      </c>
      <c r="I250" s="1">
        <v>43085</v>
      </c>
      <c r="J250" s="1">
        <v>43090</v>
      </c>
      <c r="K250">
        <v>3</v>
      </c>
      <c r="L250" t="s">
        <v>927</v>
      </c>
      <c r="M250">
        <v>2</v>
      </c>
      <c r="N250">
        <v>0</v>
      </c>
      <c r="O250">
        <v>0</v>
      </c>
      <c r="P250" t="b">
        <v>0</v>
      </c>
    </row>
    <row r="251" spans="1:16" x14ac:dyDescent="0.2">
      <c r="A251" t="s">
        <v>532</v>
      </c>
      <c r="B251" t="s">
        <v>323</v>
      </c>
      <c r="C251" t="s">
        <v>9</v>
      </c>
      <c r="D251" t="s">
        <v>97</v>
      </c>
      <c r="E251" t="s">
        <v>67</v>
      </c>
      <c r="F251">
        <v>19134</v>
      </c>
      <c r="G251" t="s">
        <v>27</v>
      </c>
      <c r="H251" t="s">
        <v>928</v>
      </c>
      <c r="I251" s="1">
        <v>43085</v>
      </c>
      <c r="J251" s="1">
        <v>43089</v>
      </c>
      <c r="K251">
        <v>4</v>
      </c>
      <c r="L251" t="s">
        <v>929</v>
      </c>
      <c r="M251">
        <v>5</v>
      </c>
      <c r="N251">
        <v>0</v>
      </c>
      <c r="O251">
        <v>0</v>
      </c>
      <c r="P251" t="b">
        <v>0</v>
      </c>
    </row>
    <row r="252" spans="1:16" x14ac:dyDescent="0.2">
      <c r="A252" t="s">
        <v>459</v>
      </c>
      <c r="B252" t="s">
        <v>215</v>
      </c>
      <c r="C252" t="s">
        <v>9</v>
      </c>
      <c r="D252" t="s">
        <v>216</v>
      </c>
      <c r="E252" t="s">
        <v>22</v>
      </c>
      <c r="F252">
        <v>75002</v>
      </c>
      <c r="G252" t="s">
        <v>12</v>
      </c>
      <c r="H252" t="s">
        <v>930</v>
      </c>
      <c r="I252" s="1">
        <v>42131</v>
      </c>
      <c r="J252" s="1">
        <v>42136</v>
      </c>
      <c r="K252">
        <v>4</v>
      </c>
      <c r="L252" t="s">
        <v>931</v>
      </c>
      <c r="M252">
        <v>2</v>
      </c>
      <c r="N252">
        <v>1</v>
      </c>
      <c r="O252">
        <v>0.3</v>
      </c>
      <c r="P252" t="b">
        <v>0</v>
      </c>
    </row>
    <row r="253" spans="1:16" x14ac:dyDescent="0.2">
      <c r="A253" t="s">
        <v>459</v>
      </c>
      <c r="B253" t="s">
        <v>215</v>
      </c>
      <c r="C253" t="s">
        <v>9</v>
      </c>
      <c r="D253" t="s">
        <v>216</v>
      </c>
      <c r="E253" t="s">
        <v>22</v>
      </c>
      <c r="F253">
        <v>75002</v>
      </c>
      <c r="G253" t="s">
        <v>12</v>
      </c>
      <c r="H253" t="s">
        <v>930</v>
      </c>
      <c r="I253" s="1">
        <v>42131</v>
      </c>
      <c r="J253" s="1">
        <v>42136</v>
      </c>
      <c r="K253">
        <v>4</v>
      </c>
      <c r="L253" t="s">
        <v>932</v>
      </c>
      <c r="M253">
        <v>4</v>
      </c>
      <c r="N253">
        <v>1</v>
      </c>
      <c r="O253">
        <v>0.2</v>
      </c>
      <c r="P253" t="b">
        <v>0</v>
      </c>
    </row>
    <row r="254" spans="1:16" x14ac:dyDescent="0.2">
      <c r="A254" t="s">
        <v>557</v>
      </c>
      <c r="B254" t="s">
        <v>361</v>
      </c>
      <c r="C254" t="s">
        <v>9</v>
      </c>
      <c r="D254" t="s">
        <v>362</v>
      </c>
      <c r="E254" t="s">
        <v>53</v>
      </c>
      <c r="F254">
        <v>37211</v>
      </c>
      <c r="G254" t="s">
        <v>47</v>
      </c>
      <c r="H254" t="s">
        <v>933</v>
      </c>
      <c r="I254" s="1">
        <v>42622</v>
      </c>
      <c r="J254" s="1">
        <v>42626</v>
      </c>
      <c r="K254">
        <v>4</v>
      </c>
      <c r="L254" t="s">
        <v>722</v>
      </c>
      <c r="M254">
        <v>4</v>
      </c>
      <c r="N254">
        <v>1</v>
      </c>
      <c r="O254">
        <v>0.2</v>
      </c>
      <c r="P254" t="b">
        <v>0</v>
      </c>
    </row>
    <row r="255" spans="1:16" x14ac:dyDescent="0.2">
      <c r="A255" t="s">
        <v>48</v>
      </c>
      <c r="B255" t="s">
        <v>49</v>
      </c>
      <c r="C255" t="s">
        <v>9</v>
      </c>
      <c r="D255" t="s">
        <v>50</v>
      </c>
      <c r="E255" t="s">
        <v>17</v>
      </c>
      <c r="F255">
        <v>91730</v>
      </c>
      <c r="G255" t="s">
        <v>18</v>
      </c>
      <c r="H255" t="s">
        <v>934</v>
      </c>
      <c r="I255" s="1">
        <v>41936</v>
      </c>
      <c r="J255" s="1">
        <v>41941</v>
      </c>
      <c r="K255">
        <v>4</v>
      </c>
      <c r="L255" t="s">
        <v>935</v>
      </c>
      <c r="M255">
        <v>3</v>
      </c>
      <c r="N255">
        <v>1</v>
      </c>
      <c r="O255">
        <v>0.2</v>
      </c>
      <c r="P255" t="b">
        <v>0</v>
      </c>
    </row>
    <row r="256" spans="1:16" x14ac:dyDescent="0.2">
      <c r="A256" t="s">
        <v>422</v>
      </c>
      <c r="B256" t="s">
        <v>158</v>
      </c>
      <c r="C256" t="s">
        <v>9</v>
      </c>
      <c r="D256" t="s">
        <v>25</v>
      </c>
      <c r="E256" t="s">
        <v>26</v>
      </c>
      <c r="F256">
        <v>10011</v>
      </c>
      <c r="G256" t="s">
        <v>27</v>
      </c>
      <c r="H256" t="s">
        <v>936</v>
      </c>
      <c r="I256" s="1">
        <v>42316</v>
      </c>
      <c r="J256" s="1">
        <v>42321</v>
      </c>
      <c r="K256">
        <v>4</v>
      </c>
      <c r="L256" t="s">
        <v>937</v>
      </c>
      <c r="M256">
        <v>11</v>
      </c>
      <c r="N256">
        <v>1</v>
      </c>
      <c r="O256">
        <v>0.2</v>
      </c>
      <c r="P256" t="b">
        <v>0</v>
      </c>
    </row>
    <row r="257" spans="1:16" x14ac:dyDescent="0.2">
      <c r="A257" t="s">
        <v>422</v>
      </c>
      <c r="B257" t="s">
        <v>158</v>
      </c>
      <c r="C257" t="s">
        <v>9</v>
      </c>
      <c r="D257" t="s">
        <v>25</v>
      </c>
      <c r="E257" t="s">
        <v>26</v>
      </c>
      <c r="F257">
        <v>10011</v>
      </c>
      <c r="G257" t="s">
        <v>27</v>
      </c>
      <c r="H257" t="s">
        <v>936</v>
      </c>
      <c r="I257" s="1">
        <v>42316</v>
      </c>
      <c r="J257" s="1">
        <v>42321</v>
      </c>
      <c r="K257">
        <v>4</v>
      </c>
      <c r="L257" t="s">
        <v>645</v>
      </c>
      <c r="M257">
        <v>3</v>
      </c>
      <c r="N257">
        <v>0</v>
      </c>
      <c r="O257">
        <v>0</v>
      </c>
      <c r="P257" t="b">
        <v>0</v>
      </c>
    </row>
    <row r="258" spans="1:16" x14ac:dyDescent="0.2">
      <c r="A258" t="s">
        <v>499</v>
      </c>
      <c r="B258" t="s">
        <v>273</v>
      </c>
      <c r="C258" t="s">
        <v>9</v>
      </c>
      <c r="D258" t="s">
        <v>97</v>
      </c>
      <c r="E258" t="s">
        <v>67</v>
      </c>
      <c r="F258">
        <v>19120</v>
      </c>
      <c r="G258" t="s">
        <v>27</v>
      </c>
      <c r="H258" t="s">
        <v>938</v>
      </c>
      <c r="I258" s="1">
        <v>43086</v>
      </c>
      <c r="J258" s="1">
        <v>43090</v>
      </c>
      <c r="K258">
        <v>4</v>
      </c>
      <c r="L258" t="s">
        <v>939</v>
      </c>
      <c r="M258">
        <v>5</v>
      </c>
      <c r="N258">
        <v>0</v>
      </c>
      <c r="O258">
        <v>0</v>
      </c>
      <c r="P258" t="b">
        <v>0</v>
      </c>
    </row>
    <row r="259" spans="1:16" x14ac:dyDescent="0.2">
      <c r="A259" t="s">
        <v>390</v>
      </c>
      <c r="B259" t="s">
        <v>96</v>
      </c>
      <c r="C259" t="s">
        <v>90</v>
      </c>
      <c r="D259" t="s">
        <v>97</v>
      </c>
      <c r="E259" t="s">
        <v>67</v>
      </c>
      <c r="F259">
        <v>19143</v>
      </c>
      <c r="G259" t="s">
        <v>27</v>
      </c>
      <c r="H259" t="s">
        <v>940</v>
      </c>
      <c r="I259" s="1">
        <v>42994</v>
      </c>
      <c r="J259" s="1">
        <v>42999</v>
      </c>
      <c r="K259">
        <v>4</v>
      </c>
      <c r="L259" t="s">
        <v>941</v>
      </c>
      <c r="M259">
        <v>4</v>
      </c>
      <c r="N259">
        <v>1</v>
      </c>
      <c r="O259">
        <v>0.2</v>
      </c>
      <c r="P259" t="b">
        <v>1</v>
      </c>
    </row>
    <row r="260" spans="1:16" x14ac:dyDescent="0.2">
      <c r="A260" t="s">
        <v>537</v>
      </c>
      <c r="B260" t="s">
        <v>330</v>
      </c>
      <c r="C260" t="s">
        <v>150</v>
      </c>
      <c r="D260" t="s">
        <v>156</v>
      </c>
      <c r="E260" t="s">
        <v>63</v>
      </c>
      <c r="F260">
        <v>28540</v>
      </c>
      <c r="G260" t="s">
        <v>47</v>
      </c>
      <c r="H260" t="s">
        <v>942</v>
      </c>
      <c r="I260" s="1">
        <v>43011</v>
      </c>
      <c r="J260" s="1">
        <v>43016</v>
      </c>
      <c r="K260">
        <v>4</v>
      </c>
      <c r="L260" t="s">
        <v>943</v>
      </c>
      <c r="M260">
        <v>3</v>
      </c>
      <c r="N260">
        <v>1</v>
      </c>
      <c r="O260">
        <v>0.2</v>
      </c>
      <c r="P260" t="b">
        <v>0</v>
      </c>
    </row>
    <row r="261" spans="1:16" x14ac:dyDescent="0.2">
      <c r="A261" t="s">
        <v>60</v>
      </c>
      <c r="B261" t="s">
        <v>61</v>
      </c>
      <c r="C261" t="s">
        <v>9</v>
      </c>
      <c r="D261" t="s">
        <v>62</v>
      </c>
      <c r="E261" t="s">
        <v>63</v>
      </c>
      <c r="F261">
        <v>28027</v>
      </c>
      <c r="G261" t="s">
        <v>47</v>
      </c>
      <c r="H261" t="s">
        <v>944</v>
      </c>
      <c r="I261" s="1">
        <v>42568</v>
      </c>
      <c r="J261" s="1">
        <v>42573</v>
      </c>
      <c r="K261">
        <v>4</v>
      </c>
      <c r="L261" t="s">
        <v>945</v>
      </c>
      <c r="M261">
        <v>3</v>
      </c>
      <c r="N261">
        <v>0</v>
      </c>
      <c r="O261">
        <v>0</v>
      </c>
      <c r="P261" t="b">
        <v>0</v>
      </c>
    </row>
    <row r="262" spans="1:16" x14ac:dyDescent="0.2">
      <c r="A262" t="s">
        <v>60</v>
      </c>
      <c r="B262" t="s">
        <v>61</v>
      </c>
      <c r="C262" t="s">
        <v>9</v>
      </c>
      <c r="D262" t="s">
        <v>62</v>
      </c>
      <c r="E262" t="s">
        <v>63</v>
      </c>
      <c r="F262">
        <v>28027</v>
      </c>
      <c r="G262" t="s">
        <v>47</v>
      </c>
      <c r="H262" t="s">
        <v>944</v>
      </c>
      <c r="I262" s="1">
        <v>42568</v>
      </c>
      <c r="J262" s="1">
        <v>42573</v>
      </c>
      <c r="K262">
        <v>4</v>
      </c>
      <c r="L262" t="s">
        <v>946</v>
      </c>
      <c r="M262">
        <v>3</v>
      </c>
      <c r="N262">
        <v>0</v>
      </c>
      <c r="O262">
        <v>0</v>
      </c>
      <c r="P262" t="b">
        <v>0</v>
      </c>
    </row>
    <row r="263" spans="1:16" x14ac:dyDescent="0.2">
      <c r="A263" t="s">
        <v>60</v>
      </c>
      <c r="B263" t="s">
        <v>61</v>
      </c>
      <c r="C263" t="s">
        <v>9</v>
      </c>
      <c r="D263" t="s">
        <v>62</v>
      </c>
      <c r="E263" t="s">
        <v>63</v>
      </c>
      <c r="F263">
        <v>28027</v>
      </c>
      <c r="G263" t="s">
        <v>47</v>
      </c>
      <c r="H263" t="s">
        <v>944</v>
      </c>
      <c r="I263" s="1">
        <v>42568</v>
      </c>
      <c r="J263" s="1">
        <v>42573</v>
      </c>
      <c r="K263">
        <v>4</v>
      </c>
      <c r="L263" t="s">
        <v>947</v>
      </c>
      <c r="M263">
        <v>1</v>
      </c>
      <c r="N263">
        <v>0</v>
      </c>
      <c r="O263">
        <v>0</v>
      </c>
      <c r="P263" t="b">
        <v>0</v>
      </c>
    </row>
    <row r="264" spans="1:16" x14ac:dyDescent="0.2">
      <c r="A264" t="s">
        <v>48</v>
      </c>
      <c r="B264" t="s">
        <v>49</v>
      </c>
      <c r="C264" t="s">
        <v>9</v>
      </c>
      <c r="D264" t="s">
        <v>50</v>
      </c>
      <c r="E264" t="s">
        <v>17</v>
      </c>
      <c r="F264">
        <v>91730</v>
      </c>
      <c r="G264" t="s">
        <v>18</v>
      </c>
      <c r="H264" t="s">
        <v>944</v>
      </c>
      <c r="I264" s="1">
        <v>42568</v>
      </c>
      <c r="J264" s="1">
        <v>42573</v>
      </c>
      <c r="K264">
        <v>4</v>
      </c>
      <c r="L264" t="s">
        <v>948</v>
      </c>
      <c r="M264">
        <v>8</v>
      </c>
      <c r="N264">
        <v>0</v>
      </c>
      <c r="O264">
        <v>0</v>
      </c>
      <c r="P264" t="b">
        <v>0</v>
      </c>
    </row>
    <row r="265" spans="1:16" x14ac:dyDescent="0.2">
      <c r="A265" t="s">
        <v>48</v>
      </c>
      <c r="B265" t="s">
        <v>49</v>
      </c>
      <c r="C265" t="s">
        <v>9</v>
      </c>
      <c r="D265" t="s">
        <v>50</v>
      </c>
      <c r="E265" t="s">
        <v>17</v>
      </c>
      <c r="F265">
        <v>91730</v>
      </c>
      <c r="G265" t="s">
        <v>18</v>
      </c>
      <c r="H265" t="s">
        <v>944</v>
      </c>
      <c r="I265" s="1">
        <v>42568</v>
      </c>
      <c r="J265" s="1">
        <v>42573</v>
      </c>
      <c r="K265">
        <v>4</v>
      </c>
      <c r="L265" t="s">
        <v>949</v>
      </c>
      <c r="M265">
        <v>1</v>
      </c>
      <c r="N265">
        <v>0</v>
      </c>
      <c r="O265">
        <v>0</v>
      </c>
      <c r="P265" t="b">
        <v>0</v>
      </c>
    </row>
    <row r="266" spans="1:16" x14ac:dyDescent="0.2">
      <c r="A266" t="s">
        <v>536</v>
      </c>
      <c r="B266" t="s">
        <v>328</v>
      </c>
      <c r="C266" t="s">
        <v>150</v>
      </c>
      <c r="D266" t="s">
        <v>329</v>
      </c>
      <c r="E266" t="s">
        <v>22</v>
      </c>
      <c r="F266">
        <v>78745</v>
      </c>
      <c r="G266" t="s">
        <v>12</v>
      </c>
      <c r="H266" t="s">
        <v>950</v>
      </c>
      <c r="I266" s="1">
        <v>42618</v>
      </c>
      <c r="J266" s="1">
        <v>42624</v>
      </c>
      <c r="K266">
        <v>4</v>
      </c>
      <c r="L266" t="s">
        <v>951</v>
      </c>
      <c r="M266">
        <v>7</v>
      </c>
      <c r="N266">
        <v>1</v>
      </c>
      <c r="O266">
        <v>0.3</v>
      </c>
      <c r="P266" t="b">
        <v>0</v>
      </c>
    </row>
    <row r="267" spans="1:16" x14ac:dyDescent="0.2">
      <c r="A267" t="s">
        <v>535</v>
      </c>
      <c r="B267" t="s">
        <v>326</v>
      </c>
      <c r="C267" t="s">
        <v>150</v>
      </c>
      <c r="D267" t="s">
        <v>327</v>
      </c>
      <c r="E267" t="s">
        <v>86</v>
      </c>
      <c r="F267">
        <v>98661</v>
      </c>
      <c r="G267" t="s">
        <v>18</v>
      </c>
      <c r="H267" t="s">
        <v>952</v>
      </c>
      <c r="I267" s="1">
        <v>41820</v>
      </c>
      <c r="J267" s="1">
        <v>41823</v>
      </c>
      <c r="K267">
        <v>3</v>
      </c>
      <c r="L267" t="s">
        <v>953</v>
      </c>
      <c r="M267">
        <v>5</v>
      </c>
      <c r="N267">
        <v>0</v>
      </c>
      <c r="O267">
        <v>0</v>
      </c>
      <c r="P267" t="b">
        <v>0</v>
      </c>
    </row>
    <row r="268" spans="1:16" x14ac:dyDescent="0.2">
      <c r="A268" t="s">
        <v>526</v>
      </c>
      <c r="B268" t="s">
        <v>313</v>
      </c>
      <c r="C268" t="s">
        <v>9</v>
      </c>
      <c r="D268" t="s">
        <v>314</v>
      </c>
      <c r="E268" t="s">
        <v>315</v>
      </c>
      <c r="F268">
        <v>80525</v>
      </c>
      <c r="G268" t="s">
        <v>18</v>
      </c>
      <c r="H268" t="s">
        <v>954</v>
      </c>
      <c r="I268" s="1">
        <v>43001</v>
      </c>
      <c r="J268" s="1">
        <v>43007</v>
      </c>
      <c r="K268">
        <v>1</v>
      </c>
      <c r="L268" t="s">
        <v>955</v>
      </c>
      <c r="M268">
        <v>2</v>
      </c>
      <c r="N268">
        <v>1</v>
      </c>
      <c r="O268">
        <v>0.7</v>
      </c>
      <c r="P268" t="b">
        <v>0</v>
      </c>
    </row>
    <row r="269" spans="1:16" x14ac:dyDescent="0.2">
      <c r="A269" t="s">
        <v>526</v>
      </c>
      <c r="B269" t="s">
        <v>313</v>
      </c>
      <c r="C269" t="s">
        <v>9</v>
      </c>
      <c r="D269" t="s">
        <v>314</v>
      </c>
      <c r="E269" t="s">
        <v>315</v>
      </c>
      <c r="F269">
        <v>80525</v>
      </c>
      <c r="G269" t="s">
        <v>18</v>
      </c>
      <c r="H269" t="s">
        <v>954</v>
      </c>
      <c r="I269" s="1">
        <v>43001</v>
      </c>
      <c r="J269" s="1">
        <v>43007</v>
      </c>
      <c r="K269">
        <v>1</v>
      </c>
      <c r="L269" t="s">
        <v>956</v>
      </c>
      <c r="M269">
        <v>2</v>
      </c>
      <c r="N269">
        <v>1</v>
      </c>
      <c r="O269">
        <v>0.2</v>
      </c>
      <c r="P269" t="b">
        <v>0</v>
      </c>
    </row>
    <row r="270" spans="1:16" x14ac:dyDescent="0.2">
      <c r="A270" t="s">
        <v>470</v>
      </c>
      <c r="B270" t="s">
        <v>234</v>
      </c>
      <c r="C270" t="s">
        <v>9</v>
      </c>
      <c r="D270" t="s">
        <v>97</v>
      </c>
      <c r="E270" t="s">
        <v>67</v>
      </c>
      <c r="F270">
        <v>19134</v>
      </c>
      <c r="G270" t="s">
        <v>27</v>
      </c>
      <c r="H270" t="s">
        <v>957</v>
      </c>
      <c r="I270" s="1">
        <v>43087</v>
      </c>
      <c r="J270" s="1">
        <v>43091</v>
      </c>
      <c r="K270">
        <v>4</v>
      </c>
      <c r="L270" t="s">
        <v>958</v>
      </c>
      <c r="M270">
        <v>7</v>
      </c>
      <c r="N270">
        <v>1</v>
      </c>
      <c r="O270">
        <v>0.2</v>
      </c>
      <c r="P270" t="b">
        <v>1</v>
      </c>
    </row>
    <row r="271" spans="1:16" x14ac:dyDescent="0.2">
      <c r="A271" t="s">
        <v>576</v>
      </c>
      <c r="B271" t="s">
        <v>575</v>
      </c>
      <c r="C271" t="s">
        <v>9</v>
      </c>
      <c r="D271" t="s">
        <v>251</v>
      </c>
      <c r="E271" t="s">
        <v>73</v>
      </c>
      <c r="F271">
        <v>40214</v>
      </c>
      <c r="G271" t="s">
        <v>47</v>
      </c>
      <c r="H271" t="s">
        <v>959</v>
      </c>
      <c r="I271" s="1">
        <v>41894</v>
      </c>
      <c r="J271" s="1">
        <v>41899</v>
      </c>
      <c r="K271">
        <v>4</v>
      </c>
      <c r="L271" t="s">
        <v>960</v>
      </c>
      <c r="M271">
        <v>7</v>
      </c>
      <c r="N271">
        <v>1</v>
      </c>
      <c r="O271">
        <v>0.7</v>
      </c>
      <c r="P271" t="b">
        <v>0</v>
      </c>
    </row>
    <row r="272" spans="1:16" x14ac:dyDescent="0.2">
      <c r="A272" t="s">
        <v>470</v>
      </c>
      <c r="B272" t="s">
        <v>234</v>
      </c>
      <c r="C272" t="s">
        <v>9</v>
      </c>
      <c r="D272" t="s">
        <v>97</v>
      </c>
      <c r="E272" t="s">
        <v>67</v>
      </c>
      <c r="F272">
        <v>19134</v>
      </c>
      <c r="G272" t="s">
        <v>27</v>
      </c>
      <c r="H272" t="s">
        <v>961</v>
      </c>
      <c r="I272" s="1">
        <v>42449</v>
      </c>
      <c r="J272" s="1">
        <v>42454</v>
      </c>
      <c r="K272">
        <v>4</v>
      </c>
      <c r="L272" t="s">
        <v>962</v>
      </c>
      <c r="M272">
        <v>7</v>
      </c>
      <c r="N272">
        <v>0</v>
      </c>
      <c r="O272">
        <v>0</v>
      </c>
      <c r="P272" t="b">
        <v>0</v>
      </c>
    </row>
    <row r="273" spans="1:16" x14ac:dyDescent="0.2">
      <c r="A273" t="s">
        <v>484</v>
      </c>
      <c r="B273" t="s">
        <v>252</v>
      </c>
      <c r="C273" t="s">
        <v>150</v>
      </c>
      <c r="D273" t="s">
        <v>253</v>
      </c>
      <c r="E273" t="s">
        <v>166</v>
      </c>
      <c r="F273">
        <v>33319</v>
      </c>
      <c r="G273" t="s">
        <v>47</v>
      </c>
      <c r="H273" t="s">
        <v>963</v>
      </c>
      <c r="I273" s="1">
        <v>43044</v>
      </c>
      <c r="J273" s="1">
        <v>43046</v>
      </c>
      <c r="K273">
        <v>3</v>
      </c>
      <c r="L273" t="s">
        <v>713</v>
      </c>
      <c r="M273">
        <v>5</v>
      </c>
      <c r="N273">
        <v>1</v>
      </c>
      <c r="O273">
        <v>0.8</v>
      </c>
      <c r="P273" t="b">
        <v>0</v>
      </c>
    </row>
    <row r="274" spans="1:16" x14ac:dyDescent="0.2">
      <c r="A274" t="s">
        <v>532</v>
      </c>
      <c r="B274" t="s">
        <v>323</v>
      </c>
      <c r="C274" t="s">
        <v>9</v>
      </c>
      <c r="D274" t="s">
        <v>97</v>
      </c>
      <c r="E274" t="s">
        <v>67</v>
      </c>
      <c r="F274">
        <v>19134</v>
      </c>
      <c r="G274" t="s">
        <v>27</v>
      </c>
      <c r="H274" t="s">
        <v>964</v>
      </c>
      <c r="I274" s="1">
        <v>42730</v>
      </c>
      <c r="J274" s="1">
        <v>42735</v>
      </c>
      <c r="K274">
        <v>4</v>
      </c>
      <c r="L274" t="s">
        <v>956</v>
      </c>
      <c r="M274">
        <v>3</v>
      </c>
      <c r="N274">
        <v>0</v>
      </c>
      <c r="O274">
        <v>0</v>
      </c>
      <c r="P274" t="b">
        <v>0</v>
      </c>
    </row>
    <row r="275" spans="1:16" x14ac:dyDescent="0.2">
      <c r="A275" t="s">
        <v>442</v>
      </c>
      <c r="B275" t="s">
        <v>192</v>
      </c>
      <c r="C275" t="s">
        <v>9</v>
      </c>
      <c r="D275" t="s">
        <v>153</v>
      </c>
      <c r="E275" t="s">
        <v>124</v>
      </c>
      <c r="F275">
        <v>60610</v>
      </c>
      <c r="G275" t="s">
        <v>12</v>
      </c>
      <c r="H275" t="s">
        <v>965</v>
      </c>
      <c r="I275" s="1">
        <v>42496</v>
      </c>
      <c r="J275" s="1">
        <v>42500</v>
      </c>
      <c r="K275">
        <v>4</v>
      </c>
      <c r="L275" t="s">
        <v>657</v>
      </c>
      <c r="M275">
        <v>2</v>
      </c>
      <c r="N275">
        <v>1</v>
      </c>
      <c r="O275">
        <v>0.8</v>
      </c>
      <c r="P275" t="b">
        <v>1</v>
      </c>
    </row>
    <row r="276" spans="1:16" x14ac:dyDescent="0.2">
      <c r="A276" t="s">
        <v>442</v>
      </c>
      <c r="B276" t="s">
        <v>192</v>
      </c>
      <c r="C276" t="s">
        <v>9</v>
      </c>
      <c r="D276" t="s">
        <v>153</v>
      </c>
      <c r="E276" t="s">
        <v>124</v>
      </c>
      <c r="F276">
        <v>60610</v>
      </c>
      <c r="G276" t="s">
        <v>12</v>
      </c>
      <c r="H276" t="s">
        <v>965</v>
      </c>
      <c r="I276" s="1">
        <v>42496</v>
      </c>
      <c r="J276" s="1">
        <v>42500</v>
      </c>
      <c r="K276">
        <v>4</v>
      </c>
      <c r="L276" t="s">
        <v>966</v>
      </c>
      <c r="M276">
        <v>2</v>
      </c>
      <c r="N276">
        <v>1</v>
      </c>
      <c r="O276">
        <v>0.2</v>
      </c>
      <c r="P276" t="b">
        <v>0</v>
      </c>
    </row>
    <row r="277" spans="1:16" x14ac:dyDescent="0.2">
      <c r="A277" t="s">
        <v>574</v>
      </c>
      <c r="B277" t="s">
        <v>573</v>
      </c>
      <c r="C277" t="s">
        <v>9</v>
      </c>
      <c r="D277" t="s">
        <v>38</v>
      </c>
      <c r="E277" t="s">
        <v>17</v>
      </c>
      <c r="F277">
        <v>90036</v>
      </c>
      <c r="G277" t="s">
        <v>18</v>
      </c>
      <c r="H277" t="s">
        <v>967</v>
      </c>
      <c r="I277" s="1">
        <v>43074</v>
      </c>
      <c r="J277" s="1">
        <v>43078</v>
      </c>
      <c r="K277">
        <v>4</v>
      </c>
      <c r="L277" t="s">
        <v>968</v>
      </c>
      <c r="M277">
        <v>3</v>
      </c>
      <c r="N277">
        <v>1</v>
      </c>
      <c r="O277">
        <v>0.2</v>
      </c>
      <c r="P277" t="b">
        <v>0</v>
      </c>
    </row>
    <row r="278" spans="1:16" x14ac:dyDescent="0.2">
      <c r="A278" t="s">
        <v>574</v>
      </c>
      <c r="B278" t="s">
        <v>573</v>
      </c>
      <c r="C278" t="s">
        <v>9</v>
      </c>
      <c r="D278" t="s">
        <v>38</v>
      </c>
      <c r="E278" t="s">
        <v>17</v>
      </c>
      <c r="F278">
        <v>90036</v>
      </c>
      <c r="G278" t="s">
        <v>18</v>
      </c>
      <c r="H278" t="s">
        <v>967</v>
      </c>
      <c r="I278" s="1">
        <v>43074</v>
      </c>
      <c r="J278" s="1">
        <v>43078</v>
      </c>
      <c r="K278">
        <v>4</v>
      </c>
      <c r="L278" t="s">
        <v>969</v>
      </c>
      <c r="M278">
        <v>6</v>
      </c>
      <c r="N278">
        <v>1</v>
      </c>
      <c r="O278">
        <v>0.2</v>
      </c>
      <c r="P278" t="b">
        <v>0</v>
      </c>
    </row>
    <row r="279" spans="1:16" x14ac:dyDescent="0.2">
      <c r="A279" t="s">
        <v>494</v>
      </c>
      <c r="B279" t="s">
        <v>266</v>
      </c>
      <c r="C279" t="s">
        <v>150</v>
      </c>
      <c r="D279" t="s">
        <v>267</v>
      </c>
      <c r="E279" t="s">
        <v>166</v>
      </c>
      <c r="F279">
        <v>33317</v>
      </c>
      <c r="G279" t="s">
        <v>47</v>
      </c>
      <c r="H279" t="s">
        <v>970</v>
      </c>
      <c r="I279" s="1">
        <v>42588</v>
      </c>
      <c r="J279" s="1">
        <v>42589</v>
      </c>
      <c r="K279">
        <v>4</v>
      </c>
      <c r="L279" t="s">
        <v>971</v>
      </c>
      <c r="M279">
        <v>2</v>
      </c>
      <c r="N279">
        <v>0</v>
      </c>
      <c r="O279">
        <v>0</v>
      </c>
      <c r="P279" t="b">
        <v>0</v>
      </c>
    </row>
    <row r="280" spans="1:16" x14ac:dyDescent="0.2">
      <c r="A280" t="s">
        <v>487</v>
      </c>
      <c r="B280" t="s">
        <v>257</v>
      </c>
      <c r="C280" t="s">
        <v>9</v>
      </c>
      <c r="D280" t="s">
        <v>258</v>
      </c>
      <c r="E280" t="s">
        <v>17</v>
      </c>
      <c r="F280">
        <v>94513</v>
      </c>
      <c r="G280" t="s">
        <v>18</v>
      </c>
      <c r="H280" t="s">
        <v>972</v>
      </c>
      <c r="I280" s="1">
        <v>42420</v>
      </c>
      <c r="J280" s="1">
        <v>42427</v>
      </c>
      <c r="K280">
        <v>4</v>
      </c>
      <c r="L280" t="s">
        <v>973</v>
      </c>
      <c r="M280">
        <v>2</v>
      </c>
      <c r="N280">
        <v>1</v>
      </c>
      <c r="O280">
        <v>0.2</v>
      </c>
      <c r="P280" t="b">
        <v>0</v>
      </c>
    </row>
    <row r="281" spans="1:16" x14ac:dyDescent="0.2">
      <c r="A281" t="s">
        <v>540</v>
      </c>
      <c r="B281" t="s">
        <v>335</v>
      </c>
      <c r="C281" t="s">
        <v>9</v>
      </c>
      <c r="D281" t="s">
        <v>97</v>
      </c>
      <c r="E281" t="s">
        <v>67</v>
      </c>
      <c r="F281">
        <v>19143</v>
      </c>
      <c r="G281" t="s">
        <v>27</v>
      </c>
      <c r="H281" t="s">
        <v>974</v>
      </c>
      <c r="I281" s="1">
        <v>42994</v>
      </c>
      <c r="J281" s="1">
        <v>42996</v>
      </c>
      <c r="K281">
        <v>2</v>
      </c>
      <c r="L281" t="s">
        <v>975</v>
      </c>
      <c r="M281">
        <v>3</v>
      </c>
      <c r="N281">
        <v>1</v>
      </c>
      <c r="O281">
        <v>0.2</v>
      </c>
      <c r="P281" t="b">
        <v>1</v>
      </c>
    </row>
    <row r="282" spans="1:16" x14ac:dyDescent="0.2">
      <c r="A282" t="s">
        <v>540</v>
      </c>
      <c r="B282" t="s">
        <v>335</v>
      </c>
      <c r="C282" t="s">
        <v>9</v>
      </c>
      <c r="D282" t="s">
        <v>97</v>
      </c>
      <c r="E282" t="s">
        <v>67</v>
      </c>
      <c r="F282">
        <v>19143</v>
      </c>
      <c r="G282" t="s">
        <v>27</v>
      </c>
      <c r="H282" t="s">
        <v>974</v>
      </c>
      <c r="I282" s="1">
        <v>42994</v>
      </c>
      <c r="J282" s="1">
        <v>42996</v>
      </c>
      <c r="K282">
        <v>2</v>
      </c>
      <c r="L282" t="s">
        <v>976</v>
      </c>
      <c r="M282">
        <v>3</v>
      </c>
      <c r="N282">
        <v>1</v>
      </c>
      <c r="O282">
        <v>0.2</v>
      </c>
      <c r="P282" t="b">
        <v>0</v>
      </c>
    </row>
    <row r="283" spans="1:16" x14ac:dyDescent="0.2">
      <c r="A283" t="s">
        <v>540</v>
      </c>
      <c r="B283" t="s">
        <v>335</v>
      </c>
      <c r="C283" t="s">
        <v>9</v>
      </c>
      <c r="D283" t="s">
        <v>97</v>
      </c>
      <c r="E283" t="s">
        <v>67</v>
      </c>
      <c r="F283">
        <v>19143</v>
      </c>
      <c r="G283" t="s">
        <v>27</v>
      </c>
      <c r="H283" t="s">
        <v>974</v>
      </c>
      <c r="I283" s="1">
        <v>42994</v>
      </c>
      <c r="J283" s="1">
        <v>42996</v>
      </c>
      <c r="K283">
        <v>2</v>
      </c>
      <c r="L283" t="s">
        <v>831</v>
      </c>
      <c r="M283">
        <v>2</v>
      </c>
      <c r="N283">
        <v>1</v>
      </c>
      <c r="O283">
        <v>0.7</v>
      </c>
      <c r="P283" t="b">
        <v>0</v>
      </c>
    </row>
    <row r="284" spans="1:16" x14ac:dyDescent="0.2">
      <c r="A284" t="s">
        <v>540</v>
      </c>
      <c r="B284" t="s">
        <v>335</v>
      </c>
      <c r="C284" t="s">
        <v>9</v>
      </c>
      <c r="D284" t="s">
        <v>97</v>
      </c>
      <c r="E284" t="s">
        <v>67</v>
      </c>
      <c r="F284">
        <v>19143</v>
      </c>
      <c r="G284" t="s">
        <v>27</v>
      </c>
      <c r="H284" t="s">
        <v>974</v>
      </c>
      <c r="I284" s="1">
        <v>42994</v>
      </c>
      <c r="J284" s="1">
        <v>42996</v>
      </c>
      <c r="K284">
        <v>2</v>
      </c>
      <c r="L284" t="s">
        <v>808</v>
      </c>
      <c r="M284">
        <v>2</v>
      </c>
      <c r="N284">
        <v>1</v>
      </c>
      <c r="O284">
        <v>0.7</v>
      </c>
      <c r="P284" t="b">
        <v>0</v>
      </c>
    </row>
    <row r="285" spans="1:16" x14ac:dyDescent="0.2">
      <c r="A285" t="s">
        <v>540</v>
      </c>
      <c r="B285" t="s">
        <v>335</v>
      </c>
      <c r="C285" t="s">
        <v>9</v>
      </c>
      <c r="D285" t="s">
        <v>97</v>
      </c>
      <c r="E285" t="s">
        <v>67</v>
      </c>
      <c r="F285">
        <v>19143</v>
      </c>
      <c r="G285" t="s">
        <v>27</v>
      </c>
      <c r="H285" t="s">
        <v>974</v>
      </c>
      <c r="I285" s="1">
        <v>42994</v>
      </c>
      <c r="J285" s="1">
        <v>42996</v>
      </c>
      <c r="K285">
        <v>2</v>
      </c>
      <c r="L285" t="s">
        <v>977</v>
      </c>
      <c r="M285">
        <v>2</v>
      </c>
      <c r="N285">
        <v>1</v>
      </c>
      <c r="O285">
        <v>0.2</v>
      </c>
      <c r="P285" t="b">
        <v>0</v>
      </c>
    </row>
    <row r="286" spans="1:16" x14ac:dyDescent="0.2">
      <c r="A286" t="s">
        <v>450</v>
      </c>
      <c r="B286" t="s">
        <v>203</v>
      </c>
      <c r="C286" t="s">
        <v>150</v>
      </c>
      <c r="D286" t="s">
        <v>16</v>
      </c>
      <c r="E286" t="s">
        <v>17</v>
      </c>
      <c r="F286">
        <v>94122</v>
      </c>
      <c r="G286" t="s">
        <v>18</v>
      </c>
      <c r="H286" t="s">
        <v>978</v>
      </c>
      <c r="I286" s="1">
        <v>42981</v>
      </c>
      <c r="J286" s="1">
        <v>42986</v>
      </c>
      <c r="K286">
        <v>4</v>
      </c>
      <c r="L286" t="s">
        <v>979</v>
      </c>
      <c r="M286">
        <v>2</v>
      </c>
      <c r="N286">
        <v>0</v>
      </c>
      <c r="O286">
        <v>0</v>
      </c>
      <c r="P286" t="b">
        <v>0</v>
      </c>
    </row>
    <row r="287" spans="1:16" x14ac:dyDescent="0.2">
      <c r="A287" t="s">
        <v>424</v>
      </c>
      <c r="B287" t="s">
        <v>160</v>
      </c>
      <c r="C287" t="s">
        <v>150</v>
      </c>
      <c r="D287" t="s">
        <v>161</v>
      </c>
      <c r="E287" t="s">
        <v>162</v>
      </c>
      <c r="F287">
        <v>70506</v>
      </c>
      <c r="G287" t="s">
        <v>47</v>
      </c>
      <c r="H287" t="s">
        <v>980</v>
      </c>
      <c r="I287" s="1">
        <v>43088</v>
      </c>
      <c r="J287" s="1">
        <v>43090</v>
      </c>
      <c r="K287">
        <v>2</v>
      </c>
      <c r="L287" t="s">
        <v>981</v>
      </c>
      <c r="M287">
        <v>2</v>
      </c>
      <c r="N287">
        <v>0</v>
      </c>
      <c r="O287">
        <v>0</v>
      </c>
      <c r="P287" t="b">
        <v>0</v>
      </c>
    </row>
    <row r="288" spans="1:16" x14ac:dyDescent="0.2">
      <c r="A288" t="s">
        <v>413</v>
      </c>
      <c r="B288" t="s">
        <v>143</v>
      </c>
      <c r="C288" t="s">
        <v>90</v>
      </c>
      <c r="D288" t="s">
        <v>97</v>
      </c>
      <c r="E288" t="s">
        <v>67</v>
      </c>
      <c r="F288">
        <v>19134</v>
      </c>
      <c r="G288" t="s">
        <v>27</v>
      </c>
      <c r="H288" t="s">
        <v>982</v>
      </c>
      <c r="I288" s="1">
        <v>42341</v>
      </c>
      <c r="J288" s="1">
        <v>42346</v>
      </c>
      <c r="K288">
        <v>4</v>
      </c>
      <c r="L288" t="s">
        <v>983</v>
      </c>
      <c r="M288">
        <v>2</v>
      </c>
      <c r="N288">
        <v>1</v>
      </c>
      <c r="O288">
        <v>0.2</v>
      </c>
      <c r="P288" t="b">
        <v>0</v>
      </c>
    </row>
    <row r="289" spans="1:16" x14ac:dyDescent="0.2">
      <c r="A289" t="s">
        <v>413</v>
      </c>
      <c r="B289" t="s">
        <v>143</v>
      </c>
      <c r="C289" t="s">
        <v>90</v>
      </c>
      <c r="D289" t="s">
        <v>97</v>
      </c>
      <c r="E289" t="s">
        <v>67</v>
      </c>
      <c r="F289">
        <v>19134</v>
      </c>
      <c r="G289" t="s">
        <v>27</v>
      </c>
      <c r="H289" t="s">
        <v>982</v>
      </c>
      <c r="I289" s="1">
        <v>42341</v>
      </c>
      <c r="J289" s="1">
        <v>42346</v>
      </c>
      <c r="K289">
        <v>4</v>
      </c>
      <c r="L289" t="s">
        <v>764</v>
      </c>
      <c r="M289">
        <v>2</v>
      </c>
      <c r="N289">
        <v>1</v>
      </c>
      <c r="O289">
        <v>0.2</v>
      </c>
      <c r="P289" t="b">
        <v>0</v>
      </c>
    </row>
    <row r="290" spans="1:16" x14ac:dyDescent="0.2">
      <c r="A290" t="s">
        <v>510</v>
      </c>
      <c r="B290" t="s">
        <v>289</v>
      </c>
      <c r="C290" t="s">
        <v>9</v>
      </c>
      <c r="D290" t="s">
        <v>290</v>
      </c>
      <c r="E290" t="s">
        <v>63</v>
      </c>
      <c r="F290">
        <v>28403</v>
      </c>
      <c r="G290" t="s">
        <v>47</v>
      </c>
      <c r="H290" t="s">
        <v>984</v>
      </c>
      <c r="I290" s="1">
        <v>42978</v>
      </c>
      <c r="J290" s="1">
        <v>42983</v>
      </c>
      <c r="K290">
        <v>3</v>
      </c>
      <c r="L290" t="s">
        <v>985</v>
      </c>
      <c r="M290">
        <v>9</v>
      </c>
      <c r="N290">
        <v>0</v>
      </c>
      <c r="O290">
        <v>0</v>
      </c>
      <c r="P290" t="b">
        <v>0</v>
      </c>
    </row>
    <row r="291" spans="1:16" x14ac:dyDescent="0.2">
      <c r="A291" t="s">
        <v>437</v>
      </c>
      <c r="B291" t="s">
        <v>182</v>
      </c>
      <c r="C291" t="s">
        <v>90</v>
      </c>
      <c r="D291" t="s">
        <v>183</v>
      </c>
      <c r="E291" t="s">
        <v>184</v>
      </c>
      <c r="F291">
        <v>6824</v>
      </c>
      <c r="G291" t="s">
        <v>27</v>
      </c>
      <c r="H291" t="s">
        <v>986</v>
      </c>
      <c r="I291" s="1">
        <v>43052</v>
      </c>
      <c r="J291" s="1">
        <v>43057</v>
      </c>
      <c r="K291">
        <v>3</v>
      </c>
      <c r="L291" t="s">
        <v>987</v>
      </c>
      <c r="M291">
        <v>4</v>
      </c>
      <c r="N291">
        <v>0</v>
      </c>
      <c r="O291">
        <v>0</v>
      </c>
      <c r="P291" t="b">
        <v>0</v>
      </c>
    </row>
    <row r="292" spans="1:16" x14ac:dyDescent="0.2">
      <c r="A292" t="s">
        <v>427</v>
      </c>
      <c r="B292" t="s">
        <v>167</v>
      </c>
      <c r="C292" t="s">
        <v>150</v>
      </c>
      <c r="D292" t="s">
        <v>25</v>
      </c>
      <c r="E292" t="s">
        <v>26</v>
      </c>
      <c r="F292">
        <v>10009</v>
      </c>
      <c r="G292" t="s">
        <v>27</v>
      </c>
      <c r="H292" t="s">
        <v>988</v>
      </c>
      <c r="I292" s="1">
        <v>43093</v>
      </c>
      <c r="J292" s="1">
        <v>43098</v>
      </c>
      <c r="K292">
        <v>4</v>
      </c>
      <c r="L292" t="s">
        <v>989</v>
      </c>
      <c r="M292">
        <v>1</v>
      </c>
      <c r="N292">
        <v>0</v>
      </c>
      <c r="O292">
        <v>0</v>
      </c>
      <c r="P292" t="b">
        <v>0</v>
      </c>
    </row>
    <row r="293" spans="1:16" x14ac:dyDescent="0.2">
      <c r="A293" t="s">
        <v>414</v>
      </c>
      <c r="B293" t="s">
        <v>144</v>
      </c>
      <c r="C293" t="s">
        <v>90</v>
      </c>
      <c r="D293" t="s">
        <v>145</v>
      </c>
      <c r="E293" t="s">
        <v>146</v>
      </c>
      <c r="F293">
        <v>39212</v>
      </c>
      <c r="G293" t="s">
        <v>47</v>
      </c>
      <c r="H293" t="s">
        <v>990</v>
      </c>
      <c r="I293" s="1">
        <v>42724</v>
      </c>
      <c r="J293" s="1">
        <v>42728</v>
      </c>
      <c r="K293">
        <v>4</v>
      </c>
      <c r="L293" t="s">
        <v>991</v>
      </c>
      <c r="M293">
        <v>4</v>
      </c>
      <c r="N293">
        <v>0</v>
      </c>
      <c r="O293">
        <v>0</v>
      </c>
      <c r="P293" t="b">
        <v>0</v>
      </c>
    </row>
    <row r="294" spans="1:16" x14ac:dyDescent="0.2">
      <c r="A294" t="s">
        <v>414</v>
      </c>
      <c r="B294" t="s">
        <v>144</v>
      </c>
      <c r="C294" t="s">
        <v>90</v>
      </c>
      <c r="D294" t="s">
        <v>145</v>
      </c>
      <c r="E294" t="s">
        <v>146</v>
      </c>
      <c r="F294">
        <v>39212</v>
      </c>
      <c r="G294" t="s">
        <v>47</v>
      </c>
      <c r="H294" t="s">
        <v>990</v>
      </c>
      <c r="I294" s="1">
        <v>42724</v>
      </c>
      <c r="J294" s="1">
        <v>42728</v>
      </c>
      <c r="K294">
        <v>4</v>
      </c>
      <c r="L294" t="s">
        <v>992</v>
      </c>
      <c r="M294">
        <v>2</v>
      </c>
      <c r="N294">
        <v>0</v>
      </c>
      <c r="O294">
        <v>0</v>
      </c>
      <c r="P294" t="b">
        <v>0</v>
      </c>
    </row>
    <row r="295" spans="1:16" x14ac:dyDescent="0.2">
      <c r="A295" t="s">
        <v>526</v>
      </c>
      <c r="B295" t="s">
        <v>313</v>
      </c>
      <c r="C295" t="s">
        <v>9</v>
      </c>
      <c r="D295" t="s">
        <v>314</v>
      </c>
      <c r="E295" t="s">
        <v>315</v>
      </c>
      <c r="F295">
        <v>80525</v>
      </c>
      <c r="G295" t="s">
        <v>18</v>
      </c>
      <c r="H295" t="s">
        <v>993</v>
      </c>
      <c r="I295" s="1">
        <v>41936</v>
      </c>
      <c r="J295" s="1">
        <v>41936</v>
      </c>
      <c r="K295">
        <v>1</v>
      </c>
      <c r="L295" t="s">
        <v>994</v>
      </c>
      <c r="M295">
        <v>3</v>
      </c>
      <c r="N295">
        <v>0</v>
      </c>
      <c r="O295">
        <v>0</v>
      </c>
      <c r="P295" t="b">
        <v>0</v>
      </c>
    </row>
    <row r="296" spans="1:16" x14ac:dyDescent="0.2">
      <c r="A296" t="s">
        <v>494</v>
      </c>
      <c r="B296" t="s">
        <v>266</v>
      </c>
      <c r="C296" t="s">
        <v>150</v>
      </c>
      <c r="D296" t="s">
        <v>267</v>
      </c>
      <c r="E296" t="s">
        <v>166</v>
      </c>
      <c r="F296">
        <v>33317</v>
      </c>
      <c r="G296" t="s">
        <v>47</v>
      </c>
      <c r="H296" t="s">
        <v>995</v>
      </c>
      <c r="I296" s="1">
        <v>42320</v>
      </c>
      <c r="J296" s="1">
        <v>42327</v>
      </c>
      <c r="K296">
        <v>4</v>
      </c>
      <c r="L296" t="s">
        <v>662</v>
      </c>
      <c r="M296">
        <v>5</v>
      </c>
      <c r="N296">
        <v>1</v>
      </c>
      <c r="O296">
        <v>0.2</v>
      </c>
      <c r="P296" t="b">
        <v>0</v>
      </c>
    </row>
    <row r="297" spans="1:16" x14ac:dyDescent="0.2">
      <c r="A297" t="s">
        <v>494</v>
      </c>
      <c r="B297" t="s">
        <v>266</v>
      </c>
      <c r="C297" t="s">
        <v>150</v>
      </c>
      <c r="D297" t="s">
        <v>267</v>
      </c>
      <c r="E297" t="s">
        <v>166</v>
      </c>
      <c r="F297">
        <v>33317</v>
      </c>
      <c r="G297" t="s">
        <v>47</v>
      </c>
      <c r="H297" t="s">
        <v>995</v>
      </c>
      <c r="I297" s="1">
        <v>42320</v>
      </c>
      <c r="J297" s="1">
        <v>42327</v>
      </c>
      <c r="K297">
        <v>4</v>
      </c>
      <c r="L297" t="s">
        <v>996</v>
      </c>
      <c r="M297">
        <v>2</v>
      </c>
      <c r="N297">
        <v>1</v>
      </c>
      <c r="O297">
        <v>0.7</v>
      </c>
      <c r="P297" t="b">
        <v>0</v>
      </c>
    </row>
    <row r="298" spans="1:16" x14ac:dyDescent="0.2">
      <c r="A298" t="s">
        <v>494</v>
      </c>
      <c r="B298" t="s">
        <v>266</v>
      </c>
      <c r="C298" t="s">
        <v>150</v>
      </c>
      <c r="D298" t="s">
        <v>267</v>
      </c>
      <c r="E298" t="s">
        <v>166</v>
      </c>
      <c r="F298">
        <v>33317</v>
      </c>
      <c r="G298" t="s">
        <v>47</v>
      </c>
      <c r="H298" t="s">
        <v>995</v>
      </c>
      <c r="I298" s="1">
        <v>42320</v>
      </c>
      <c r="J298" s="1">
        <v>42327</v>
      </c>
      <c r="K298">
        <v>4</v>
      </c>
      <c r="L298" t="s">
        <v>997</v>
      </c>
      <c r="M298">
        <v>3</v>
      </c>
      <c r="N298">
        <v>1</v>
      </c>
      <c r="O298">
        <v>0.7</v>
      </c>
      <c r="P298" t="b">
        <v>0</v>
      </c>
    </row>
    <row r="299" spans="1:16" x14ac:dyDescent="0.2">
      <c r="A299" t="s">
        <v>494</v>
      </c>
      <c r="B299" t="s">
        <v>266</v>
      </c>
      <c r="C299" t="s">
        <v>150</v>
      </c>
      <c r="D299" t="s">
        <v>267</v>
      </c>
      <c r="E299" t="s">
        <v>166</v>
      </c>
      <c r="F299">
        <v>33317</v>
      </c>
      <c r="G299" t="s">
        <v>47</v>
      </c>
      <c r="H299" t="s">
        <v>995</v>
      </c>
      <c r="I299" s="1">
        <v>42320</v>
      </c>
      <c r="J299" s="1">
        <v>42327</v>
      </c>
      <c r="K299">
        <v>4</v>
      </c>
      <c r="L299" t="s">
        <v>998</v>
      </c>
      <c r="M299">
        <v>5</v>
      </c>
      <c r="N299">
        <v>1</v>
      </c>
      <c r="O299">
        <v>0.2</v>
      </c>
      <c r="P299" t="b">
        <v>0</v>
      </c>
    </row>
    <row r="300" spans="1:16" x14ac:dyDescent="0.2">
      <c r="A300" t="s">
        <v>494</v>
      </c>
      <c r="B300" t="s">
        <v>266</v>
      </c>
      <c r="C300" t="s">
        <v>150</v>
      </c>
      <c r="D300" t="s">
        <v>267</v>
      </c>
      <c r="E300" t="s">
        <v>166</v>
      </c>
      <c r="F300">
        <v>33317</v>
      </c>
      <c r="G300" t="s">
        <v>47</v>
      </c>
      <c r="H300" t="s">
        <v>995</v>
      </c>
      <c r="I300" s="1">
        <v>42320</v>
      </c>
      <c r="J300" s="1">
        <v>42327</v>
      </c>
      <c r="K300">
        <v>4</v>
      </c>
      <c r="L300" t="s">
        <v>999</v>
      </c>
      <c r="M300">
        <v>1</v>
      </c>
      <c r="N300">
        <v>1</v>
      </c>
      <c r="O300">
        <v>0.2</v>
      </c>
      <c r="P300" t="b">
        <v>0</v>
      </c>
    </row>
    <row r="301" spans="1:16" x14ac:dyDescent="0.2">
      <c r="A301" t="s">
        <v>494</v>
      </c>
      <c r="B301" t="s">
        <v>266</v>
      </c>
      <c r="C301" t="s">
        <v>150</v>
      </c>
      <c r="D301" t="s">
        <v>267</v>
      </c>
      <c r="E301" t="s">
        <v>166</v>
      </c>
      <c r="F301">
        <v>33317</v>
      </c>
      <c r="G301" t="s">
        <v>47</v>
      </c>
      <c r="H301" t="s">
        <v>995</v>
      </c>
      <c r="I301" s="1">
        <v>42320</v>
      </c>
      <c r="J301" s="1">
        <v>42327</v>
      </c>
      <c r="K301">
        <v>4</v>
      </c>
      <c r="L301" t="s">
        <v>1000</v>
      </c>
      <c r="M301">
        <v>3</v>
      </c>
      <c r="N301">
        <v>1</v>
      </c>
      <c r="O301">
        <v>0.2</v>
      </c>
      <c r="P301" t="b">
        <v>0</v>
      </c>
    </row>
    <row r="302" spans="1:16" x14ac:dyDescent="0.2">
      <c r="A302" t="s">
        <v>512</v>
      </c>
      <c r="B302" t="s">
        <v>292</v>
      </c>
      <c r="C302" t="s">
        <v>9</v>
      </c>
      <c r="D302" t="s">
        <v>293</v>
      </c>
      <c r="E302" t="s">
        <v>26</v>
      </c>
      <c r="F302">
        <v>14609</v>
      </c>
      <c r="G302" t="s">
        <v>27</v>
      </c>
      <c r="H302" t="s">
        <v>1001</v>
      </c>
      <c r="I302" s="1">
        <v>43025</v>
      </c>
      <c r="J302" s="1">
        <v>43027</v>
      </c>
      <c r="K302">
        <v>4</v>
      </c>
      <c r="L302" t="s">
        <v>1002</v>
      </c>
      <c r="M302">
        <v>4</v>
      </c>
      <c r="N302">
        <v>0</v>
      </c>
      <c r="O302">
        <v>0</v>
      </c>
      <c r="P302" t="b">
        <v>0</v>
      </c>
    </row>
    <row r="303" spans="1:16" x14ac:dyDescent="0.2">
      <c r="A303" t="s">
        <v>397</v>
      </c>
      <c r="B303" t="s">
        <v>109</v>
      </c>
      <c r="C303" t="s">
        <v>9</v>
      </c>
      <c r="D303" t="s">
        <v>110</v>
      </c>
      <c r="E303" t="s">
        <v>22</v>
      </c>
      <c r="F303">
        <v>77581</v>
      </c>
      <c r="G303" t="s">
        <v>12</v>
      </c>
      <c r="H303" t="s">
        <v>1003</v>
      </c>
      <c r="I303" s="1">
        <v>42891</v>
      </c>
      <c r="J303" s="1">
        <v>42892</v>
      </c>
      <c r="K303">
        <v>2</v>
      </c>
      <c r="L303" t="s">
        <v>1004</v>
      </c>
      <c r="M303">
        <v>3</v>
      </c>
      <c r="N303">
        <v>1</v>
      </c>
      <c r="O303">
        <v>0.2</v>
      </c>
      <c r="P303" t="b">
        <v>0</v>
      </c>
    </row>
    <row r="304" spans="1:16" x14ac:dyDescent="0.2">
      <c r="A304" t="s">
        <v>561</v>
      </c>
      <c r="B304" t="s">
        <v>368</v>
      </c>
      <c r="C304" t="s">
        <v>9</v>
      </c>
      <c r="D304" t="s">
        <v>369</v>
      </c>
      <c r="E304" t="s">
        <v>17</v>
      </c>
      <c r="F304">
        <v>93309</v>
      </c>
      <c r="G304" t="s">
        <v>18</v>
      </c>
      <c r="H304" t="s">
        <v>1005</v>
      </c>
      <c r="I304" s="1">
        <v>42980</v>
      </c>
      <c r="J304" s="1">
        <v>42986</v>
      </c>
      <c r="K304">
        <v>4</v>
      </c>
      <c r="L304" t="s">
        <v>1006</v>
      </c>
      <c r="M304">
        <v>5</v>
      </c>
      <c r="N304">
        <v>0</v>
      </c>
      <c r="O304">
        <v>0</v>
      </c>
      <c r="P304" t="b">
        <v>0</v>
      </c>
    </row>
    <row r="305" spans="1:16" x14ac:dyDescent="0.2">
      <c r="A305" t="s">
        <v>561</v>
      </c>
      <c r="B305" t="s">
        <v>368</v>
      </c>
      <c r="C305" t="s">
        <v>9</v>
      </c>
      <c r="D305" t="s">
        <v>369</v>
      </c>
      <c r="E305" t="s">
        <v>17</v>
      </c>
      <c r="F305">
        <v>93309</v>
      </c>
      <c r="G305" t="s">
        <v>18</v>
      </c>
      <c r="H305" t="s">
        <v>1005</v>
      </c>
      <c r="I305" s="1">
        <v>42980</v>
      </c>
      <c r="J305" s="1">
        <v>42986</v>
      </c>
      <c r="K305">
        <v>4</v>
      </c>
      <c r="L305" t="s">
        <v>1007</v>
      </c>
      <c r="M305">
        <v>5</v>
      </c>
      <c r="N305">
        <v>0</v>
      </c>
      <c r="O305">
        <v>0</v>
      </c>
      <c r="P305" t="b">
        <v>0</v>
      </c>
    </row>
    <row r="306" spans="1:16" x14ac:dyDescent="0.2">
      <c r="A306" t="s">
        <v>561</v>
      </c>
      <c r="B306" t="s">
        <v>368</v>
      </c>
      <c r="C306" t="s">
        <v>9</v>
      </c>
      <c r="D306" t="s">
        <v>369</v>
      </c>
      <c r="E306" t="s">
        <v>17</v>
      </c>
      <c r="F306">
        <v>93309</v>
      </c>
      <c r="G306" t="s">
        <v>18</v>
      </c>
      <c r="H306" t="s">
        <v>1005</v>
      </c>
      <c r="I306" s="1">
        <v>42980</v>
      </c>
      <c r="J306" s="1">
        <v>42986</v>
      </c>
      <c r="K306">
        <v>4</v>
      </c>
      <c r="L306" t="s">
        <v>1008</v>
      </c>
      <c r="M306">
        <v>2</v>
      </c>
      <c r="N306">
        <v>1</v>
      </c>
      <c r="O306">
        <v>0.2</v>
      </c>
      <c r="P306" t="b">
        <v>0</v>
      </c>
    </row>
    <row r="307" spans="1:16" x14ac:dyDescent="0.2">
      <c r="A307" t="s">
        <v>443</v>
      </c>
      <c r="B307" t="s">
        <v>193</v>
      </c>
      <c r="C307" t="s">
        <v>9</v>
      </c>
      <c r="D307" t="s">
        <v>194</v>
      </c>
      <c r="E307" t="s">
        <v>166</v>
      </c>
      <c r="F307">
        <v>33030</v>
      </c>
      <c r="G307" t="s">
        <v>47</v>
      </c>
      <c r="H307" t="s">
        <v>1009</v>
      </c>
      <c r="I307" s="1">
        <v>43057</v>
      </c>
      <c r="J307" s="1">
        <v>43062</v>
      </c>
      <c r="K307">
        <v>4</v>
      </c>
      <c r="L307" t="s">
        <v>1010</v>
      </c>
      <c r="M307">
        <v>1</v>
      </c>
      <c r="N307">
        <v>1</v>
      </c>
      <c r="O307">
        <v>0.2</v>
      </c>
      <c r="P307" t="b">
        <v>0</v>
      </c>
    </row>
    <row r="308" spans="1:16" x14ac:dyDescent="0.2">
      <c r="A308" t="s">
        <v>443</v>
      </c>
      <c r="B308" t="s">
        <v>193</v>
      </c>
      <c r="C308" t="s">
        <v>9</v>
      </c>
      <c r="D308" t="s">
        <v>194</v>
      </c>
      <c r="E308" t="s">
        <v>166</v>
      </c>
      <c r="F308">
        <v>33030</v>
      </c>
      <c r="G308" t="s">
        <v>47</v>
      </c>
      <c r="H308" t="s">
        <v>1009</v>
      </c>
      <c r="I308" s="1">
        <v>43057</v>
      </c>
      <c r="J308" s="1">
        <v>43062</v>
      </c>
      <c r="K308">
        <v>4</v>
      </c>
      <c r="L308" t="s">
        <v>922</v>
      </c>
      <c r="M308">
        <v>1</v>
      </c>
      <c r="N308">
        <v>1</v>
      </c>
      <c r="O308">
        <v>0.2</v>
      </c>
      <c r="P308" t="b">
        <v>0</v>
      </c>
    </row>
    <row r="309" spans="1:16" x14ac:dyDescent="0.2">
      <c r="A309" t="s">
        <v>533</v>
      </c>
      <c r="B309" t="s">
        <v>324</v>
      </c>
      <c r="C309" t="s">
        <v>9</v>
      </c>
      <c r="D309" t="s">
        <v>145</v>
      </c>
      <c r="E309" t="s">
        <v>119</v>
      </c>
      <c r="F309">
        <v>49201</v>
      </c>
      <c r="G309" t="s">
        <v>12</v>
      </c>
      <c r="H309" t="s">
        <v>1011</v>
      </c>
      <c r="I309" s="1">
        <v>41968</v>
      </c>
      <c r="J309" s="1">
        <v>41970</v>
      </c>
      <c r="K309">
        <v>3</v>
      </c>
      <c r="L309" t="s">
        <v>1012</v>
      </c>
      <c r="M309">
        <v>2</v>
      </c>
      <c r="N309">
        <v>0</v>
      </c>
      <c r="O309">
        <v>0</v>
      </c>
      <c r="P309" t="b">
        <v>0</v>
      </c>
    </row>
    <row r="310" spans="1:16" x14ac:dyDescent="0.2">
      <c r="A310" t="s">
        <v>64</v>
      </c>
      <c r="B310" t="s">
        <v>65</v>
      </c>
      <c r="C310" t="s">
        <v>9</v>
      </c>
      <c r="D310" t="s">
        <v>66</v>
      </c>
      <c r="E310" t="s">
        <v>67</v>
      </c>
      <c r="F310">
        <v>19013</v>
      </c>
      <c r="G310" t="s">
        <v>27</v>
      </c>
      <c r="H310" t="s">
        <v>1013</v>
      </c>
      <c r="I310" s="1">
        <v>41812</v>
      </c>
      <c r="J310" s="1">
        <v>41817</v>
      </c>
      <c r="K310">
        <v>4</v>
      </c>
      <c r="L310" t="s">
        <v>1014</v>
      </c>
      <c r="M310">
        <v>3</v>
      </c>
      <c r="N310">
        <v>1</v>
      </c>
      <c r="O310">
        <v>0.3</v>
      </c>
      <c r="P310" t="b">
        <v>0</v>
      </c>
    </row>
    <row r="311" spans="1:16" x14ac:dyDescent="0.2">
      <c r="A311" t="s">
        <v>64</v>
      </c>
      <c r="B311" t="s">
        <v>65</v>
      </c>
      <c r="C311" t="s">
        <v>9</v>
      </c>
      <c r="D311" t="s">
        <v>66</v>
      </c>
      <c r="E311" t="s">
        <v>67</v>
      </c>
      <c r="F311">
        <v>19013</v>
      </c>
      <c r="G311" t="s">
        <v>27</v>
      </c>
      <c r="H311" t="s">
        <v>1013</v>
      </c>
      <c r="I311" s="1">
        <v>41812</v>
      </c>
      <c r="J311" s="1">
        <v>41817</v>
      </c>
      <c r="K311">
        <v>4</v>
      </c>
      <c r="L311" t="s">
        <v>1015</v>
      </c>
      <c r="M311">
        <v>3</v>
      </c>
      <c r="N311">
        <v>1</v>
      </c>
      <c r="O311">
        <v>0.4</v>
      </c>
      <c r="P311" t="b">
        <v>1</v>
      </c>
    </row>
    <row r="312" spans="1:16" x14ac:dyDescent="0.2">
      <c r="A312" t="s">
        <v>64</v>
      </c>
      <c r="B312" t="s">
        <v>65</v>
      </c>
      <c r="C312" t="s">
        <v>9</v>
      </c>
      <c r="D312" t="s">
        <v>66</v>
      </c>
      <c r="E312" t="s">
        <v>67</v>
      </c>
      <c r="F312">
        <v>19013</v>
      </c>
      <c r="G312" t="s">
        <v>27</v>
      </c>
      <c r="H312" t="s">
        <v>1013</v>
      </c>
      <c r="I312" s="1">
        <v>41812</v>
      </c>
      <c r="J312" s="1">
        <v>41817</v>
      </c>
      <c r="K312">
        <v>4</v>
      </c>
      <c r="L312" t="s">
        <v>1016</v>
      </c>
      <c r="M312">
        <v>5</v>
      </c>
      <c r="N312">
        <v>1</v>
      </c>
      <c r="O312">
        <v>0.3</v>
      </c>
      <c r="P312" t="b">
        <v>0</v>
      </c>
    </row>
    <row r="313" spans="1:16" x14ac:dyDescent="0.2">
      <c r="A313" t="s">
        <v>507</v>
      </c>
      <c r="B313" t="s">
        <v>285</v>
      </c>
      <c r="C313" t="s">
        <v>150</v>
      </c>
      <c r="D313" t="s">
        <v>16</v>
      </c>
      <c r="E313" t="s">
        <v>17</v>
      </c>
      <c r="F313">
        <v>94110</v>
      </c>
      <c r="G313" t="s">
        <v>18</v>
      </c>
      <c r="H313" t="s">
        <v>1017</v>
      </c>
      <c r="I313" s="1">
        <v>42002</v>
      </c>
      <c r="J313" s="1">
        <v>42006</v>
      </c>
      <c r="K313">
        <v>4</v>
      </c>
      <c r="L313" t="s">
        <v>1018</v>
      </c>
      <c r="M313">
        <v>5</v>
      </c>
      <c r="N313">
        <v>0</v>
      </c>
      <c r="O313">
        <v>0</v>
      </c>
      <c r="P313" t="b">
        <v>0</v>
      </c>
    </row>
    <row r="314" spans="1:16" x14ac:dyDescent="0.2">
      <c r="A314" t="s">
        <v>507</v>
      </c>
      <c r="B314" t="s">
        <v>285</v>
      </c>
      <c r="C314" t="s">
        <v>150</v>
      </c>
      <c r="D314" t="s">
        <v>16</v>
      </c>
      <c r="E314" t="s">
        <v>17</v>
      </c>
      <c r="F314">
        <v>94110</v>
      </c>
      <c r="G314" t="s">
        <v>18</v>
      </c>
      <c r="H314" t="s">
        <v>1017</v>
      </c>
      <c r="I314" s="1">
        <v>42002</v>
      </c>
      <c r="J314" s="1">
        <v>42006</v>
      </c>
      <c r="K314">
        <v>4</v>
      </c>
      <c r="L314" t="s">
        <v>1019</v>
      </c>
      <c r="M314">
        <v>4</v>
      </c>
      <c r="N314">
        <v>0</v>
      </c>
      <c r="O314">
        <v>0</v>
      </c>
      <c r="P314" t="b">
        <v>0</v>
      </c>
    </row>
    <row r="315" spans="1:16" x14ac:dyDescent="0.2">
      <c r="A315" t="s">
        <v>507</v>
      </c>
      <c r="B315" t="s">
        <v>285</v>
      </c>
      <c r="C315" t="s">
        <v>150</v>
      </c>
      <c r="D315" t="s">
        <v>16</v>
      </c>
      <c r="E315" t="s">
        <v>17</v>
      </c>
      <c r="F315">
        <v>94110</v>
      </c>
      <c r="G315" t="s">
        <v>18</v>
      </c>
      <c r="H315" t="s">
        <v>1017</v>
      </c>
      <c r="I315" s="1">
        <v>42002</v>
      </c>
      <c r="J315" s="1">
        <v>42006</v>
      </c>
      <c r="K315">
        <v>4</v>
      </c>
      <c r="L315" t="s">
        <v>748</v>
      </c>
      <c r="M315">
        <v>6</v>
      </c>
      <c r="N315">
        <v>1</v>
      </c>
      <c r="O315">
        <v>0.2</v>
      </c>
      <c r="P315" t="b">
        <v>0</v>
      </c>
    </row>
    <row r="316" spans="1:16" x14ac:dyDescent="0.2">
      <c r="A316" t="s">
        <v>507</v>
      </c>
      <c r="B316" t="s">
        <v>285</v>
      </c>
      <c r="C316" t="s">
        <v>150</v>
      </c>
      <c r="D316" t="s">
        <v>16</v>
      </c>
      <c r="E316" t="s">
        <v>17</v>
      </c>
      <c r="F316">
        <v>94110</v>
      </c>
      <c r="G316" t="s">
        <v>18</v>
      </c>
      <c r="H316" t="s">
        <v>1017</v>
      </c>
      <c r="I316" s="1">
        <v>42002</v>
      </c>
      <c r="J316" s="1">
        <v>42006</v>
      </c>
      <c r="K316">
        <v>4</v>
      </c>
      <c r="L316" t="s">
        <v>1020</v>
      </c>
      <c r="M316">
        <v>3</v>
      </c>
      <c r="N316">
        <v>1</v>
      </c>
      <c r="O316">
        <v>0.2</v>
      </c>
      <c r="P316" t="b">
        <v>0</v>
      </c>
    </row>
    <row r="317" spans="1:16" x14ac:dyDescent="0.2">
      <c r="A317" t="s">
        <v>507</v>
      </c>
      <c r="B317" t="s">
        <v>285</v>
      </c>
      <c r="C317" t="s">
        <v>150</v>
      </c>
      <c r="D317" t="s">
        <v>16</v>
      </c>
      <c r="E317" t="s">
        <v>17</v>
      </c>
      <c r="F317">
        <v>94110</v>
      </c>
      <c r="G317" t="s">
        <v>18</v>
      </c>
      <c r="H317" t="s">
        <v>1017</v>
      </c>
      <c r="I317" s="1">
        <v>42002</v>
      </c>
      <c r="J317" s="1">
        <v>42006</v>
      </c>
      <c r="K317">
        <v>4</v>
      </c>
      <c r="L317" t="s">
        <v>1021</v>
      </c>
      <c r="M317">
        <v>3</v>
      </c>
      <c r="N317">
        <v>1</v>
      </c>
      <c r="O317">
        <v>0.2</v>
      </c>
      <c r="P317" t="b">
        <v>0</v>
      </c>
    </row>
    <row r="318" spans="1:16" x14ac:dyDescent="0.2">
      <c r="A318" t="s">
        <v>507</v>
      </c>
      <c r="B318" t="s">
        <v>285</v>
      </c>
      <c r="C318" t="s">
        <v>150</v>
      </c>
      <c r="D318" t="s">
        <v>16</v>
      </c>
      <c r="E318" t="s">
        <v>17</v>
      </c>
      <c r="F318">
        <v>94110</v>
      </c>
      <c r="G318" t="s">
        <v>18</v>
      </c>
      <c r="H318" t="s">
        <v>1017</v>
      </c>
      <c r="I318" s="1">
        <v>42002</v>
      </c>
      <c r="J318" s="1">
        <v>42006</v>
      </c>
      <c r="K318">
        <v>4</v>
      </c>
      <c r="L318" t="s">
        <v>1022</v>
      </c>
      <c r="M318">
        <v>9</v>
      </c>
      <c r="N318">
        <v>0</v>
      </c>
      <c r="O318">
        <v>0</v>
      </c>
      <c r="P318" t="b">
        <v>0</v>
      </c>
    </row>
    <row r="319" spans="1:16" x14ac:dyDescent="0.2">
      <c r="A319" t="s">
        <v>507</v>
      </c>
      <c r="B319" t="s">
        <v>285</v>
      </c>
      <c r="C319" t="s">
        <v>150</v>
      </c>
      <c r="D319" t="s">
        <v>16</v>
      </c>
      <c r="E319" t="s">
        <v>17</v>
      </c>
      <c r="F319">
        <v>94110</v>
      </c>
      <c r="G319" t="s">
        <v>18</v>
      </c>
      <c r="H319" t="s">
        <v>1017</v>
      </c>
      <c r="I319" s="1">
        <v>42002</v>
      </c>
      <c r="J319" s="1">
        <v>42006</v>
      </c>
      <c r="K319">
        <v>4</v>
      </c>
      <c r="L319" t="s">
        <v>1023</v>
      </c>
      <c r="M319">
        <v>6</v>
      </c>
      <c r="N319">
        <v>0</v>
      </c>
      <c r="O319">
        <v>0</v>
      </c>
      <c r="P319" t="b">
        <v>0</v>
      </c>
    </row>
    <row r="320" spans="1:16" x14ac:dyDescent="0.2">
      <c r="A320" t="s">
        <v>425</v>
      </c>
      <c r="B320" t="s">
        <v>163</v>
      </c>
      <c r="C320" t="s">
        <v>9</v>
      </c>
      <c r="D320" t="s">
        <v>85</v>
      </c>
      <c r="E320" t="s">
        <v>86</v>
      </c>
      <c r="F320">
        <v>98105</v>
      </c>
      <c r="G320" t="s">
        <v>18</v>
      </c>
      <c r="H320" t="s">
        <v>1024</v>
      </c>
      <c r="I320" s="1">
        <v>42698</v>
      </c>
      <c r="J320" s="1">
        <v>42701</v>
      </c>
      <c r="K320">
        <v>2</v>
      </c>
      <c r="L320" t="s">
        <v>1025</v>
      </c>
      <c r="M320">
        <v>5</v>
      </c>
      <c r="N320">
        <v>1</v>
      </c>
      <c r="O320">
        <v>0.2</v>
      </c>
      <c r="P320" t="b">
        <v>0</v>
      </c>
    </row>
    <row r="321" spans="1:16" x14ac:dyDescent="0.2">
      <c r="A321" t="s">
        <v>418</v>
      </c>
      <c r="B321" t="s">
        <v>152</v>
      </c>
      <c r="C321" t="s">
        <v>150</v>
      </c>
      <c r="D321" t="s">
        <v>153</v>
      </c>
      <c r="E321" t="s">
        <v>124</v>
      </c>
      <c r="F321">
        <v>60623</v>
      </c>
      <c r="G321" t="s">
        <v>12</v>
      </c>
      <c r="H321" t="s">
        <v>1026</v>
      </c>
      <c r="I321" s="1">
        <v>41961</v>
      </c>
      <c r="J321" s="1">
        <v>41968</v>
      </c>
      <c r="K321">
        <v>4</v>
      </c>
      <c r="L321" t="s">
        <v>1027</v>
      </c>
      <c r="M321">
        <v>5</v>
      </c>
      <c r="N321">
        <v>1</v>
      </c>
      <c r="O321">
        <v>0.8</v>
      </c>
      <c r="P321" t="b">
        <v>0</v>
      </c>
    </row>
    <row r="322" spans="1:16" x14ac:dyDescent="0.2">
      <c r="A322" t="s">
        <v>526</v>
      </c>
      <c r="B322" t="s">
        <v>313</v>
      </c>
      <c r="C322" t="s">
        <v>9</v>
      </c>
      <c r="D322" t="s">
        <v>314</v>
      </c>
      <c r="E322" t="s">
        <v>315</v>
      </c>
      <c r="F322">
        <v>80525</v>
      </c>
      <c r="G322" t="s">
        <v>18</v>
      </c>
      <c r="H322" t="s">
        <v>1028</v>
      </c>
      <c r="I322" s="1">
        <v>42476</v>
      </c>
      <c r="J322" s="1">
        <v>42483</v>
      </c>
      <c r="K322">
        <v>1</v>
      </c>
      <c r="L322" t="s">
        <v>1029</v>
      </c>
      <c r="M322">
        <v>3</v>
      </c>
      <c r="N322">
        <v>0</v>
      </c>
      <c r="O322">
        <v>0</v>
      </c>
      <c r="P322" t="b">
        <v>1</v>
      </c>
    </row>
    <row r="323" spans="1:16" x14ac:dyDescent="0.2">
      <c r="A323" t="s">
        <v>490</v>
      </c>
      <c r="B323" t="s">
        <v>262</v>
      </c>
      <c r="C323" t="s">
        <v>9</v>
      </c>
      <c r="D323" t="s">
        <v>25</v>
      </c>
      <c r="E323" t="s">
        <v>26</v>
      </c>
      <c r="F323">
        <v>10035</v>
      </c>
      <c r="G323" t="s">
        <v>27</v>
      </c>
      <c r="H323" t="s">
        <v>1030</v>
      </c>
      <c r="I323" s="1">
        <v>42869</v>
      </c>
      <c r="J323" s="1">
        <v>42873</v>
      </c>
      <c r="K323">
        <v>4</v>
      </c>
      <c r="L323" t="s">
        <v>1031</v>
      </c>
      <c r="M323">
        <v>3</v>
      </c>
      <c r="N323">
        <v>0</v>
      </c>
      <c r="O323">
        <v>0</v>
      </c>
      <c r="P323" t="b">
        <v>0</v>
      </c>
    </row>
    <row r="324" spans="1:16" x14ac:dyDescent="0.2">
      <c r="A324" t="s">
        <v>490</v>
      </c>
      <c r="B324" t="s">
        <v>262</v>
      </c>
      <c r="C324" t="s">
        <v>9</v>
      </c>
      <c r="D324" t="s">
        <v>25</v>
      </c>
      <c r="E324" t="s">
        <v>26</v>
      </c>
      <c r="F324">
        <v>10035</v>
      </c>
      <c r="G324" t="s">
        <v>27</v>
      </c>
      <c r="H324" t="s">
        <v>1030</v>
      </c>
      <c r="I324" s="1">
        <v>42869</v>
      </c>
      <c r="J324" s="1">
        <v>42873</v>
      </c>
      <c r="K324">
        <v>4</v>
      </c>
      <c r="L324" t="s">
        <v>1032</v>
      </c>
      <c r="M324">
        <v>2</v>
      </c>
      <c r="N324">
        <v>0</v>
      </c>
      <c r="O324">
        <v>0</v>
      </c>
      <c r="P324" t="b">
        <v>0</v>
      </c>
    </row>
    <row r="325" spans="1:16" x14ac:dyDescent="0.2">
      <c r="A325" t="s">
        <v>535</v>
      </c>
      <c r="B325" t="s">
        <v>326</v>
      </c>
      <c r="C325" t="s">
        <v>150</v>
      </c>
      <c r="D325" t="s">
        <v>327</v>
      </c>
      <c r="E325" t="s">
        <v>86</v>
      </c>
      <c r="F325">
        <v>98661</v>
      </c>
      <c r="G325" t="s">
        <v>18</v>
      </c>
      <c r="H325" t="s">
        <v>1033</v>
      </c>
      <c r="I325" s="1">
        <v>42071</v>
      </c>
      <c r="J325" s="1">
        <v>42076</v>
      </c>
      <c r="K325">
        <v>3</v>
      </c>
      <c r="L325" t="s">
        <v>1034</v>
      </c>
      <c r="M325">
        <v>3</v>
      </c>
      <c r="N325">
        <v>0</v>
      </c>
      <c r="O325">
        <v>0</v>
      </c>
      <c r="P325" t="b">
        <v>0</v>
      </c>
    </row>
    <row r="326" spans="1:16" x14ac:dyDescent="0.2">
      <c r="A326" t="s">
        <v>450</v>
      </c>
      <c r="B326" t="s">
        <v>203</v>
      </c>
      <c r="C326" t="s">
        <v>150</v>
      </c>
      <c r="D326" t="s">
        <v>16</v>
      </c>
      <c r="E326" t="s">
        <v>17</v>
      </c>
      <c r="F326">
        <v>94122</v>
      </c>
      <c r="G326" t="s">
        <v>18</v>
      </c>
      <c r="H326" t="s">
        <v>1035</v>
      </c>
      <c r="I326" s="1">
        <v>42709</v>
      </c>
      <c r="J326" s="1">
        <v>42711</v>
      </c>
      <c r="K326">
        <v>2</v>
      </c>
      <c r="L326" t="s">
        <v>1036</v>
      </c>
      <c r="M326">
        <v>1</v>
      </c>
      <c r="N326">
        <v>0</v>
      </c>
      <c r="O326">
        <v>0</v>
      </c>
      <c r="P326" t="b">
        <v>0</v>
      </c>
    </row>
    <row r="327" spans="1:16" x14ac:dyDescent="0.2">
      <c r="A327" t="s">
        <v>516</v>
      </c>
      <c r="B327" t="s">
        <v>300</v>
      </c>
      <c r="C327" t="s">
        <v>90</v>
      </c>
      <c r="D327" t="s">
        <v>246</v>
      </c>
      <c r="E327" t="s">
        <v>59</v>
      </c>
      <c r="F327">
        <v>2920</v>
      </c>
      <c r="G327" t="s">
        <v>27</v>
      </c>
      <c r="H327" t="s">
        <v>1037</v>
      </c>
      <c r="I327" s="1">
        <v>41943</v>
      </c>
      <c r="J327" s="1">
        <v>41945</v>
      </c>
      <c r="K327">
        <v>3</v>
      </c>
      <c r="L327" t="s">
        <v>1038</v>
      </c>
      <c r="M327">
        <v>5</v>
      </c>
      <c r="N327">
        <v>0</v>
      </c>
      <c r="O327">
        <v>0</v>
      </c>
      <c r="P327" t="b">
        <v>1</v>
      </c>
    </row>
    <row r="328" spans="1:16" x14ac:dyDescent="0.2">
      <c r="A328" t="s">
        <v>516</v>
      </c>
      <c r="B328" t="s">
        <v>300</v>
      </c>
      <c r="C328" t="s">
        <v>90</v>
      </c>
      <c r="D328" t="s">
        <v>246</v>
      </c>
      <c r="E328" t="s">
        <v>59</v>
      </c>
      <c r="F328">
        <v>2920</v>
      </c>
      <c r="G328" t="s">
        <v>27</v>
      </c>
      <c r="H328" t="s">
        <v>1037</v>
      </c>
      <c r="I328" s="1">
        <v>41943</v>
      </c>
      <c r="J328" s="1">
        <v>41945</v>
      </c>
      <c r="K328">
        <v>3</v>
      </c>
      <c r="L328" t="s">
        <v>1039</v>
      </c>
      <c r="M328">
        <v>2</v>
      </c>
      <c r="N328">
        <v>0</v>
      </c>
      <c r="O328">
        <v>0</v>
      </c>
      <c r="P328" t="b">
        <v>0</v>
      </c>
    </row>
    <row r="329" spans="1:16" x14ac:dyDescent="0.2">
      <c r="A329" t="s">
        <v>516</v>
      </c>
      <c r="B329" t="s">
        <v>300</v>
      </c>
      <c r="C329" t="s">
        <v>90</v>
      </c>
      <c r="D329" t="s">
        <v>246</v>
      </c>
      <c r="E329" t="s">
        <v>59</v>
      </c>
      <c r="F329">
        <v>2920</v>
      </c>
      <c r="G329" t="s">
        <v>27</v>
      </c>
      <c r="H329" t="s">
        <v>1037</v>
      </c>
      <c r="I329" s="1">
        <v>41943</v>
      </c>
      <c r="J329" s="1">
        <v>41945</v>
      </c>
      <c r="K329">
        <v>3</v>
      </c>
      <c r="L329" t="s">
        <v>1040</v>
      </c>
      <c r="M329">
        <v>2</v>
      </c>
      <c r="N329">
        <v>0</v>
      </c>
      <c r="O329">
        <v>0</v>
      </c>
      <c r="P329" t="b">
        <v>0</v>
      </c>
    </row>
    <row r="330" spans="1:16" x14ac:dyDescent="0.2">
      <c r="A330" t="s">
        <v>516</v>
      </c>
      <c r="B330" t="s">
        <v>300</v>
      </c>
      <c r="C330" t="s">
        <v>90</v>
      </c>
      <c r="D330" t="s">
        <v>246</v>
      </c>
      <c r="E330" t="s">
        <v>59</v>
      </c>
      <c r="F330">
        <v>2920</v>
      </c>
      <c r="G330" t="s">
        <v>27</v>
      </c>
      <c r="H330" t="s">
        <v>1037</v>
      </c>
      <c r="I330" s="1">
        <v>41943</v>
      </c>
      <c r="J330" s="1">
        <v>41945</v>
      </c>
      <c r="K330">
        <v>3</v>
      </c>
      <c r="L330" t="s">
        <v>1041</v>
      </c>
      <c r="M330">
        <v>2</v>
      </c>
      <c r="N330">
        <v>0</v>
      </c>
      <c r="O330">
        <v>0</v>
      </c>
      <c r="P330" t="b">
        <v>0</v>
      </c>
    </row>
    <row r="331" spans="1:16" x14ac:dyDescent="0.2">
      <c r="A331" t="s">
        <v>516</v>
      </c>
      <c r="B331" t="s">
        <v>300</v>
      </c>
      <c r="C331" t="s">
        <v>90</v>
      </c>
      <c r="D331" t="s">
        <v>246</v>
      </c>
      <c r="E331" t="s">
        <v>59</v>
      </c>
      <c r="F331">
        <v>2920</v>
      </c>
      <c r="G331" t="s">
        <v>27</v>
      </c>
      <c r="H331" t="s">
        <v>1037</v>
      </c>
      <c r="I331" s="1">
        <v>41943</v>
      </c>
      <c r="J331" s="1">
        <v>41945</v>
      </c>
      <c r="K331">
        <v>3</v>
      </c>
      <c r="L331" t="s">
        <v>1042</v>
      </c>
      <c r="M331">
        <v>3</v>
      </c>
      <c r="N331">
        <v>0</v>
      </c>
      <c r="O331">
        <v>0</v>
      </c>
      <c r="P331" t="b">
        <v>0</v>
      </c>
    </row>
    <row r="332" spans="1:16" x14ac:dyDescent="0.2">
      <c r="A332" t="s">
        <v>516</v>
      </c>
      <c r="B332" t="s">
        <v>300</v>
      </c>
      <c r="C332" t="s">
        <v>90</v>
      </c>
      <c r="D332" t="s">
        <v>246</v>
      </c>
      <c r="E332" t="s">
        <v>59</v>
      </c>
      <c r="F332">
        <v>2920</v>
      </c>
      <c r="G332" t="s">
        <v>27</v>
      </c>
      <c r="H332" t="s">
        <v>1037</v>
      </c>
      <c r="I332" s="1">
        <v>41943</v>
      </c>
      <c r="J332" s="1">
        <v>41945</v>
      </c>
      <c r="K332">
        <v>3</v>
      </c>
      <c r="L332" t="s">
        <v>1043</v>
      </c>
      <c r="M332">
        <v>5</v>
      </c>
      <c r="N332">
        <v>0</v>
      </c>
      <c r="O332">
        <v>0</v>
      </c>
      <c r="P332" t="b">
        <v>0</v>
      </c>
    </row>
    <row r="333" spans="1:16" x14ac:dyDescent="0.2">
      <c r="A333" t="s">
        <v>516</v>
      </c>
      <c r="B333" t="s">
        <v>300</v>
      </c>
      <c r="C333" t="s">
        <v>90</v>
      </c>
      <c r="D333" t="s">
        <v>246</v>
      </c>
      <c r="E333" t="s">
        <v>59</v>
      </c>
      <c r="F333">
        <v>2920</v>
      </c>
      <c r="G333" t="s">
        <v>27</v>
      </c>
      <c r="H333" t="s">
        <v>1037</v>
      </c>
      <c r="I333" s="1">
        <v>41943</v>
      </c>
      <c r="J333" s="1">
        <v>41945</v>
      </c>
      <c r="K333">
        <v>3</v>
      </c>
      <c r="L333" t="s">
        <v>1044</v>
      </c>
      <c r="M333">
        <v>1</v>
      </c>
      <c r="N333">
        <v>1</v>
      </c>
      <c r="O333">
        <v>0.3</v>
      </c>
      <c r="P333" t="b">
        <v>1</v>
      </c>
    </row>
    <row r="334" spans="1:16" x14ac:dyDescent="0.2">
      <c r="A334" t="s">
        <v>492</v>
      </c>
      <c r="B334" t="s">
        <v>264</v>
      </c>
      <c r="C334" t="s">
        <v>9</v>
      </c>
      <c r="D334" t="s">
        <v>153</v>
      </c>
      <c r="E334" t="s">
        <v>124</v>
      </c>
      <c r="F334">
        <v>60623</v>
      </c>
      <c r="G334" t="s">
        <v>12</v>
      </c>
      <c r="H334" t="s">
        <v>1045</v>
      </c>
      <c r="I334" s="1">
        <v>43078</v>
      </c>
      <c r="J334" s="1">
        <v>43083</v>
      </c>
      <c r="K334">
        <v>4</v>
      </c>
      <c r="L334" t="s">
        <v>1046</v>
      </c>
      <c r="M334">
        <v>2</v>
      </c>
      <c r="N334">
        <v>1</v>
      </c>
      <c r="O334">
        <v>0.2</v>
      </c>
      <c r="P334" t="b">
        <v>0</v>
      </c>
    </row>
    <row r="335" spans="1:16" x14ac:dyDescent="0.2">
      <c r="A335" t="s">
        <v>419</v>
      </c>
      <c r="B335" t="s">
        <v>154</v>
      </c>
      <c r="C335" t="s">
        <v>150</v>
      </c>
      <c r="D335" t="s">
        <v>38</v>
      </c>
      <c r="E335" t="s">
        <v>17</v>
      </c>
      <c r="F335">
        <v>90004</v>
      </c>
      <c r="G335" t="s">
        <v>18</v>
      </c>
      <c r="H335" t="s">
        <v>1047</v>
      </c>
      <c r="I335" s="1">
        <v>42053</v>
      </c>
      <c r="J335" s="1">
        <v>42057</v>
      </c>
      <c r="K335">
        <v>4</v>
      </c>
      <c r="L335" t="s">
        <v>1048</v>
      </c>
      <c r="M335">
        <v>3</v>
      </c>
      <c r="N335">
        <v>0</v>
      </c>
      <c r="O335">
        <v>0</v>
      </c>
      <c r="P335" t="b">
        <v>0</v>
      </c>
    </row>
    <row r="336" spans="1:16" x14ac:dyDescent="0.2">
      <c r="A336" t="s">
        <v>516</v>
      </c>
      <c r="B336" t="s">
        <v>300</v>
      </c>
      <c r="C336" t="s">
        <v>90</v>
      </c>
      <c r="D336" t="s">
        <v>246</v>
      </c>
      <c r="E336" t="s">
        <v>59</v>
      </c>
      <c r="F336">
        <v>2920</v>
      </c>
      <c r="G336" t="s">
        <v>27</v>
      </c>
      <c r="H336" t="s">
        <v>1049</v>
      </c>
      <c r="I336" s="1">
        <v>42911</v>
      </c>
      <c r="J336" s="1">
        <v>42915</v>
      </c>
      <c r="K336">
        <v>3</v>
      </c>
      <c r="L336" t="s">
        <v>1050</v>
      </c>
      <c r="M336">
        <v>4</v>
      </c>
      <c r="N336">
        <v>0</v>
      </c>
      <c r="O336">
        <v>0</v>
      </c>
      <c r="P336" t="b">
        <v>0</v>
      </c>
    </row>
    <row r="337" spans="1:16" x14ac:dyDescent="0.2">
      <c r="A337" t="s">
        <v>453</v>
      </c>
      <c r="B337" t="s">
        <v>207</v>
      </c>
      <c r="C337" t="s">
        <v>150</v>
      </c>
      <c r="D337" t="s">
        <v>208</v>
      </c>
      <c r="E337" t="s">
        <v>31</v>
      </c>
      <c r="F337">
        <v>85345</v>
      </c>
      <c r="G337" t="s">
        <v>18</v>
      </c>
      <c r="H337" t="s">
        <v>1051</v>
      </c>
      <c r="I337" s="1">
        <v>42300</v>
      </c>
      <c r="J337" s="1">
        <v>42305</v>
      </c>
      <c r="K337">
        <v>4</v>
      </c>
      <c r="L337" t="s">
        <v>1052</v>
      </c>
      <c r="M337">
        <v>1</v>
      </c>
      <c r="N337">
        <v>1</v>
      </c>
      <c r="O337">
        <v>0.2</v>
      </c>
      <c r="P337" t="b">
        <v>0</v>
      </c>
    </row>
    <row r="338" spans="1:16" x14ac:dyDescent="0.2">
      <c r="A338" t="s">
        <v>398</v>
      </c>
      <c r="B338" t="s">
        <v>111</v>
      </c>
      <c r="C338" t="s">
        <v>9</v>
      </c>
      <c r="D338" t="s">
        <v>112</v>
      </c>
      <c r="E338" t="s">
        <v>104</v>
      </c>
      <c r="F338">
        <v>46203</v>
      </c>
      <c r="G338" t="s">
        <v>12</v>
      </c>
      <c r="H338" t="s">
        <v>1053</v>
      </c>
      <c r="I338" s="1">
        <v>41993</v>
      </c>
      <c r="J338" s="1">
        <v>41996</v>
      </c>
      <c r="K338">
        <v>2</v>
      </c>
      <c r="L338" t="s">
        <v>1054</v>
      </c>
      <c r="M338">
        <v>1</v>
      </c>
      <c r="N338">
        <v>0</v>
      </c>
      <c r="O338">
        <v>0</v>
      </c>
      <c r="P338" t="b">
        <v>0</v>
      </c>
    </row>
    <row r="339" spans="1:16" x14ac:dyDescent="0.2">
      <c r="A339" t="s">
        <v>398</v>
      </c>
      <c r="B339" t="s">
        <v>111</v>
      </c>
      <c r="C339" t="s">
        <v>9</v>
      </c>
      <c r="D339" t="s">
        <v>112</v>
      </c>
      <c r="E339" t="s">
        <v>104</v>
      </c>
      <c r="F339">
        <v>46203</v>
      </c>
      <c r="G339" t="s">
        <v>12</v>
      </c>
      <c r="H339" t="s">
        <v>1053</v>
      </c>
      <c r="I339" s="1">
        <v>41993</v>
      </c>
      <c r="J339" s="1">
        <v>41996</v>
      </c>
      <c r="K339">
        <v>2</v>
      </c>
      <c r="L339" t="s">
        <v>1055</v>
      </c>
      <c r="M339">
        <v>3</v>
      </c>
      <c r="N339">
        <v>0</v>
      </c>
      <c r="O339">
        <v>0</v>
      </c>
      <c r="P339" t="b">
        <v>0</v>
      </c>
    </row>
    <row r="340" spans="1:16" x14ac:dyDescent="0.2">
      <c r="A340" t="s">
        <v>556</v>
      </c>
      <c r="B340" t="s">
        <v>360</v>
      </c>
      <c r="C340" t="s">
        <v>90</v>
      </c>
      <c r="D340" t="s">
        <v>38</v>
      </c>
      <c r="E340" t="s">
        <v>17</v>
      </c>
      <c r="F340">
        <v>90004</v>
      </c>
      <c r="G340" t="s">
        <v>18</v>
      </c>
      <c r="H340" t="s">
        <v>1056</v>
      </c>
      <c r="I340" s="1">
        <v>43078</v>
      </c>
      <c r="J340" s="1">
        <v>43082</v>
      </c>
      <c r="K340">
        <v>3</v>
      </c>
      <c r="L340" t="s">
        <v>1057</v>
      </c>
      <c r="M340">
        <v>2</v>
      </c>
      <c r="N340">
        <v>0</v>
      </c>
      <c r="O340">
        <v>0</v>
      </c>
      <c r="P340" t="b">
        <v>0</v>
      </c>
    </row>
    <row r="341" spans="1:16" x14ac:dyDescent="0.2">
      <c r="A341" t="s">
        <v>556</v>
      </c>
      <c r="B341" t="s">
        <v>360</v>
      </c>
      <c r="C341" t="s">
        <v>90</v>
      </c>
      <c r="D341" t="s">
        <v>38</v>
      </c>
      <c r="E341" t="s">
        <v>17</v>
      </c>
      <c r="F341">
        <v>90004</v>
      </c>
      <c r="G341" t="s">
        <v>18</v>
      </c>
      <c r="H341" t="s">
        <v>1056</v>
      </c>
      <c r="I341" s="1">
        <v>43078</v>
      </c>
      <c r="J341" s="1">
        <v>43082</v>
      </c>
      <c r="K341">
        <v>3</v>
      </c>
      <c r="L341" t="s">
        <v>883</v>
      </c>
      <c r="M341">
        <v>9</v>
      </c>
      <c r="N341">
        <v>1</v>
      </c>
      <c r="O341">
        <v>0.2</v>
      </c>
      <c r="P341" t="b">
        <v>0</v>
      </c>
    </row>
    <row r="342" spans="1:16" x14ac:dyDescent="0.2">
      <c r="A342" t="s">
        <v>556</v>
      </c>
      <c r="B342" t="s">
        <v>360</v>
      </c>
      <c r="C342" t="s">
        <v>90</v>
      </c>
      <c r="D342" t="s">
        <v>38</v>
      </c>
      <c r="E342" t="s">
        <v>17</v>
      </c>
      <c r="F342">
        <v>90004</v>
      </c>
      <c r="G342" t="s">
        <v>18</v>
      </c>
      <c r="H342" t="s">
        <v>1056</v>
      </c>
      <c r="I342" s="1">
        <v>43078</v>
      </c>
      <c r="J342" s="1">
        <v>43082</v>
      </c>
      <c r="K342">
        <v>3</v>
      </c>
      <c r="L342" t="s">
        <v>1058</v>
      </c>
      <c r="M342">
        <v>1</v>
      </c>
      <c r="N342">
        <v>0</v>
      </c>
      <c r="O342">
        <v>0</v>
      </c>
      <c r="P342" t="b">
        <v>0</v>
      </c>
    </row>
    <row r="343" spans="1:16" x14ac:dyDescent="0.2">
      <c r="A343" t="s">
        <v>493</v>
      </c>
      <c r="B343" t="s">
        <v>265</v>
      </c>
      <c r="C343" t="s">
        <v>9</v>
      </c>
      <c r="D343" t="s">
        <v>85</v>
      </c>
      <c r="E343" t="s">
        <v>86</v>
      </c>
      <c r="F343">
        <v>98105</v>
      </c>
      <c r="G343" t="s">
        <v>18</v>
      </c>
      <c r="H343" t="s">
        <v>1059</v>
      </c>
      <c r="I343" s="1">
        <v>41938</v>
      </c>
      <c r="J343" s="1">
        <v>41942</v>
      </c>
      <c r="K343">
        <v>3</v>
      </c>
      <c r="L343" t="s">
        <v>1060</v>
      </c>
      <c r="M343">
        <v>4</v>
      </c>
      <c r="N343">
        <v>0</v>
      </c>
      <c r="O343">
        <v>0</v>
      </c>
      <c r="P343" t="b">
        <v>0</v>
      </c>
    </row>
    <row r="344" spans="1:16" x14ac:dyDescent="0.2">
      <c r="A344" t="s">
        <v>493</v>
      </c>
      <c r="B344" t="s">
        <v>265</v>
      </c>
      <c r="C344" t="s">
        <v>9</v>
      </c>
      <c r="D344" t="s">
        <v>85</v>
      </c>
      <c r="E344" t="s">
        <v>86</v>
      </c>
      <c r="F344">
        <v>98105</v>
      </c>
      <c r="G344" t="s">
        <v>18</v>
      </c>
      <c r="H344" t="s">
        <v>1059</v>
      </c>
      <c r="I344" s="1">
        <v>41938</v>
      </c>
      <c r="J344" s="1">
        <v>41942</v>
      </c>
      <c r="K344">
        <v>3</v>
      </c>
      <c r="L344" t="s">
        <v>1061</v>
      </c>
      <c r="M344">
        <v>5</v>
      </c>
      <c r="N344">
        <v>1</v>
      </c>
      <c r="O344">
        <v>0.2</v>
      </c>
      <c r="P344" t="b">
        <v>0</v>
      </c>
    </row>
    <row r="345" spans="1:16" x14ac:dyDescent="0.2">
      <c r="A345" t="s">
        <v>574</v>
      </c>
      <c r="B345" t="s">
        <v>573</v>
      </c>
      <c r="C345" t="s">
        <v>9</v>
      </c>
      <c r="D345" t="s">
        <v>38</v>
      </c>
      <c r="E345" t="s">
        <v>17</v>
      </c>
      <c r="F345">
        <v>90036</v>
      </c>
      <c r="G345" t="s">
        <v>18</v>
      </c>
      <c r="H345" t="s">
        <v>1062</v>
      </c>
      <c r="I345" s="1">
        <v>42180</v>
      </c>
      <c r="J345" s="1">
        <v>42186</v>
      </c>
      <c r="K345">
        <v>4</v>
      </c>
      <c r="L345" t="s">
        <v>1063</v>
      </c>
      <c r="M345">
        <v>2</v>
      </c>
      <c r="N345">
        <v>0</v>
      </c>
      <c r="O345">
        <v>0</v>
      </c>
      <c r="P345" t="b">
        <v>0</v>
      </c>
    </row>
    <row r="346" spans="1:16" x14ac:dyDescent="0.2">
      <c r="A346" t="s">
        <v>574</v>
      </c>
      <c r="B346" t="s">
        <v>573</v>
      </c>
      <c r="C346" t="s">
        <v>9</v>
      </c>
      <c r="D346" t="s">
        <v>38</v>
      </c>
      <c r="E346" t="s">
        <v>17</v>
      </c>
      <c r="F346">
        <v>90036</v>
      </c>
      <c r="G346" t="s">
        <v>18</v>
      </c>
      <c r="H346" t="s">
        <v>1062</v>
      </c>
      <c r="I346" s="1">
        <v>42180</v>
      </c>
      <c r="J346" s="1">
        <v>42186</v>
      </c>
      <c r="K346">
        <v>4</v>
      </c>
      <c r="L346" t="s">
        <v>1064</v>
      </c>
      <c r="M346">
        <v>3</v>
      </c>
      <c r="N346">
        <v>1</v>
      </c>
      <c r="O346">
        <v>0.2</v>
      </c>
      <c r="P346" t="b">
        <v>0</v>
      </c>
    </row>
    <row r="347" spans="1:16" x14ac:dyDescent="0.2">
      <c r="A347" t="s">
        <v>574</v>
      </c>
      <c r="B347" t="s">
        <v>573</v>
      </c>
      <c r="C347" t="s">
        <v>9</v>
      </c>
      <c r="D347" t="s">
        <v>38</v>
      </c>
      <c r="E347" t="s">
        <v>17</v>
      </c>
      <c r="F347">
        <v>90036</v>
      </c>
      <c r="G347" t="s">
        <v>18</v>
      </c>
      <c r="H347" t="s">
        <v>1062</v>
      </c>
      <c r="I347" s="1">
        <v>42180</v>
      </c>
      <c r="J347" s="1">
        <v>42186</v>
      </c>
      <c r="K347">
        <v>4</v>
      </c>
      <c r="L347" t="s">
        <v>1065</v>
      </c>
      <c r="M347">
        <v>3</v>
      </c>
      <c r="N347">
        <v>0</v>
      </c>
      <c r="O347">
        <v>0</v>
      </c>
      <c r="P347" t="b">
        <v>0</v>
      </c>
    </row>
    <row r="348" spans="1:16" x14ac:dyDescent="0.2">
      <c r="A348" t="s">
        <v>579</v>
      </c>
      <c r="B348" t="s">
        <v>577</v>
      </c>
      <c r="C348" t="s">
        <v>9</v>
      </c>
      <c r="D348" t="s">
        <v>578</v>
      </c>
      <c r="E348" t="s">
        <v>17</v>
      </c>
      <c r="F348">
        <v>95207</v>
      </c>
      <c r="G348" t="s">
        <v>18</v>
      </c>
      <c r="H348" t="s">
        <v>1066</v>
      </c>
      <c r="I348" s="1">
        <v>43079</v>
      </c>
      <c r="J348" s="1">
        <v>43081</v>
      </c>
      <c r="K348">
        <v>3</v>
      </c>
      <c r="L348" t="s">
        <v>1067</v>
      </c>
      <c r="M348">
        <v>4</v>
      </c>
      <c r="N348">
        <v>1</v>
      </c>
      <c r="O348">
        <v>0.2</v>
      </c>
      <c r="P348" t="b">
        <v>0</v>
      </c>
    </row>
    <row r="349" spans="1:16" x14ac:dyDescent="0.2">
      <c r="A349" t="s">
        <v>579</v>
      </c>
      <c r="B349" t="s">
        <v>577</v>
      </c>
      <c r="C349" t="s">
        <v>9</v>
      </c>
      <c r="D349" t="s">
        <v>578</v>
      </c>
      <c r="E349" t="s">
        <v>17</v>
      </c>
      <c r="F349">
        <v>95207</v>
      </c>
      <c r="G349" t="s">
        <v>18</v>
      </c>
      <c r="H349" t="s">
        <v>1066</v>
      </c>
      <c r="I349" s="1">
        <v>43079</v>
      </c>
      <c r="J349" s="1">
        <v>43081</v>
      </c>
      <c r="K349">
        <v>3</v>
      </c>
      <c r="L349" t="s">
        <v>1068</v>
      </c>
      <c r="M349">
        <v>2</v>
      </c>
      <c r="N349">
        <v>0</v>
      </c>
      <c r="O349">
        <v>0</v>
      </c>
      <c r="P349" t="b">
        <v>0</v>
      </c>
    </row>
    <row r="350" spans="1:16" x14ac:dyDescent="0.2">
      <c r="A350" t="s">
        <v>495</v>
      </c>
      <c r="B350" t="s">
        <v>268</v>
      </c>
      <c r="C350" t="s">
        <v>150</v>
      </c>
      <c r="D350" t="s">
        <v>76</v>
      </c>
      <c r="E350" t="s">
        <v>17</v>
      </c>
      <c r="F350">
        <v>92024</v>
      </c>
      <c r="G350" t="s">
        <v>18</v>
      </c>
      <c r="H350" t="s">
        <v>1069</v>
      </c>
      <c r="I350" s="1">
        <v>42689</v>
      </c>
      <c r="J350" s="1">
        <v>42693</v>
      </c>
      <c r="K350">
        <v>4</v>
      </c>
      <c r="L350" t="s">
        <v>1070</v>
      </c>
      <c r="M350">
        <v>2</v>
      </c>
      <c r="N350">
        <v>1</v>
      </c>
      <c r="O350">
        <v>0.2</v>
      </c>
      <c r="P350" t="b">
        <v>0</v>
      </c>
    </row>
    <row r="351" spans="1:16" x14ac:dyDescent="0.2">
      <c r="A351" t="s">
        <v>487</v>
      </c>
      <c r="B351" t="s">
        <v>257</v>
      </c>
      <c r="C351" t="s">
        <v>9</v>
      </c>
      <c r="D351" t="s">
        <v>258</v>
      </c>
      <c r="E351" t="s">
        <v>17</v>
      </c>
      <c r="F351">
        <v>94513</v>
      </c>
      <c r="G351" t="s">
        <v>18</v>
      </c>
      <c r="H351" t="s">
        <v>1071</v>
      </c>
      <c r="I351" s="1">
        <v>41972</v>
      </c>
      <c r="J351" s="1">
        <v>41979</v>
      </c>
      <c r="K351">
        <v>4</v>
      </c>
      <c r="L351" t="s">
        <v>1072</v>
      </c>
      <c r="M351">
        <v>2</v>
      </c>
      <c r="N351">
        <v>1</v>
      </c>
      <c r="O351">
        <v>0.2</v>
      </c>
      <c r="P351" t="b">
        <v>0</v>
      </c>
    </row>
    <row r="352" spans="1:16" x14ac:dyDescent="0.2">
      <c r="A352" t="s">
        <v>487</v>
      </c>
      <c r="B352" t="s">
        <v>257</v>
      </c>
      <c r="C352" t="s">
        <v>9</v>
      </c>
      <c r="D352" t="s">
        <v>258</v>
      </c>
      <c r="E352" t="s">
        <v>17</v>
      </c>
      <c r="F352">
        <v>94513</v>
      </c>
      <c r="G352" t="s">
        <v>18</v>
      </c>
      <c r="H352" t="s">
        <v>1071</v>
      </c>
      <c r="I352" s="1">
        <v>41972</v>
      </c>
      <c r="J352" s="1">
        <v>41979</v>
      </c>
      <c r="K352">
        <v>4</v>
      </c>
      <c r="L352" t="s">
        <v>1073</v>
      </c>
      <c r="M352">
        <v>5</v>
      </c>
      <c r="N352">
        <v>0</v>
      </c>
      <c r="O352">
        <v>0</v>
      </c>
      <c r="P352" t="b">
        <v>0</v>
      </c>
    </row>
    <row r="353" spans="1:16" x14ac:dyDescent="0.2">
      <c r="A353" t="s">
        <v>527</v>
      </c>
      <c r="B353" t="s">
        <v>316</v>
      </c>
      <c r="C353" t="s">
        <v>9</v>
      </c>
      <c r="D353" t="s">
        <v>108</v>
      </c>
      <c r="E353" t="s">
        <v>73</v>
      </c>
      <c r="F353">
        <v>42420</v>
      </c>
      <c r="G353" t="s">
        <v>47</v>
      </c>
      <c r="H353" t="s">
        <v>1074</v>
      </c>
      <c r="I353" s="1">
        <v>42677</v>
      </c>
      <c r="J353" s="1">
        <v>42682</v>
      </c>
      <c r="K353">
        <v>3</v>
      </c>
      <c r="L353" t="s">
        <v>1075</v>
      </c>
      <c r="M353">
        <v>4</v>
      </c>
      <c r="N353">
        <v>0</v>
      </c>
      <c r="O353">
        <v>0</v>
      </c>
      <c r="P353" t="b">
        <v>0</v>
      </c>
    </row>
    <row r="354" spans="1:16" x14ac:dyDescent="0.2">
      <c r="A354" t="s">
        <v>527</v>
      </c>
      <c r="B354" t="s">
        <v>316</v>
      </c>
      <c r="C354" t="s">
        <v>9</v>
      </c>
      <c r="D354" t="s">
        <v>108</v>
      </c>
      <c r="E354" t="s">
        <v>73</v>
      </c>
      <c r="F354">
        <v>42420</v>
      </c>
      <c r="G354" t="s">
        <v>47</v>
      </c>
      <c r="H354" t="s">
        <v>1074</v>
      </c>
      <c r="I354" s="1">
        <v>42677</v>
      </c>
      <c r="J354" s="1">
        <v>42682</v>
      </c>
      <c r="K354">
        <v>3</v>
      </c>
      <c r="L354" t="s">
        <v>1002</v>
      </c>
      <c r="M354">
        <v>3</v>
      </c>
      <c r="N354">
        <v>0</v>
      </c>
      <c r="O354">
        <v>0</v>
      </c>
      <c r="P354" t="b">
        <v>0</v>
      </c>
    </row>
    <row r="355" spans="1:16" x14ac:dyDescent="0.2">
      <c r="A355" t="s">
        <v>527</v>
      </c>
      <c r="B355" t="s">
        <v>316</v>
      </c>
      <c r="C355" t="s">
        <v>9</v>
      </c>
      <c r="D355" t="s">
        <v>108</v>
      </c>
      <c r="E355" t="s">
        <v>73</v>
      </c>
      <c r="F355">
        <v>42420</v>
      </c>
      <c r="G355" t="s">
        <v>47</v>
      </c>
      <c r="H355" t="s">
        <v>1074</v>
      </c>
      <c r="I355" s="1">
        <v>42677</v>
      </c>
      <c r="J355" s="1">
        <v>42682</v>
      </c>
      <c r="K355">
        <v>3</v>
      </c>
      <c r="L355" t="s">
        <v>1076</v>
      </c>
      <c r="M355">
        <v>5</v>
      </c>
      <c r="N355">
        <v>0</v>
      </c>
      <c r="O355">
        <v>0</v>
      </c>
      <c r="P355" t="b">
        <v>0</v>
      </c>
    </row>
    <row r="356" spans="1:16" x14ac:dyDescent="0.2">
      <c r="A356" t="s">
        <v>527</v>
      </c>
      <c r="B356" t="s">
        <v>316</v>
      </c>
      <c r="C356" t="s">
        <v>9</v>
      </c>
      <c r="D356" t="s">
        <v>108</v>
      </c>
      <c r="E356" t="s">
        <v>73</v>
      </c>
      <c r="F356">
        <v>42420</v>
      </c>
      <c r="G356" t="s">
        <v>47</v>
      </c>
      <c r="H356" t="s">
        <v>1074</v>
      </c>
      <c r="I356" s="1">
        <v>42677</v>
      </c>
      <c r="J356" s="1">
        <v>42682</v>
      </c>
      <c r="K356">
        <v>3</v>
      </c>
      <c r="L356" t="s">
        <v>1077</v>
      </c>
      <c r="M356">
        <v>1</v>
      </c>
      <c r="N356">
        <v>0</v>
      </c>
      <c r="O356">
        <v>0</v>
      </c>
      <c r="P356" t="b">
        <v>0</v>
      </c>
    </row>
    <row r="357" spans="1:16" x14ac:dyDescent="0.2">
      <c r="A357" t="s">
        <v>527</v>
      </c>
      <c r="B357" t="s">
        <v>316</v>
      </c>
      <c r="C357" t="s">
        <v>9</v>
      </c>
      <c r="D357" t="s">
        <v>108</v>
      </c>
      <c r="E357" t="s">
        <v>73</v>
      </c>
      <c r="F357">
        <v>42420</v>
      </c>
      <c r="G357" t="s">
        <v>47</v>
      </c>
      <c r="H357" t="s">
        <v>1074</v>
      </c>
      <c r="I357" s="1">
        <v>42677</v>
      </c>
      <c r="J357" s="1">
        <v>42682</v>
      </c>
      <c r="K357">
        <v>3</v>
      </c>
      <c r="L357" t="s">
        <v>1078</v>
      </c>
      <c r="M357">
        <v>3</v>
      </c>
      <c r="N357">
        <v>0</v>
      </c>
      <c r="O357">
        <v>0</v>
      </c>
      <c r="P357" t="b">
        <v>0</v>
      </c>
    </row>
    <row r="358" spans="1:16" x14ac:dyDescent="0.2">
      <c r="A358" t="s">
        <v>68</v>
      </c>
      <c r="B358" t="s">
        <v>69</v>
      </c>
      <c r="C358" t="s">
        <v>9</v>
      </c>
      <c r="D358" t="s">
        <v>16</v>
      </c>
      <c r="E358" t="s">
        <v>17</v>
      </c>
      <c r="F358">
        <v>94109</v>
      </c>
      <c r="G358" t="s">
        <v>18</v>
      </c>
      <c r="H358" t="s">
        <v>1079</v>
      </c>
      <c r="I358" s="1">
        <v>42555</v>
      </c>
      <c r="J358" s="1">
        <v>42557</v>
      </c>
      <c r="K358">
        <v>2</v>
      </c>
      <c r="L358" t="s">
        <v>1080</v>
      </c>
      <c r="M358">
        <v>5</v>
      </c>
      <c r="N358">
        <v>0</v>
      </c>
      <c r="O358">
        <v>0</v>
      </c>
      <c r="P358" t="b">
        <v>0</v>
      </c>
    </row>
    <row r="359" spans="1:16" x14ac:dyDescent="0.2">
      <c r="A359" t="s">
        <v>68</v>
      </c>
      <c r="B359" t="s">
        <v>69</v>
      </c>
      <c r="C359" t="s">
        <v>9</v>
      </c>
      <c r="D359" t="s">
        <v>16</v>
      </c>
      <c r="E359" t="s">
        <v>17</v>
      </c>
      <c r="F359">
        <v>94109</v>
      </c>
      <c r="G359" t="s">
        <v>18</v>
      </c>
      <c r="H359" t="s">
        <v>1079</v>
      </c>
      <c r="I359" s="1">
        <v>42555</v>
      </c>
      <c r="J359" s="1">
        <v>42557</v>
      </c>
      <c r="K359">
        <v>2</v>
      </c>
      <c r="L359" t="s">
        <v>1081</v>
      </c>
      <c r="M359">
        <v>2</v>
      </c>
      <c r="N359">
        <v>0</v>
      </c>
      <c r="O359">
        <v>0</v>
      </c>
      <c r="P359" t="b">
        <v>0</v>
      </c>
    </row>
    <row r="360" spans="1:16" x14ac:dyDescent="0.2">
      <c r="A360" t="s">
        <v>68</v>
      </c>
      <c r="B360" t="s">
        <v>69</v>
      </c>
      <c r="C360" t="s">
        <v>9</v>
      </c>
      <c r="D360" t="s">
        <v>16</v>
      </c>
      <c r="E360" t="s">
        <v>17</v>
      </c>
      <c r="F360">
        <v>94109</v>
      </c>
      <c r="G360" t="s">
        <v>18</v>
      </c>
      <c r="H360" t="s">
        <v>1079</v>
      </c>
      <c r="I360" s="1">
        <v>42555</v>
      </c>
      <c r="J360" s="1">
        <v>42557</v>
      </c>
      <c r="K360">
        <v>2</v>
      </c>
      <c r="L360" t="s">
        <v>955</v>
      </c>
      <c r="M360">
        <v>5</v>
      </c>
      <c r="N360">
        <v>1</v>
      </c>
      <c r="O360">
        <v>0.15</v>
      </c>
      <c r="P360" t="b">
        <v>0</v>
      </c>
    </row>
    <row r="361" spans="1:16" x14ac:dyDescent="0.2">
      <c r="A361" t="s">
        <v>68</v>
      </c>
      <c r="B361" t="s">
        <v>69</v>
      </c>
      <c r="C361" t="s">
        <v>9</v>
      </c>
      <c r="D361" t="s">
        <v>16</v>
      </c>
      <c r="E361" t="s">
        <v>17</v>
      </c>
      <c r="F361">
        <v>94109</v>
      </c>
      <c r="G361" t="s">
        <v>18</v>
      </c>
      <c r="H361" t="s">
        <v>1079</v>
      </c>
      <c r="I361" s="1">
        <v>42555</v>
      </c>
      <c r="J361" s="1">
        <v>42557</v>
      </c>
      <c r="K361">
        <v>2</v>
      </c>
      <c r="L361" t="s">
        <v>1082</v>
      </c>
      <c r="M361">
        <v>4</v>
      </c>
      <c r="N361">
        <v>0</v>
      </c>
      <c r="O361">
        <v>0</v>
      </c>
      <c r="P361" t="b">
        <v>0</v>
      </c>
    </row>
    <row r="362" spans="1:16" x14ac:dyDescent="0.2">
      <c r="A362" t="s">
        <v>555</v>
      </c>
      <c r="B362" t="s">
        <v>359</v>
      </c>
      <c r="C362" t="s">
        <v>90</v>
      </c>
      <c r="D362" t="s">
        <v>242</v>
      </c>
      <c r="E362" t="s">
        <v>53</v>
      </c>
      <c r="F362">
        <v>37918</v>
      </c>
      <c r="G362" t="s">
        <v>47</v>
      </c>
      <c r="H362" t="s">
        <v>1083</v>
      </c>
      <c r="I362" s="1">
        <v>42250</v>
      </c>
      <c r="J362" s="1">
        <v>42255</v>
      </c>
      <c r="K362">
        <v>4</v>
      </c>
      <c r="L362" t="s">
        <v>842</v>
      </c>
      <c r="M362">
        <v>2</v>
      </c>
      <c r="N362">
        <v>1</v>
      </c>
      <c r="O362">
        <v>0.2</v>
      </c>
      <c r="P362" t="b">
        <v>0</v>
      </c>
    </row>
    <row r="363" spans="1:16" x14ac:dyDescent="0.2">
      <c r="A363" t="s">
        <v>555</v>
      </c>
      <c r="B363" t="s">
        <v>359</v>
      </c>
      <c r="C363" t="s">
        <v>90</v>
      </c>
      <c r="D363" t="s">
        <v>242</v>
      </c>
      <c r="E363" t="s">
        <v>53</v>
      </c>
      <c r="F363">
        <v>37918</v>
      </c>
      <c r="G363" t="s">
        <v>47</v>
      </c>
      <c r="H363" t="s">
        <v>1083</v>
      </c>
      <c r="I363" s="1">
        <v>42250</v>
      </c>
      <c r="J363" s="1">
        <v>42255</v>
      </c>
      <c r="K363">
        <v>4</v>
      </c>
      <c r="L363" t="s">
        <v>1084</v>
      </c>
      <c r="M363">
        <v>2</v>
      </c>
      <c r="N363">
        <v>1</v>
      </c>
      <c r="O363">
        <v>0.2</v>
      </c>
      <c r="P363" t="b">
        <v>1</v>
      </c>
    </row>
    <row r="364" spans="1:16" x14ac:dyDescent="0.2">
      <c r="A364" t="s">
        <v>415</v>
      </c>
      <c r="B364" t="s">
        <v>147</v>
      </c>
      <c r="C364" t="s">
        <v>90</v>
      </c>
      <c r="D364" t="s">
        <v>38</v>
      </c>
      <c r="E364" t="s">
        <v>17</v>
      </c>
      <c r="F364">
        <v>90036</v>
      </c>
      <c r="G364" t="s">
        <v>18</v>
      </c>
      <c r="H364" t="s">
        <v>1085</v>
      </c>
      <c r="I364" s="1">
        <v>42933</v>
      </c>
      <c r="J364" s="1">
        <v>42937</v>
      </c>
      <c r="K364">
        <v>4</v>
      </c>
      <c r="L364" t="s">
        <v>1086</v>
      </c>
      <c r="M364">
        <v>2</v>
      </c>
      <c r="N364">
        <v>1</v>
      </c>
      <c r="O364">
        <v>0.2</v>
      </c>
      <c r="P364" t="b">
        <v>0</v>
      </c>
    </row>
    <row r="365" spans="1:16" x14ac:dyDescent="0.2">
      <c r="A365" t="s">
        <v>463</v>
      </c>
      <c r="B365" t="s">
        <v>221</v>
      </c>
      <c r="C365" t="s">
        <v>90</v>
      </c>
      <c r="D365" t="s">
        <v>222</v>
      </c>
      <c r="E365" t="s">
        <v>95</v>
      </c>
      <c r="F365">
        <v>23666</v>
      </c>
      <c r="G365" t="s">
        <v>47</v>
      </c>
      <c r="H365" t="s">
        <v>1087</v>
      </c>
      <c r="I365" s="1">
        <v>42164</v>
      </c>
      <c r="J365" s="1">
        <v>42170</v>
      </c>
      <c r="K365">
        <v>4</v>
      </c>
      <c r="L365" t="s">
        <v>1088</v>
      </c>
      <c r="M365">
        <v>3</v>
      </c>
      <c r="N365">
        <v>0</v>
      </c>
      <c r="O365">
        <v>0</v>
      </c>
      <c r="P365" t="b">
        <v>0</v>
      </c>
    </row>
    <row r="366" spans="1:16" x14ac:dyDescent="0.2">
      <c r="A366" t="s">
        <v>538</v>
      </c>
      <c r="B366" t="s">
        <v>331</v>
      </c>
      <c r="C366" t="s">
        <v>150</v>
      </c>
      <c r="D366" t="s">
        <v>332</v>
      </c>
      <c r="E366" t="s">
        <v>42</v>
      </c>
      <c r="F366">
        <v>97756</v>
      </c>
      <c r="G366" t="s">
        <v>18</v>
      </c>
      <c r="H366" t="s">
        <v>1089</v>
      </c>
      <c r="I366" s="1">
        <v>41847</v>
      </c>
      <c r="J366" s="1">
        <v>41853</v>
      </c>
      <c r="K366">
        <v>2</v>
      </c>
      <c r="L366" t="s">
        <v>1090</v>
      </c>
      <c r="M366">
        <v>11</v>
      </c>
      <c r="N366">
        <v>0</v>
      </c>
      <c r="O366">
        <v>0</v>
      </c>
      <c r="P366" t="b">
        <v>0</v>
      </c>
    </row>
    <row r="367" spans="1:16" x14ac:dyDescent="0.2">
      <c r="A367" t="s">
        <v>531</v>
      </c>
      <c r="B367" t="s">
        <v>321</v>
      </c>
      <c r="C367" t="s">
        <v>150</v>
      </c>
      <c r="D367" t="s">
        <v>322</v>
      </c>
      <c r="E367" t="s">
        <v>79</v>
      </c>
      <c r="F367">
        <v>2038</v>
      </c>
      <c r="G367" t="s">
        <v>27</v>
      </c>
      <c r="H367" t="s">
        <v>1091</v>
      </c>
      <c r="I367" s="1">
        <v>42216</v>
      </c>
      <c r="J367" s="1">
        <v>42222</v>
      </c>
      <c r="K367">
        <v>4</v>
      </c>
      <c r="L367" t="s">
        <v>601</v>
      </c>
      <c r="M367">
        <v>6</v>
      </c>
      <c r="N367">
        <v>0</v>
      </c>
      <c r="O367">
        <v>0</v>
      </c>
      <c r="P367" t="b">
        <v>0</v>
      </c>
    </row>
    <row r="368" spans="1:16" x14ac:dyDescent="0.2">
      <c r="A368" t="s">
        <v>521</v>
      </c>
      <c r="B368" t="s">
        <v>306</v>
      </c>
      <c r="C368" t="s">
        <v>90</v>
      </c>
      <c r="D368" t="s">
        <v>307</v>
      </c>
      <c r="E368" t="s">
        <v>79</v>
      </c>
      <c r="F368">
        <v>2148</v>
      </c>
      <c r="G368" t="s">
        <v>27</v>
      </c>
      <c r="H368" t="s">
        <v>1092</v>
      </c>
      <c r="I368" s="1">
        <v>42632</v>
      </c>
      <c r="J368" s="1">
        <v>42635</v>
      </c>
      <c r="K368">
        <v>4</v>
      </c>
      <c r="L368" t="s">
        <v>1093</v>
      </c>
      <c r="M368">
        <v>3</v>
      </c>
      <c r="N368">
        <v>1</v>
      </c>
      <c r="O368">
        <v>0.2</v>
      </c>
      <c r="P368" t="b">
        <v>0</v>
      </c>
    </row>
    <row r="369" spans="1:16" x14ac:dyDescent="0.2">
      <c r="A369" t="s">
        <v>529</v>
      </c>
      <c r="B369" t="s">
        <v>319</v>
      </c>
      <c r="C369" t="s">
        <v>9</v>
      </c>
      <c r="D369" t="s">
        <v>38</v>
      </c>
      <c r="E369" t="s">
        <v>17</v>
      </c>
      <c r="F369">
        <v>90045</v>
      </c>
      <c r="G369" t="s">
        <v>18</v>
      </c>
      <c r="H369" t="s">
        <v>1094</v>
      </c>
      <c r="I369" s="1">
        <v>42852</v>
      </c>
      <c r="J369" s="1">
        <v>42854</v>
      </c>
      <c r="K369">
        <v>2</v>
      </c>
      <c r="L369" t="s">
        <v>775</v>
      </c>
      <c r="M369">
        <v>4</v>
      </c>
      <c r="N369">
        <v>0</v>
      </c>
      <c r="O369">
        <v>0</v>
      </c>
      <c r="P369" t="b">
        <v>0</v>
      </c>
    </row>
    <row r="370" spans="1:16" x14ac:dyDescent="0.2">
      <c r="A370" t="s">
        <v>529</v>
      </c>
      <c r="B370" t="s">
        <v>319</v>
      </c>
      <c r="C370" t="s">
        <v>9</v>
      </c>
      <c r="D370" t="s">
        <v>38</v>
      </c>
      <c r="E370" t="s">
        <v>17</v>
      </c>
      <c r="F370">
        <v>90045</v>
      </c>
      <c r="G370" t="s">
        <v>18</v>
      </c>
      <c r="H370" t="s">
        <v>1094</v>
      </c>
      <c r="I370" s="1">
        <v>42852</v>
      </c>
      <c r="J370" s="1">
        <v>42854</v>
      </c>
      <c r="K370">
        <v>2</v>
      </c>
      <c r="L370" t="s">
        <v>1095</v>
      </c>
      <c r="M370">
        <v>3</v>
      </c>
      <c r="N370">
        <v>0</v>
      </c>
      <c r="O370">
        <v>0</v>
      </c>
      <c r="P370" t="b">
        <v>0</v>
      </c>
    </row>
    <row r="371" spans="1:16" x14ac:dyDescent="0.2">
      <c r="A371" t="s">
        <v>529</v>
      </c>
      <c r="B371" t="s">
        <v>319</v>
      </c>
      <c r="C371" t="s">
        <v>9</v>
      </c>
      <c r="D371" t="s">
        <v>38</v>
      </c>
      <c r="E371" t="s">
        <v>17</v>
      </c>
      <c r="F371">
        <v>90045</v>
      </c>
      <c r="G371" t="s">
        <v>18</v>
      </c>
      <c r="H371" t="s">
        <v>1094</v>
      </c>
      <c r="I371" s="1">
        <v>42852</v>
      </c>
      <c r="J371" s="1">
        <v>42854</v>
      </c>
      <c r="K371">
        <v>2</v>
      </c>
      <c r="L371" t="s">
        <v>1096</v>
      </c>
      <c r="M371">
        <v>2</v>
      </c>
      <c r="N371">
        <v>0</v>
      </c>
      <c r="O371">
        <v>0</v>
      </c>
      <c r="P371" t="b">
        <v>0</v>
      </c>
    </row>
    <row r="372" spans="1:16" x14ac:dyDescent="0.2">
      <c r="A372" t="s">
        <v>480</v>
      </c>
      <c r="B372" t="s">
        <v>247</v>
      </c>
      <c r="C372" t="s">
        <v>90</v>
      </c>
      <c r="D372" t="s">
        <v>151</v>
      </c>
      <c r="E372" t="s">
        <v>31</v>
      </c>
      <c r="F372">
        <v>85705</v>
      </c>
      <c r="G372" t="s">
        <v>18</v>
      </c>
      <c r="H372" t="s">
        <v>1097</v>
      </c>
      <c r="I372" s="1">
        <v>42833</v>
      </c>
      <c r="J372" s="1">
        <v>42837</v>
      </c>
      <c r="K372">
        <v>1</v>
      </c>
      <c r="L372" t="s">
        <v>1098</v>
      </c>
      <c r="M372">
        <v>5</v>
      </c>
      <c r="N372">
        <v>0</v>
      </c>
      <c r="O372">
        <v>0</v>
      </c>
      <c r="P372" t="b">
        <v>1</v>
      </c>
    </row>
    <row r="373" spans="1:16" x14ac:dyDescent="0.2">
      <c r="A373" t="s">
        <v>480</v>
      </c>
      <c r="B373" t="s">
        <v>247</v>
      </c>
      <c r="C373" t="s">
        <v>90</v>
      </c>
      <c r="D373" t="s">
        <v>151</v>
      </c>
      <c r="E373" t="s">
        <v>31</v>
      </c>
      <c r="F373">
        <v>85705</v>
      </c>
      <c r="G373" t="s">
        <v>18</v>
      </c>
      <c r="H373" t="s">
        <v>1097</v>
      </c>
      <c r="I373" s="1">
        <v>42833</v>
      </c>
      <c r="J373" s="1">
        <v>42837</v>
      </c>
      <c r="K373">
        <v>1</v>
      </c>
      <c r="L373" t="s">
        <v>1099</v>
      </c>
      <c r="M373">
        <v>4</v>
      </c>
      <c r="N373">
        <v>0</v>
      </c>
      <c r="O373">
        <v>0</v>
      </c>
      <c r="P373" t="b">
        <v>0</v>
      </c>
    </row>
    <row r="374" spans="1:16" x14ac:dyDescent="0.2">
      <c r="A374" t="s">
        <v>426</v>
      </c>
      <c r="B374" t="s">
        <v>164</v>
      </c>
      <c r="C374" t="s">
        <v>9</v>
      </c>
      <c r="D374" t="s">
        <v>165</v>
      </c>
      <c r="E374" t="s">
        <v>166</v>
      </c>
      <c r="F374">
        <v>33024</v>
      </c>
      <c r="G374" t="s">
        <v>47</v>
      </c>
      <c r="H374" t="s">
        <v>1100</v>
      </c>
      <c r="I374" s="1">
        <v>42635</v>
      </c>
      <c r="J374" s="1">
        <v>42639</v>
      </c>
      <c r="K374">
        <v>4</v>
      </c>
      <c r="L374" t="s">
        <v>1101</v>
      </c>
      <c r="M374">
        <v>9</v>
      </c>
      <c r="N374">
        <v>1</v>
      </c>
      <c r="O374">
        <v>0.7</v>
      </c>
      <c r="P374" t="b">
        <v>0</v>
      </c>
    </row>
    <row r="375" spans="1:16" x14ac:dyDescent="0.2">
      <c r="A375" t="s">
        <v>426</v>
      </c>
      <c r="B375" t="s">
        <v>164</v>
      </c>
      <c r="C375" t="s">
        <v>9</v>
      </c>
      <c r="D375" t="s">
        <v>165</v>
      </c>
      <c r="E375" t="s">
        <v>166</v>
      </c>
      <c r="F375">
        <v>33024</v>
      </c>
      <c r="G375" t="s">
        <v>47</v>
      </c>
      <c r="H375" t="s">
        <v>1100</v>
      </c>
      <c r="I375" s="1">
        <v>42635</v>
      </c>
      <c r="J375" s="1">
        <v>42639</v>
      </c>
      <c r="K375">
        <v>4</v>
      </c>
      <c r="L375" t="s">
        <v>1102</v>
      </c>
      <c r="M375">
        <v>2</v>
      </c>
      <c r="N375">
        <v>1</v>
      </c>
      <c r="O375">
        <v>0.2</v>
      </c>
      <c r="P375" t="b">
        <v>0</v>
      </c>
    </row>
    <row r="376" spans="1:16" x14ac:dyDescent="0.2">
      <c r="A376" t="s">
        <v>446</v>
      </c>
      <c r="B376" t="s">
        <v>197</v>
      </c>
      <c r="C376" t="s">
        <v>9</v>
      </c>
      <c r="D376" t="s">
        <v>198</v>
      </c>
      <c r="E376" t="s">
        <v>199</v>
      </c>
      <c r="F376">
        <v>84084</v>
      </c>
      <c r="G376" t="s">
        <v>18</v>
      </c>
      <c r="H376" t="s">
        <v>1103</v>
      </c>
      <c r="I376" s="1">
        <v>42821</v>
      </c>
      <c r="J376" s="1">
        <v>42823</v>
      </c>
      <c r="K376">
        <v>3</v>
      </c>
      <c r="L376" t="s">
        <v>976</v>
      </c>
      <c r="M376">
        <v>2</v>
      </c>
      <c r="N376">
        <v>1</v>
      </c>
      <c r="O376">
        <v>0.2</v>
      </c>
      <c r="P376" t="b">
        <v>0</v>
      </c>
    </row>
    <row r="377" spans="1:16" x14ac:dyDescent="0.2">
      <c r="A377" t="s">
        <v>467</v>
      </c>
      <c r="B377" t="s">
        <v>226</v>
      </c>
      <c r="C377" t="s">
        <v>9</v>
      </c>
      <c r="D377" t="s">
        <v>227</v>
      </c>
      <c r="E377" t="s">
        <v>184</v>
      </c>
      <c r="F377">
        <v>6708</v>
      </c>
      <c r="G377" t="s">
        <v>27</v>
      </c>
      <c r="H377" t="s">
        <v>1104</v>
      </c>
      <c r="I377" s="1">
        <v>42507</v>
      </c>
      <c r="J377" s="1">
        <v>42508</v>
      </c>
      <c r="K377">
        <v>2</v>
      </c>
      <c r="L377" t="s">
        <v>730</v>
      </c>
      <c r="M377">
        <v>7</v>
      </c>
      <c r="N377">
        <v>0</v>
      </c>
      <c r="O377">
        <v>0</v>
      </c>
      <c r="P377" t="b">
        <v>0</v>
      </c>
    </row>
    <row r="378" spans="1:16" x14ac:dyDescent="0.2">
      <c r="A378" t="s">
        <v>467</v>
      </c>
      <c r="B378" t="s">
        <v>226</v>
      </c>
      <c r="C378" t="s">
        <v>9</v>
      </c>
      <c r="D378" t="s">
        <v>227</v>
      </c>
      <c r="E378" t="s">
        <v>184</v>
      </c>
      <c r="F378">
        <v>6708</v>
      </c>
      <c r="G378" t="s">
        <v>27</v>
      </c>
      <c r="H378" t="s">
        <v>1104</v>
      </c>
      <c r="I378" s="1">
        <v>42507</v>
      </c>
      <c r="J378" s="1">
        <v>42508</v>
      </c>
      <c r="K378">
        <v>2</v>
      </c>
      <c r="L378" t="s">
        <v>1105</v>
      </c>
      <c r="M378">
        <v>2</v>
      </c>
      <c r="N378">
        <v>0</v>
      </c>
      <c r="O378">
        <v>0</v>
      </c>
      <c r="P378" t="b">
        <v>0</v>
      </c>
    </row>
    <row r="379" spans="1:16" x14ac:dyDescent="0.2">
      <c r="A379" t="s">
        <v>467</v>
      </c>
      <c r="B379" t="s">
        <v>226</v>
      </c>
      <c r="C379" t="s">
        <v>9</v>
      </c>
      <c r="D379" t="s">
        <v>227</v>
      </c>
      <c r="E379" t="s">
        <v>184</v>
      </c>
      <c r="F379">
        <v>6708</v>
      </c>
      <c r="G379" t="s">
        <v>27</v>
      </c>
      <c r="H379" t="s">
        <v>1104</v>
      </c>
      <c r="I379" s="1">
        <v>42507</v>
      </c>
      <c r="J379" s="1">
        <v>42508</v>
      </c>
      <c r="K379">
        <v>2</v>
      </c>
      <c r="L379" t="s">
        <v>1106</v>
      </c>
      <c r="M379">
        <v>4</v>
      </c>
      <c r="N379">
        <v>0</v>
      </c>
      <c r="O379">
        <v>0</v>
      </c>
      <c r="P379" t="b">
        <v>0</v>
      </c>
    </row>
    <row r="380" spans="1:16" x14ac:dyDescent="0.2">
      <c r="A380" t="s">
        <v>399</v>
      </c>
      <c r="B380" t="s">
        <v>113</v>
      </c>
      <c r="C380" t="s">
        <v>9</v>
      </c>
      <c r="D380" t="s">
        <v>114</v>
      </c>
      <c r="E380" t="s">
        <v>42</v>
      </c>
      <c r="F380">
        <v>97206</v>
      </c>
      <c r="G380" t="s">
        <v>18</v>
      </c>
      <c r="H380" t="s">
        <v>1107</v>
      </c>
      <c r="I380" s="1">
        <v>42873</v>
      </c>
      <c r="J380" s="1">
        <v>42875</v>
      </c>
      <c r="K380">
        <v>2</v>
      </c>
      <c r="L380" t="s">
        <v>1108</v>
      </c>
      <c r="M380">
        <v>2</v>
      </c>
      <c r="N380">
        <v>1</v>
      </c>
      <c r="O380">
        <v>0.2</v>
      </c>
      <c r="P380" t="b">
        <v>0</v>
      </c>
    </row>
    <row r="381" spans="1:16" x14ac:dyDescent="0.2">
      <c r="A381" t="s">
        <v>426</v>
      </c>
      <c r="B381" t="s">
        <v>164</v>
      </c>
      <c r="C381" t="s">
        <v>9</v>
      </c>
      <c r="D381" t="s">
        <v>165</v>
      </c>
      <c r="E381" t="s">
        <v>166</v>
      </c>
      <c r="F381">
        <v>33024</v>
      </c>
      <c r="G381" t="s">
        <v>47</v>
      </c>
      <c r="H381" t="s">
        <v>1109</v>
      </c>
      <c r="I381" s="1">
        <v>41943</v>
      </c>
      <c r="J381" s="1">
        <v>41946</v>
      </c>
      <c r="K381">
        <v>3</v>
      </c>
      <c r="L381" t="s">
        <v>1110</v>
      </c>
      <c r="M381">
        <v>8</v>
      </c>
      <c r="N381">
        <v>1</v>
      </c>
      <c r="O381">
        <v>0.2</v>
      </c>
      <c r="P381" t="b">
        <v>0</v>
      </c>
    </row>
    <row r="382" spans="1:16" x14ac:dyDescent="0.2">
      <c r="A382" t="s">
        <v>488</v>
      </c>
      <c r="B382" t="s">
        <v>259</v>
      </c>
      <c r="C382" t="s">
        <v>9</v>
      </c>
      <c r="D382" t="s">
        <v>260</v>
      </c>
      <c r="E382" t="s">
        <v>17</v>
      </c>
      <c r="F382">
        <v>92804</v>
      </c>
      <c r="G382" t="s">
        <v>18</v>
      </c>
      <c r="H382" t="s">
        <v>1111</v>
      </c>
      <c r="I382" s="1">
        <v>42802</v>
      </c>
      <c r="J382" s="1">
        <v>42809</v>
      </c>
      <c r="K382">
        <v>4</v>
      </c>
      <c r="L382" t="s">
        <v>1112</v>
      </c>
      <c r="M382">
        <v>5</v>
      </c>
      <c r="N382">
        <v>1</v>
      </c>
      <c r="O382">
        <v>0.2</v>
      </c>
      <c r="P382" t="b">
        <v>0</v>
      </c>
    </row>
    <row r="383" spans="1:16" x14ac:dyDescent="0.2">
      <c r="A383" t="s">
        <v>488</v>
      </c>
      <c r="B383" t="s">
        <v>259</v>
      </c>
      <c r="C383" t="s">
        <v>9</v>
      </c>
      <c r="D383" t="s">
        <v>260</v>
      </c>
      <c r="E383" t="s">
        <v>17</v>
      </c>
      <c r="F383">
        <v>92804</v>
      </c>
      <c r="G383" t="s">
        <v>18</v>
      </c>
      <c r="H383" t="s">
        <v>1111</v>
      </c>
      <c r="I383" s="1">
        <v>42802</v>
      </c>
      <c r="J383" s="1">
        <v>42809</v>
      </c>
      <c r="K383">
        <v>4</v>
      </c>
      <c r="L383" t="s">
        <v>1113</v>
      </c>
      <c r="M383">
        <v>2</v>
      </c>
      <c r="N383">
        <v>0</v>
      </c>
      <c r="O383">
        <v>0</v>
      </c>
      <c r="P383" t="b">
        <v>0</v>
      </c>
    </row>
    <row r="384" spans="1:16" x14ac:dyDescent="0.2">
      <c r="A384" t="s">
        <v>431</v>
      </c>
      <c r="B384" t="s">
        <v>172</v>
      </c>
      <c r="C384" t="s">
        <v>9</v>
      </c>
      <c r="D384" t="s">
        <v>173</v>
      </c>
      <c r="E384" t="s">
        <v>137</v>
      </c>
      <c r="F384">
        <v>44134</v>
      </c>
      <c r="G384" t="s">
        <v>27</v>
      </c>
      <c r="H384" t="s">
        <v>1114</v>
      </c>
      <c r="I384" s="1">
        <v>41927</v>
      </c>
      <c r="J384" s="1">
        <v>41929</v>
      </c>
      <c r="K384">
        <v>2</v>
      </c>
      <c r="L384" t="s">
        <v>1115</v>
      </c>
      <c r="M384">
        <v>2</v>
      </c>
      <c r="N384">
        <v>1</v>
      </c>
      <c r="O384">
        <v>0.3</v>
      </c>
      <c r="P384" t="b">
        <v>0</v>
      </c>
    </row>
    <row r="385" spans="1:16" x14ac:dyDescent="0.2">
      <c r="A385" t="s">
        <v>431</v>
      </c>
      <c r="B385" t="s">
        <v>172</v>
      </c>
      <c r="C385" t="s">
        <v>9</v>
      </c>
      <c r="D385" t="s">
        <v>173</v>
      </c>
      <c r="E385" t="s">
        <v>137</v>
      </c>
      <c r="F385">
        <v>44134</v>
      </c>
      <c r="G385" t="s">
        <v>27</v>
      </c>
      <c r="H385" t="s">
        <v>1114</v>
      </c>
      <c r="I385" s="1">
        <v>41927</v>
      </c>
      <c r="J385" s="1">
        <v>41929</v>
      </c>
      <c r="K385">
        <v>2</v>
      </c>
      <c r="L385" t="s">
        <v>1116</v>
      </c>
      <c r="M385">
        <v>2</v>
      </c>
      <c r="N385">
        <v>1</v>
      </c>
      <c r="O385">
        <v>0.2</v>
      </c>
      <c r="P385" t="b">
        <v>0</v>
      </c>
    </row>
    <row r="386" spans="1:16" x14ac:dyDescent="0.2">
      <c r="A386" t="s">
        <v>530</v>
      </c>
      <c r="B386" t="s">
        <v>320</v>
      </c>
      <c r="C386" t="s">
        <v>150</v>
      </c>
      <c r="D386" t="s">
        <v>97</v>
      </c>
      <c r="E386" t="s">
        <v>67</v>
      </c>
      <c r="F386">
        <v>19143</v>
      </c>
      <c r="G386" t="s">
        <v>27</v>
      </c>
      <c r="H386" t="s">
        <v>1117</v>
      </c>
      <c r="I386" s="1">
        <v>42988</v>
      </c>
      <c r="J386" s="1">
        <v>42991</v>
      </c>
      <c r="K386">
        <v>3</v>
      </c>
      <c r="L386" t="s">
        <v>1118</v>
      </c>
      <c r="M386">
        <v>2</v>
      </c>
      <c r="N386">
        <v>0</v>
      </c>
      <c r="O386">
        <v>0</v>
      </c>
      <c r="P386" t="b">
        <v>0</v>
      </c>
    </row>
    <row r="387" spans="1:16" x14ac:dyDescent="0.2">
      <c r="A387" t="s">
        <v>437</v>
      </c>
      <c r="B387" t="s">
        <v>182</v>
      </c>
      <c r="C387" t="s">
        <v>90</v>
      </c>
      <c r="D387" t="s">
        <v>183</v>
      </c>
      <c r="E387" t="s">
        <v>184</v>
      </c>
      <c r="F387">
        <v>6824</v>
      </c>
      <c r="G387" t="s">
        <v>27</v>
      </c>
      <c r="H387" t="s">
        <v>1119</v>
      </c>
      <c r="I387" s="1">
        <v>43070</v>
      </c>
      <c r="J387" s="1">
        <v>43075</v>
      </c>
      <c r="K387">
        <v>4</v>
      </c>
      <c r="L387" t="s">
        <v>1120</v>
      </c>
      <c r="M387">
        <v>3</v>
      </c>
      <c r="N387">
        <v>0</v>
      </c>
      <c r="O387">
        <v>0</v>
      </c>
      <c r="P387" t="b">
        <v>0</v>
      </c>
    </row>
    <row r="388" spans="1:16" x14ac:dyDescent="0.2">
      <c r="A388" t="s">
        <v>437</v>
      </c>
      <c r="B388" t="s">
        <v>182</v>
      </c>
      <c r="C388" t="s">
        <v>90</v>
      </c>
      <c r="D388" t="s">
        <v>183</v>
      </c>
      <c r="E388" t="s">
        <v>184</v>
      </c>
      <c r="F388">
        <v>6824</v>
      </c>
      <c r="G388" t="s">
        <v>27</v>
      </c>
      <c r="H388" t="s">
        <v>1119</v>
      </c>
      <c r="I388" s="1">
        <v>43070</v>
      </c>
      <c r="J388" s="1">
        <v>43075</v>
      </c>
      <c r="K388">
        <v>4</v>
      </c>
      <c r="L388" t="s">
        <v>1121</v>
      </c>
      <c r="M388">
        <v>3</v>
      </c>
      <c r="N388">
        <v>0</v>
      </c>
      <c r="O388">
        <v>0</v>
      </c>
      <c r="P388" t="b">
        <v>0</v>
      </c>
    </row>
    <row r="389" spans="1:16" x14ac:dyDescent="0.2">
      <c r="A389" t="s">
        <v>546</v>
      </c>
      <c r="B389" t="s">
        <v>342</v>
      </c>
      <c r="C389" t="s">
        <v>150</v>
      </c>
      <c r="D389" t="s">
        <v>343</v>
      </c>
      <c r="E389" t="s">
        <v>299</v>
      </c>
      <c r="F389">
        <v>36116</v>
      </c>
      <c r="G389" t="s">
        <v>47</v>
      </c>
      <c r="H389" t="s">
        <v>1122</v>
      </c>
      <c r="I389" s="1">
        <v>43077</v>
      </c>
      <c r="J389" s="1">
        <v>43081</v>
      </c>
      <c r="K389">
        <v>3</v>
      </c>
      <c r="L389" t="s">
        <v>1123</v>
      </c>
      <c r="M389">
        <v>1</v>
      </c>
      <c r="N389">
        <v>0</v>
      </c>
      <c r="O389">
        <v>0</v>
      </c>
      <c r="P389" t="b">
        <v>0</v>
      </c>
    </row>
    <row r="390" spans="1:16" x14ac:dyDescent="0.2">
      <c r="A390" t="s">
        <v>384</v>
      </c>
      <c r="B390" t="s">
        <v>84</v>
      </c>
      <c r="C390" t="s">
        <v>9</v>
      </c>
      <c r="D390" t="s">
        <v>85</v>
      </c>
      <c r="E390" t="s">
        <v>86</v>
      </c>
      <c r="F390">
        <v>98103</v>
      </c>
      <c r="G390" t="s">
        <v>18</v>
      </c>
      <c r="H390" t="s">
        <v>1124</v>
      </c>
      <c r="I390" s="1">
        <v>41705</v>
      </c>
      <c r="J390" s="1">
        <v>41706</v>
      </c>
      <c r="K390">
        <v>2</v>
      </c>
      <c r="L390" t="s">
        <v>1000</v>
      </c>
      <c r="M390">
        <v>1</v>
      </c>
      <c r="N390">
        <v>1</v>
      </c>
      <c r="O390">
        <v>0.2</v>
      </c>
      <c r="P390" t="b">
        <v>0</v>
      </c>
    </row>
    <row r="391" spans="1:16" x14ac:dyDescent="0.2">
      <c r="A391" t="s">
        <v>384</v>
      </c>
      <c r="B391" t="s">
        <v>84</v>
      </c>
      <c r="C391" t="s">
        <v>9</v>
      </c>
      <c r="D391" t="s">
        <v>85</v>
      </c>
      <c r="E391" t="s">
        <v>86</v>
      </c>
      <c r="F391">
        <v>98103</v>
      </c>
      <c r="G391" t="s">
        <v>18</v>
      </c>
      <c r="H391" t="s">
        <v>1124</v>
      </c>
      <c r="I391" s="1">
        <v>41705</v>
      </c>
      <c r="J391" s="1">
        <v>41706</v>
      </c>
      <c r="K391">
        <v>2</v>
      </c>
      <c r="L391" t="s">
        <v>1125</v>
      </c>
      <c r="M391">
        <v>3</v>
      </c>
      <c r="N391">
        <v>0</v>
      </c>
      <c r="O391">
        <v>0</v>
      </c>
      <c r="P391" t="b">
        <v>0</v>
      </c>
    </row>
    <row r="392" spans="1:16" x14ac:dyDescent="0.2">
      <c r="A392" t="s">
        <v>384</v>
      </c>
      <c r="B392" t="s">
        <v>84</v>
      </c>
      <c r="C392" t="s">
        <v>9</v>
      </c>
      <c r="D392" t="s">
        <v>85</v>
      </c>
      <c r="E392" t="s">
        <v>86</v>
      </c>
      <c r="F392">
        <v>98103</v>
      </c>
      <c r="G392" t="s">
        <v>18</v>
      </c>
      <c r="H392" t="s">
        <v>1124</v>
      </c>
      <c r="I392" s="1">
        <v>41705</v>
      </c>
      <c r="J392" s="1">
        <v>41706</v>
      </c>
      <c r="K392">
        <v>2</v>
      </c>
      <c r="L392" t="s">
        <v>946</v>
      </c>
      <c r="M392">
        <v>3</v>
      </c>
      <c r="N392">
        <v>0</v>
      </c>
      <c r="O392">
        <v>0</v>
      </c>
      <c r="P392" t="b">
        <v>0</v>
      </c>
    </row>
    <row r="393" spans="1:16" x14ac:dyDescent="0.2">
      <c r="A393" t="s">
        <v>489</v>
      </c>
      <c r="B393" t="s">
        <v>261</v>
      </c>
      <c r="C393" t="s">
        <v>9</v>
      </c>
      <c r="D393" t="s">
        <v>85</v>
      </c>
      <c r="E393" t="s">
        <v>86</v>
      </c>
      <c r="F393">
        <v>98105</v>
      </c>
      <c r="G393" t="s">
        <v>18</v>
      </c>
      <c r="H393" t="s">
        <v>1126</v>
      </c>
      <c r="I393" s="1">
        <v>42345</v>
      </c>
      <c r="J393" s="1">
        <v>42347</v>
      </c>
      <c r="K393">
        <v>2</v>
      </c>
      <c r="L393" t="s">
        <v>1127</v>
      </c>
      <c r="M393">
        <v>5</v>
      </c>
      <c r="N393">
        <v>1</v>
      </c>
      <c r="O393">
        <v>0.2</v>
      </c>
      <c r="P393" t="b">
        <v>0</v>
      </c>
    </row>
    <row r="394" spans="1:16" x14ac:dyDescent="0.2">
      <c r="A394" t="s">
        <v>489</v>
      </c>
      <c r="B394" t="s">
        <v>261</v>
      </c>
      <c r="C394" t="s">
        <v>9</v>
      </c>
      <c r="D394" t="s">
        <v>85</v>
      </c>
      <c r="E394" t="s">
        <v>86</v>
      </c>
      <c r="F394">
        <v>98105</v>
      </c>
      <c r="G394" t="s">
        <v>18</v>
      </c>
      <c r="H394" t="s">
        <v>1126</v>
      </c>
      <c r="I394" s="1">
        <v>42345</v>
      </c>
      <c r="J394" s="1">
        <v>42347</v>
      </c>
      <c r="K394">
        <v>2</v>
      </c>
      <c r="L394" t="s">
        <v>1128</v>
      </c>
      <c r="M394">
        <v>2</v>
      </c>
      <c r="N394">
        <v>1</v>
      </c>
      <c r="O394">
        <v>0.2</v>
      </c>
      <c r="P394" t="b">
        <v>0</v>
      </c>
    </row>
    <row r="395" spans="1:16" x14ac:dyDescent="0.2">
      <c r="A395" t="s">
        <v>489</v>
      </c>
      <c r="B395" t="s">
        <v>261</v>
      </c>
      <c r="C395" t="s">
        <v>9</v>
      </c>
      <c r="D395" t="s">
        <v>85</v>
      </c>
      <c r="E395" t="s">
        <v>86</v>
      </c>
      <c r="F395">
        <v>98105</v>
      </c>
      <c r="G395" t="s">
        <v>18</v>
      </c>
      <c r="H395" t="s">
        <v>1126</v>
      </c>
      <c r="I395" s="1">
        <v>42345</v>
      </c>
      <c r="J395" s="1">
        <v>42347</v>
      </c>
      <c r="K395">
        <v>2</v>
      </c>
      <c r="L395" t="s">
        <v>887</v>
      </c>
      <c r="M395">
        <v>6</v>
      </c>
      <c r="N395">
        <v>0</v>
      </c>
      <c r="O395">
        <v>0</v>
      </c>
      <c r="P395" t="b">
        <v>0</v>
      </c>
    </row>
    <row r="396" spans="1:16" x14ac:dyDescent="0.2">
      <c r="A396" t="s">
        <v>476</v>
      </c>
      <c r="B396" t="s">
        <v>241</v>
      </c>
      <c r="C396" t="s">
        <v>150</v>
      </c>
      <c r="D396" t="s">
        <v>242</v>
      </c>
      <c r="E396" t="s">
        <v>53</v>
      </c>
      <c r="F396">
        <v>37918</v>
      </c>
      <c r="G396" t="s">
        <v>47</v>
      </c>
      <c r="H396" t="s">
        <v>1129</v>
      </c>
      <c r="I396" s="1">
        <v>41959</v>
      </c>
      <c r="J396" s="1">
        <v>41965</v>
      </c>
      <c r="K396">
        <v>3</v>
      </c>
      <c r="L396" t="s">
        <v>1130</v>
      </c>
      <c r="M396">
        <v>2</v>
      </c>
      <c r="N396">
        <v>0</v>
      </c>
      <c r="O396">
        <v>0</v>
      </c>
      <c r="P396" t="b">
        <v>0</v>
      </c>
    </row>
    <row r="397" spans="1:16" x14ac:dyDescent="0.2">
      <c r="A397" t="s">
        <v>451</v>
      </c>
      <c r="B397" t="s">
        <v>204</v>
      </c>
      <c r="C397" t="s">
        <v>9</v>
      </c>
      <c r="D397" t="s">
        <v>205</v>
      </c>
      <c r="E397" t="s">
        <v>137</v>
      </c>
      <c r="F397">
        <v>45231</v>
      </c>
      <c r="G397" t="s">
        <v>27</v>
      </c>
      <c r="H397" t="s">
        <v>1131</v>
      </c>
      <c r="I397" s="1">
        <v>41885</v>
      </c>
      <c r="J397" s="1">
        <v>41885</v>
      </c>
      <c r="K397">
        <v>1</v>
      </c>
      <c r="L397" t="s">
        <v>909</v>
      </c>
      <c r="M397">
        <v>5</v>
      </c>
      <c r="N397">
        <v>0</v>
      </c>
      <c r="O397">
        <v>0</v>
      </c>
      <c r="P397" t="b">
        <v>0</v>
      </c>
    </row>
    <row r="398" spans="1:16" x14ac:dyDescent="0.2">
      <c r="A398" t="s">
        <v>563</v>
      </c>
      <c r="B398" t="s">
        <v>372</v>
      </c>
      <c r="C398" t="s">
        <v>90</v>
      </c>
      <c r="D398" t="s">
        <v>16</v>
      </c>
      <c r="E398" t="s">
        <v>17</v>
      </c>
      <c r="F398">
        <v>94110</v>
      </c>
      <c r="G398" t="s">
        <v>18</v>
      </c>
      <c r="H398" t="s">
        <v>1132</v>
      </c>
      <c r="I398" s="1">
        <v>42978</v>
      </c>
      <c r="J398" s="1">
        <v>42982</v>
      </c>
      <c r="K398">
        <v>2</v>
      </c>
      <c r="L398" t="s">
        <v>1101</v>
      </c>
      <c r="M398">
        <v>3</v>
      </c>
      <c r="N398">
        <v>1</v>
      </c>
      <c r="O398">
        <v>0.2</v>
      </c>
      <c r="P398" t="b">
        <v>0</v>
      </c>
    </row>
    <row r="399" spans="1:16" x14ac:dyDescent="0.2">
      <c r="A399" t="s">
        <v>563</v>
      </c>
      <c r="B399" t="s">
        <v>372</v>
      </c>
      <c r="C399" t="s">
        <v>90</v>
      </c>
      <c r="D399" t="s">
        <v>16</v>
      </c>
      <c r="E399" t="s">
        <v>17</v>
      </c>
      <c r="F399">
        <v>94110</v>
      </c>
      <c r="G399" t="s">
        <v>18</v>
      </c>
      <c r="H399" t="s">
        <v>1132</v>
      </c>
      <c r="I399" s="1">
        <v>42978</v>
      </c>
      <c r="J399" s="1">
        <v>42982</v>
      </c>
      <c r="K399">
        <v>2</v>
      </c>
      <c r="L399" t="s">
        <v>1108</v>
      </c>
      <c r="M399">
        <v>4</v>
      </c>
      <c r="N399">
        <v>1</v>
      </c>
      <c r="O399">
        <v>0.2</v>
      </c>
      <c r="P399" t="b">
        <v>0</v>
      </c>
    </row>
    <row r="400" spans="1:16" x14ac:dyDescent="0.2">
      <c r="A400" t="s">
        <v>391</v>
      </c>
      <c r="B400" t="s">
        <v>98</v>
      </c>
      <c r="C400" t="s">
        <v>90</v>
      </c>
      <c r="D400" t="s">
        <v>38</v>
      </c>
      <c r="E400" t="s">
        <v>17</v>
      </c>
      <c r="F400">
        <v>90004</v>
      </c>
      <c r="G400" t="s">
        <v>18</v>
      </c>
      <c r="H400" t="s">
        <v>1133</v>
      </c>
      <c r="I400" s="1">
        <v>42862</v>
      </c>
      <c r="J400" s="1">
        <v>42867</v>
      </c>
      <c r="K400">
        <v>4</v>
      </c>
      <c r="L400" t="s">
        <v>1134</v>
      </c>
      <c r="M400">
        <v>1</v>
      </c>
      <c r="N400">
        <v>0</v>
      </c>
      <c r="O400">
        <v>0</v>
      </c>
      <c r="P400" t="b">
        <v>0</v>
      </c>
    </row>
    <row r="401" spans="1:16" x14ac:dyDescent="0.2">
      <c r="A401" t="s">
        <v>500</v>
      </c>
      <c r="B401" t="s">
        <v>274</v>
      </c>
      <c r="C401" t="s">
        <v>90</v>
      </c>
      <c r="D401" t="s">
        <v>38</v>
      </c>
      <c r="E401" t="s">
        <v>17</v>
      </c>
      <c r="F401">
        <v>90036</v>
      </c>
      <c r="G401" t="s">
        <v>18</v>
      </c>
      <c r="H401" t="s">
        <v>1135</v>
      </c>
      <c r="I401" s="1">
        <v>42684</v>
      </c>
      <c r="J401" s="1">
        <v>42687</v>
      </c>
      <c r="K401">
        <v>3</v>
      </c>
      <c r="L401" t="s">
        <v>1136</v>
      </c>
      <c r="M401">
        <v>3</v>
      </c>
      <c r="N401">
        <v>0</v>
      </c>
      <c r="O401">
        <v>0</v>
      </c>
      <c r="P401" t="b">
        <v>0</v>
      </c>
    </row>
    <row r="402" spans="1:16" x14ac:dyDescent="0.2">
      <c r="A402" t="s">
        <v>500</v>
      </c>
      <c r="B402" t="s">
        <v>274</v>
      </c>
      <c r="C402" t="s">
        <v>90</v>
      </c>
      <c r="D402" t="s">
        <v>38</v>
      </c>
      <c r="E402" t="s">
        <v>17</v>
      </c>
      <c r="F402">
        <v>90036</v>
      </c>
      <c r="G402" t="s">
        <v>18</v>
      </c>
      <c r="H402" t="s">
        <v>1135</v>
      </c>
      <c r="I402" s="1">
        <v>42684</v>
      </c>
      <c r="J402" s="1">
        <v>42687</v>
      </c>
      <c r="K402">
        <v>3</v>
      </c>
      <c r="L402" t="s">
        <v>1137</v>
      </c>
      <c r="M402">
        <v>4</v>
      </c>
      <c r="N402">
        <v>0</v>
      </c>
      <c r="O402">
        <v>0</v>
      </c>
      <c r="P402" t="b">
        <v>1</v>
      </c>
    </row>
    <row r="403" spans="1:16" x14ac:dyDescent="0.2">
      <c r="A403" t="s">
        <v>500</v>
      </c>
      <c r="B403" t="s">
        <v>274</v>
      </c>
      <c r="C403" t="s">
        <v>90</v>
      </c>
      <c r="D403" t="s">
        <v>38</v>
      </c>
      <c r="E403" t="s">
        <v>17</v>
      </c>
      <c r="F403">
        <v>90036</v>
      </c>
      <c r="G403" t="s">
        <v>18</v>
      </c>
      <c r="H403" t="s">
        <v>1135</v>
      </c>
      <c r="I403" s="1">
        <v>42684</v>
      </c>
      <c r="J403" s="1">
        <v>42687</v>
      </c>
      <c r="K403">
        <v>3</v>
      </c>
      <c r="L403" t="s">
        <v>696</v>
      </c>
      <c r="M403">
        <v>9</v>
      </c>
      <c r="N403">
        <v>0</v>
      </c>
      <c r="O403">
        <v>0</v>
      </c>
      <c r="P403" t="b">
        <v>0</v>
      </c>
    </row>
    <row r="404" spans="1:16" x14ac:dyDescent="0.2">
      <c r="A404" t="s">
        <v>500</v>
      </c>
      <c r="B404" t="s">
        <v>274</v>
      </c>
      <c r="C404" t="s">
        <v>90</v>
      </c>
      <c r="D404" t="s">
        <v>38</v>
      </c>
      <c r="E404" t="s">
        <v>17</v>
      </c>
      <c r="F404">
        <v>90036</v>
      </c>
      <c r="G404" t="s">
        <v>18</v>
      </c>
      <c r="H404" t="s">
        <v>1135</v>
      </c>
      <c r="I404" s="1">
        <v>42684</v>
      </c>
      <c r="J404" s="1">
        <v>42687</v>
      </c>
      <c r="K404">
        <v>3</v>
      </c>
      <c r="L404" t="s">
        <v>1138</v>
      </c>
      <c r="M404">
        <v>5</v>
      </c>
      <c r="N404">
        <v>0</v>
      </c>
      <c r="O404">
        <v>0</v>
      </c>
      <c r="P404" t="b">
        <v>0</v>
      </c>
    </row>
    <row r="405" spans="1:16" x14ac:dyDescent="0.2">
      <c r="A405" t="s">
        <v>500</v>
      </c>
      <c r="B405" t="s">
        <v>274</v>
      </c>
      <c r="C405" t="s">
        <v>90</v>
      </c>
      <c r="D405" t="s">
        <v>38</v>
      </c>
      <c r="E405" t="s">
        <v>17</v>
      </c>
      <c r="F405">
        <v>90036</v>
      </c>
      <c r="G405" t="s">
        <v>18</v>
      </c>
      <c r="H405" t="s">
        <v>1135</v>
      </c>
      <c r="I405" s="1">
        <v>42684</v>
      </c>
      <c r="J405" s="1">
        <v>42687</v>
      </c>
      <c r="K405">
        <v>3</v>
      </c>
      <c r="L405" t="s">
        <v>1139</v>
      </c>
      <c r="M405">
        <v>4</v>
      </c>
      <c r="N405">
        <v>0</v>
      </c>
      <c r="O405">
        <v>0</v>
      </c>
      <c r="P405" t="b">
        <v>0</v>
      </c>
    </row>
    <row r="406" spans="1:16" x14ac:dyDescent="0.2">
      <c r="A406" t="s">
        <v>500</v>
      </c>
      <c r="B406" t="s">
        <v>274</v>
      </c>
      <c r="C406" t="s">
        <v>90</v>
      </c>
      <c r="D406" t="s">
        <v>38</v>
      </c>
      <c r="E406" t="s">
        <v>17</v>
      </c>
      <c r="F406">
        <v>90036</v>
      </c>
      <c r="G406" t="s">
        <v>18</v>
      </c>
      <c r="H406" t="s">
        <v>1135</v>
      </c>
      <c r="I406" s="1">
        <v>42684</v>
      </c>
      <c r="J406" s="1">
        <v>42687</v>
      </c>
      <c r="K406">
        <v>3</v>
      </c>
      <c r="L406" t="s">
        <v>929</v>
      </c>
      <c r="M406">
        <v>3</v>
      </c>
      <c r="N406">
        <v>1</v>
      </c>
      <c r="O406">
        <v>0.2</v>
      </c>
      <c r="P406" t="b">
        <v>0</v>
      </c>
    </row>
    <row r="407" spans="1:16" x14ac:dyDescent="0.2">
      <c r="A407" t="s">
        <v>500</v>
      </c>
      <c r="B407" t="s">
        <v>274</v>
      </c>
      <c r="C407" t="s">
        <v>90</v>
      </c>
      <c r="D407" t="s">
        <v>38</v>
      </c>
      <c r="E407" t="s">
        <v>17</v>
      </c>
      <c r="F407">
        <v>90036</v>
      </c>
      <c r="G407" t="s">
        <v>18</v>
      </c>
      <c r="H407" t="s">
        <v>1135</v>
      </c>
      <c r="I407" s="1">
        <v>42684</v>
      </c>
      <c r="J407" s="1">
        <v>42687</v>
      </c>
      <c r="K407">
        <v>3</v>
      </c>
      <c r="L407" t="s">
        <v>1140</v>
      </c>
      <c r="M407">
        <v>5</v>
      </c>
      <c r="N407">
        <v>0</v>
      </c>
      <c r="O407">
        <v>0</v>
      </c>
      <c r="P407" t="b">
        <v>0</v>
      </c>
    </row>
    <row r="408" spans="1:16" x14ac:dyDescent="0.2">
      <c r="A408" t="s">
        <v>392</v>
      </c>
      <c r="B408" t="s">
        <v>99</v>
      </c>
      <c r="C408" t="s">
        <v>90</v>
      </c>
      <c r="D408" t="s">
        <v>100</v>
      </c>
      <c r="E408" t="s">
        <v>86</v>
      </c>
      <c r="F408">
        <v>98198</v>
      </c>
      <c r="G408" t="s">
        <v>18</v>
      </c>
      <c r="H408" t="s">
        <v>1141</v>
      </c>
      <c r="I408" s="1">
        <v>42265</v>
      </c>
      <c r="J408" s="1">
        <v>42271</v>
      </c>
      <c r="K408">
        <v>4</v>
      </c>
      <c r="L408" t="s">
        <v>1142</v>
      </c>
      <c r="M408">
        <v>2</v>
      </c>
      <c r="N408">
        <v>0</v>
      </c>
      <c r="O408">
        <v>0</v>
      </c>
      <c r="P408" t="b">
        <v>0</v>
      </c>
    </row>
    <row r="409" spans="1:16" x14ac:dyDescent="0.2">
      <c r="A409" t="s">
        <v>491</v>
      </c>
      <c r="B409" t="s">
        <v>263</v>
      </c>
      <c r="C409" t="s">
        <v>9</v>
      </c>
      <c r="D409" t="s">
        <v>132</v>
      </c>
      <c r="E409" t="s">
        <v>22</v>
      </c>
      <c r="F409">
        <v>75217</v>
      </c>
      <c r="G409" t="s">
        <v>12</v>
      </c>
      <c r="H409" t="s">
        <v>1143</v>
      </c>
      <c r="I409" s="1">
        <v>42007</v>
      </c>
      <c r="J409" s="1">
        <v>42012</v>
      </c>
      <c r="K409">
        <v>3</v>
      </c>
      <c r="L409" t="s">
        <v>1144</v>
      </c>
      <c r="M409">
        <v>5</v>
      </c>
      <c r="N409">
        <v>1</v>
      </c>
      <c r="O409">
        <v>0.2</v>
      </c>
      <c r="P409" t="b">
        <v>0</v>
      </c>
    </row>
    <row r="410" spans="1:16" x14ac:dyDescent="0.2">
      <c r="A410" t="s">
        <v>491</v>
      </c>
      <c r="B410" t="s">
        <v>263</v>
      </c>
      <c r="C410" t="s">
        <v>9</v>
      </c>
      <c r="D410" t="s">
        <v>132</v>
      </c>
      <c r="E410" t="s">
        <v>22</v>
      </c>
      <c r="F410">
        <v>75217</v>
      </c>
      <c r="G410" t="s">
        <v>12</v>
      </c>
      <c r="H410" t="s">
        <v>1143</v>
      </c>
      <c r="I410" s="1">
        <v>42007</v>
      </c>
      <c r="J410" s="1">
        <v>42012</v>
      </c>
      <c r="K410">
        <v>3</v>
      </c>
      <c r="L410" t="s">
        <v>662</v>
      </c>
      <c r="M410">
        <v>3</v>
      </c>
      <c r="N410">
        <v>1</v>
      </c>
      <c r="O410">
        <v>0.2</v>
      </c>
      <c r="P410" t="b">
        <v>0</v>
      </c>
    </row>
    <row r="411" spans="1:16" x14ac:dyDescent="0.2">
      <c r="A411" t="s">
        <v>491</v>
      </c>
      <c r="B411" t="s">
        <v>263</v>
      </c>
      <c r="C411" t="s">
        <v>9</v>
      </c>
      <c r="D411" t="s">
        <v>132</v>
      </c>
      <c r="E411" t="s">
        <v>22</v>
      </c>
      <c r="F411">
        <v>75217</v>
      </c>
      <c r="G411" t="s">
        <v>12</v>
      </c>
      <c r="H411" t="s">
        <v>1143</v>
      </c>
      <c r="I411" s="1">
        <v>42007</v>
      </c>
      <c r="J411" s="1">
        <v>42012</v>
      </c>
      <c r="K411">
        <v>3</v>
      </c>
      <c r="L411" t="s">
        <v>1145</v>
      </c>
      <c r="M411">
        <v>9</v>
      </c>
      <c r="N411">
        <v>1</v>
      </c>
      <c r="O411">
        <v>0.32</v>
      </c>
      <c r="P411" t="b">
        <v>0</v>
      </c>
    </row>
    <row r="412" spans="1:16" x14ac:dyDescent="0.2">
      <c r="A412" t="s">
        <v>569</v>
      </c>
      <c r="B412" t="s">
        <v>381</v>
      </c>
      <c r="C412" t="s">
        <v>9</v>
      </c>
      <c r="D412" t="s">
        <v>132</v>
      </c>
      <c r="E412" t="s">
        <v>22</v>
      </c>
      <c r="F412">
        <v>75217</v>
      </c>
      <c r="G412" t="s">
        <v>12</v>
      </c>
      <c r="H412" t="s">
        <v>1146</v>
      </c>
      <c r="I412" s="1">
        <v>41715</v>
      </c>
      <c r="J412" s="1">
        <v>41715</v>
      </c>
      <c r="K412">
        <v>1</v>
      </c>
      <c r="L412" t="s">
        <v>1147</v>
      </c>
      <c r="M412">
        <v>2</v>
      </c>
      <c r="N412">
        <v>1</v>
      </c>
      <c r="O412">
        <v>0.2</v>
      </c>
      <c r="P412" t="b">
        <v>0</v>
      </c>
    </row>
    <row r="413" spans="1:16" x14ac:dyDescent="0.2">
      <c r="A413" t="s">
        <v>569</v>
      </c>
      <c r="B413" t="s">
        <v>381</v>
      </c>
      <c r="C413" t="s">
        <v>9</v>
      </c>
      <c r="D413" t="s">
        <v>132</v>
      </c>
      <c r="E413" t="s">
        <v>22</v>
      </c>
      <c r="F413">
        <v>75217</v>
      </c>
      <c r="G413" t="s">
        <v>12</v>
      </c>
      <c r="H413" t="s">
        <v>1146</v>
      </c>
      <c r="I413" s="1">
        <v>41715</v>
      </c>
      <c r="J413" s="1">
        <v>41715</v>
      </c>
      <c r="K413">
        <v>1</v>
      </c>
      <c r="L413" t="s">
        <v>1039</v>
      </c>
      <c r="M413">
        <v>1</v>
      </c>
      <c r="N413">
        <v>1</v>
      </c>
      <c r="O413">
        <v>0.2</v>
      </c>
      <c r="P413" t="b">
        <v>1</v>
      </c>
    </row>
    <row r="414" spans="1:16" x14ac:dyDescent="0.2">
      <c r="A414" t="s">
        <v>569</v>
      </c>
      <c r="B414" t="s">
        <v>381</v>
      </c>
      <c r="C414" t="s">
        <v>9</v>
      </c>
      <c r="D414" t="s">
        <v>132</v>
      </c>
      <c r="E414" t="s">
        <v>22</v>
      </c>
      <c r="F414">
        <v>75217</v>
      </c>
      <c r="G414" t="s">
        <v>12</v>
      </c>
      <c r="H414" t="s">
        <v>1146</v>
      </c>
      <c r="I414" s="1">
        <v>41715</v>
      </c>
      <c r="J414" s="1">
        <v>41715</v>
      </c>
      <c r="K414">
        <v>1</v>
      </c>
      <c r="L414" t="s">
        <v>592</v>
      </c>
      <c r="M414">
        <v>3</v>
      </c>
      <c r="N414">
        <v>1</v>
      </c>
      <c r="O414">
        <v>0.2</v>
      </c>
      <c r="P414" t="b">
        <v>0</v>
      </c>
    </row>
    <row r="415" spans="1:16" x14ac:dyDescent="0.2">
      <c r="A415" t="s">
        <v>408</v>
      </c>
      <c r="B415" t="s">
        <v>131</v>
      </c>
      <c r="C415" t="s">
        <v>9</v>
      </c>
      <c r="D415" t="s">
        <v>132</v>
      </c>
      <c r="E415" t="s">
        <v>22</v>
      </c>
      <c r="F415">
        <v>75220</v>
      </c>
      <c r="G415" t="s">
        <v>12</v>
      </c>
      <c r="H415" t="s">
        <v>1148</v>
      </c>
      <c r="I415" s="1">
        <v>42400</v>
      </c>
      <c r="J415" s="1">
        <v>42402</v>
      </c>
      <c r="K415">
        <v>3</v>
      </c>
      <c r="L415" t="s">
        <v>1149</v>
      </c>
      <c r="M415">
        <v>3</v>
      </c>
      <c r="N415">
        <v>1</v>
      </c>
      <c r="O415">
        <v>0.2</v>
      </c>
      <c r="P415" t="b">
        <v>0</v>
      </c>
    </row>
    <row r="416" spans="1:16" x14ac:dyDescent="0.2">
      <c r="A416" t="s">
        <v>416</v>
      </c>
      <c r="B416" t="s">
        <v>148</v>
      </c>
      <c r="C416" t="s">
        <v>90</v>
      </c>
      <c r="D416" t="s">
        <v>85</v>
      </c>
      <c r="E416" t="s">
        <v>86</v>
      </c>
      <c r="F416">
        <v>98103</v>
      </c>
      <c r="G416" t="s">
        <v>18</v>
      </c>
      <c r="H416" t="s">
        <v>1150</v>
      </c>
      <c r="I416" s="1">
        <v>42666</v>
      </c>
      <c r="J416" s="1">
        <v>42671</v>
      </c>
      <c r="K416">
        <v>4</v>
      </c>
      <c r="L416" t="s">
        <v>1151</v>
      </c>
      <c r="M416">
        <v>5</v>
      </c>
      <c r="N416">
        <v>0</v>
      </c>
      <c r="O416">
        <v>0</v>
      </c>
      <c r="P416" t="b">
        <v>0</v>
      </c>
    </row>
    <row r="417" spans="1:16" x14ac:dyDescent="0.2">
      <c r="A417" t="s">
        <v>453</v>
      </c>
      <c r="B417" t="s">
        <v>207</v>
      </c>
      <c r="C417" t="s">
        <v>150</v>
      </c>
      <c r="D417" t="s">
        <v>208</v>
      </c>
      <c r="E417" t="s">
        <v>31</v>
      </c>
      <c r="F417">
        <v>85345</v>
      </c>
      <c r="G417" t="s">
        <v>18</v>
      </c>
      <c r="H417" t="s">
        <v>1152</v>
      </c>
      <c r="I417" s="1">
        <v>42303</v>
      </c>
      <c r="J417" s="1">
        <v>42307</v>
      </c>
      <c r="K417">
        <v>3</v>
      </c>
      <c r="L417" t="s">
        <v>1153</v>
      </c>
      <c r="M417">
        <v>2</v>
      </c>
      <c r="N417">
        <v>1</v>
      </c>
      <c r="O417">
        <v>0.2</v>
      </c>
      <c r="P417" t="b">
        <v>0</v>
      </c>
    </row>
    <row r="418" spans="1:16" x14ac:dyDescent="0.2">
      <c r="A418" t="s">
        <v>453</v>
      </c>
      <c r="B418" t="s">
        <v>207</v>
      </c>
      <c r="C418" t="s">
        <v>150</v>
      </c>
      <c r="D418" t="s">
        <v>208</v>
      </c>
      <c r="E418" t="s">
        <v>31</v>
      </c>
      <c r="F418">
        <v>85345</v>
      </c>
      <c r="G418" t="s">
        <v>18</v>
      </c>
      <c r="H418" t="s">
        <v>1152</v>
      </c>
      <c r="I418" s="1">
        <v>42303</v>
      </c>
      <c r="J418" s="1">
        <v>42307</v>
      </c>
      <c r="K418">
        <v>3</v>
      </c>
      <c r="L418" t="s">
        <v>1154</v>
      </c>
      <c r="M418">
        <v>2</v>
      </c>
      <c r="N418">
        <v>1</v>
      </c>
      <c r="O418">
        <v>0.2</v>
      </c>
      <c r="P418" t="b">
        <v>1</v>
      </c>
    </row>
    <row r="419" spans="1:16" x14ac:dyDescent="0.2">
      <c r="A419" t="s">
        <v>511</v>
      </c>
      <c r="B419" t="s">
        <v>291</v>
      </c>
      <c r="C419" t="s">
        <v>9</v>
      </c>
      <c r="D419" t="s">
        <v>118</v>
      </c>
      <c r="E419" t="s">
        <v>119</v>
      </c>
      <c r="F419">
        <v>48227</v>
      </c>
      <c r="G419" t="s">
        <v>12</v>
      </c>
      <c r="H419" t="s">
        <v>1155</v>
      </c>
      <c r="I419" s="1">
        <v>42692</v>
      </c>
      <c r="J419" s="1">
        <v>42697</v>
      </c>
      <c r="K419">
        <v>4</v>
      </c>
      <c r="L419" t="s">
        <v>1156</v>
      </c>
      <c r="M419">
        <v>2</v>
      </c>
      <c r="N419">
        <v>0</v>
      </c>
      <c r="O419">
        <v>0</v>
      </c>
      <c r="P419" t="b">
        <v>0</v>
      </c>
    </row>
    <row r="420" spans="1:16" x14ac:dyDescent="0.2">
      <c r="A420" t="s">
        <v>508</v>
      </c>
      <c r="B420" t="s">
        <v>286</v>
      </c>
      <c r="C420" t="s">
        <v>150</v>
      </c>
      <c r="D420" t="s">
        <v>287</v>
      </c>
      <c r="E420" t="s">
        <v>17</v>
      </c>
      <c r="F420">
        <v>92307</v>
      </c>
      <c r="G420" t="s">
        <v>18</v>
      </c>
      <c r="H420" t="s">
        <v>1157</v>
      </c>
      <c r="I420" s="1">
        <v>42730</v>
      </c>
      <c r="J420" s="1">
        <v>42734</v>
      </c>
      <c r="K420">
        <v>3</v>
      </c>
      <c r="L420" t="s">
        <v>1158</v>
      </c>
      <c r="M420">
        <v>3</v>
      </c>
      <c r="N420">
        <v>1</v>
      </c>
      <c r="O420">
        <v>0.2</v>
      </c>
      <c r="P420" t="b">
        <v>0</v>
      </c>
    </row>
    <row r="421" spans="1:16" x14ac:dyDescent="0.2">
      <c r="A421" t="s">
        <v>460</v>
      </c>
      <c r="B421" t="s">
        <v>217</v>
      </c>
      <c r="C421" t="s">
        <v>9</v>
      </c>
      <c r="D421" t="s">
        <v>218</v>
      </c>
      <c r="E421" t="s">
        <v>46</v>
      </c>
      <c r="F421">
        <v>31907</v>
      </c>
      <c r="G421" t="s">
        <v>47</v>
      </c>
      <c r="H421" t="s">
        <v>1159</v>
      </c>
      <c r="I421" s="1">
        <v>43002</v>
      </c>
      <c r="J421" s="1">
        <v>43005</v>
      </c>
      <c r="K421">
        <v>2</v>
      </c>
      <c r="L421" t="s">
        <v>1160</v>
      </c>
      <c r="M421">
        <v>3</v>
      </c>
      <c r="N421">
        <v>0</v>
      </c>
      <c r="O421">
        <v>0</v>
      </c>
      <c r="P421" t="b">
        <v>0</v>
      </c>
    </row>
    <row r="422" spans="1:16" x14ac:dyDescent="0.2">
      <c r="A422" t="s">
        <v>460</v>
      </c>
      <c r="B422" t="s">
        <v>217</v>
      </c>
      <c r="C422" t="s">
        <v>9</v>
      </c>
      <c r="D422" t="s">
        <v>218</v>
      </c>
      <c r="E422" t="s">
        <v>46</v>
      </c>
      <c r="F422">
        <v>31907</v>
      </c>
      <c r="G422" t="s">
        <v>47</v>
      </c>
      <c r="H422" t="s">
        <v>1159</v>
      </c>
      <c r="I422" s="1">
        <v>43002</v>
      </c>
      <c r="J422" s="1">
        <v>43005</v>
      </c>
      <c r="K422">
        <v>2</v>
      </c>
      <c r="L422" t="s">
        <v>1161</v>
      </c>
      <c r="M422">
        <v>7</v>
      </c>
      <c r="N422">
        <v>0</v>
      </c>
      <c r="O422">
        <v>0</v>
      </c>
      <c r="P422" t="b">
        <v>0</v>
      </c>
    </row>
    <row r="423" spans="1:16" x14ac:dyDescent="0.2">
      <c r="A423" t="s">
        <v>499</v>
      </c>
      <c r="B423" t="s">
        <v>273</v>
      </c>
      <c r="C423" t="s">
        <v>9</v>
      </c>
      <c r="D423" t="s">
        <v>97</v>
      </c>
      <c r="E423" t="s">
        <v>67</v>
      </c>
      <c r="F423">
        <v>19120</v>
      </c>
      <c r="G423" t="s">
        <v>27</v>
      </c>
      <c r="H423" t="s">
        <v>1162</v>
      </c>
      <c r="I423" s="1">
        <v>41769</v>
      </c>
      <c r="J423" s="1">
        <v>41774</v>
      </c>
      <c r="K423">
        <v>4</v>
      </c>
      <c r="L423" t="s">
        <v>1163</v>
      </c>
      <c r="M423">
        <v>3</v>
      </c>
      <c r="N423">
        <v>0</v>
      </c>
      <c r="O423">
        <v>0</v>
      </c>
      <c r="P423" t="b">
        <v>0</v>
      </c>
    </row>
    <row r="424" spans="1:16" x14ac:dyDescent="0.2">
      <c r="A424" t="s">
        <v>499</v>
      </c>
      <c r="B424" t="s">
        <v>273</v>
      </c>
      <c r="C424" t="s">
        <v>9</v>
      </c>
      <c r="D424" t="s">
        <v>97</v>
      </c>
      <c r="E424" t="s">
        <v>67</v>
      </c>
      <c r="F424">
        <v>19120</v>
      </c>
      <c r="G424" t="s">
        <v>27</v>
      </c>
      <c r="H424" t="s">
        <v>1162</v>
      </c>
      <c r="I424" s="1">
        <v>41769</v>
      </c>
      <c r="J424" s="1">
        <v>41774</v>
      </c>
      <c r="K424">
        <v>4</v>
      </c>
      <c r="L424" t="s">
        <v>1164</v>
      </c>
      <c r="M424">
        <v>5</v>
      </c>
      <c r="N424">
        <v>1</v>
      </c>
      <c r="O424">
        <v>0.2</v>
      </c>
      <c r="P424" t="b">
        <v>1</v>
      </c>
    </row>
    <row r="425" spans="1:16" x14ac:dyDescent="0.2">
      <c r="A425" t="s">
        <v>19</v>
      </c>
      <c r="B425" t="s">
        <v>20</v>
      </c>
      <c r="C425" t="s">
        <v>9</v>
      </c>
      <c r="D425" t="s">
        <v>21</v>
      </c>
      <c r="E425" t="s">
        <v>22</v>
      </c>
      <c r="F425">
        <v>78664</v>
      </c>
      <c r="G425" t="s">
        <v>12</v>
      </c>
      <c r="H425" t="s">
        <v>1165</v>
      </c>
      <c r="I425" s="1">
        <v>42432</v>
      </c>
      <c r="J425" s="1">
        <v>42437</v>
      </c>
      <c r="K425">
        <v>4</v>
      </c>
      <c r="L425" t="s">
        <v>1166</v>
      </c>
      <c r="M425">
        <v>3</v>
      </c>
      <c r="N425">
        <v>1</v>
      </c>
      <c r="O425">
        <v>0.2</v>
      </c>
      <c r="P425" t="b">
        <v>0</v>
      </c>
    </row>
    <row r="426" spans="1:16" x14ac:dyDescent="0.2">
      <c r="A426" t="s">
        <v>19</v>
      </c>
      <c r="B426" t="s">
        <v>20</v>
      </c>
      <c r="C426" t="s">
        <v>9</v>
      </c>
      <c r="D426" t="s">
        <v>21</v>
      </c>
      <c r="E426" t="s">
        <v>22</v>
      </c>
      <c r="F426">
        <v>78664</v>
      </c>
      <c r="G426" t="s">
        <v>12</v>
      </c>
      <c r="H426" t="s">
        <v>1165</v>
      </c>
      <c r="I426" s="1">
        <v>42432</v>
      </c>
      <c r="J426" s="1">
        <v>42437</v>
      </c>
      <c r="K426">
        <v>4</v>
      </c>
      <c r="L426" t="s">
        <v>1167</v>
      </c>
      <c r="M426">
        <v>1</v>
      </c>
      <c r="N426">
        <v>1</v>
      </c>
      <c r="O426">
        <v>0.2</v>
      </c>
      <c r="P426" t="b">
        <v>0</v>
      </c>
    </row>
    <row r="427" spans="1:16" x14ac:dyDescent="0.2">
      <c r="A427" t="s">
        <v>19</v>
      </c>
      <c r="B427" t="s">
        <v>20</v>
      </c>
      <c r="C427" t="s">
        <v>9</v>
      </c>
      <c r="D427" t="s">
        <v>21</v>
      </c>
      <c r="E427" t="s">
        <v>22</v>
      </c>
      <c r="F427">
        <v>78664</v>
      </c>
      <c r="G427" t="s">
        <v>12</v>
      </c>
      <c r="H427" t="s">
        <v>1165</v>
      </c>
      <c r="I427" s="1">
        <v>42432</v>
      </c>
      <c r="J427" s="1">
        <v>42437</v>
      </c>
      <c r="K427">
        <v>4</v>
      </c>
      <c r="L427" t="s">
        <v>1168</v>
      </c>
      <c r="M427">
        <v>3</v>
      </c>
      <c r="N427">
        <v>1</v>
      </c>
      <c r="O427">
        <v>0.2</v>
      </c>
      <c r="P427" t="b">
        <v>0</v>
      </c>
    </row>
    <row r="428" spans="1:16" x14ac:dyDescent="0.2">
      <c r="A428" t="s">
        <v>19</v>
      </c>
      <c r="B428" t="s">
        <v>20</v>
      </c>
      <c r="C428" t="s">
        <v>9</v>
      </c>
      <c r="D428" t="s">
        <v>21</v>
      </c>
      <c r="E428" t="s">
        <v>22</v>
      </c>
      <c r="F428">
        <v>78664</v>
      </c>
      <c r="G428" t="s">
        <v>12</v>
      </c>
      <c r="H428" t="s">
        <v>1165</v>
      </c>
      <c r="I428" s="1">
        <v>42432</v>
      </c>
      <c r="J428" s="1">
        <v>42437</v>
      </c>
      <c r="K428">
        <v>4</v>
      </c>
      <c r="L428" t="s">
        <v>1169</v>
      </c>
      <c r="M428">
        <v>7</v>
      </c>
      <c r="N428">
        <v>1</v>
      </c>
      <c r="O428">
        <v>0.2</v>
      </c>
      <c r="P428" t="b">
        <v>0</v>
      </c>
    </row>
    <row r="429" spans="1:16" x14ac:dyDescent="0.2">
      <c r="A429" t="s">
        <v>568</v>
      </c>
      <c r="B429" t="s">
        <v>379</v>
      </c>
      <c r="C429" t="s">
        <v>9</v>
      </c>
      <c r="D429" t="s">
        <v>380</v>
      </c>
      <c r="E429" t="s">
        <v>124</v>
      </c>
      <c r="F429">
        <v>60090</v>
      </c>
      <c r="G429" t="s">
        <v>12</v>
      </c>
      <c r="H429" t="s">
        <v>1170</v>
      </c>
      <c r="I429" s="1">
        <v>42136</v>
      </c>
      <c r="J429" s="1">
        <v>42140</v>
      </c>
      <c r="K429">
        <v>3</v>
      </c>
      <c r="L429" t="s">
        <v>1171</v>
      </c>
      <c r="M429">
        <v>3</v>
      </c>
      <c r="N429">
        <v>0</v>
      </c>
      <c r="O429">
        <v>0</v>
      </c>
      <c r="P429" t="b">
        <v>0</v>
      </c>
    </row>
    <row r="430" spans="1:16" x14ac:dyDescent="0.2">
      <c r="A430" t="s">
        <v>541</v>
      </c>
      <c r="B430" t="s">
        <v>336</v>
      </c>
      <c r="C430" t="s">
        <v>9</v>
      </c>
      <c r="D430" t="s">
        <v>25</v>
      </c>
      <c r="E430" t="s">
        <v>26</v>
      </c>
      <c r="F430">
        <v>10011</v>
      </c>
      <c r="G430" t="s">
        <v>27</v>
      </c>
      <c r="H430" t="s">
        <v>1172</v>
      </c>
      <c r="I430" s="1">
        <v>42542</v>
      </c>
      <c r="J430" s="1">
        <v>42547</v>
      </c>
      <c r="K430">
        <v>4</v>
      </c>
      <c r="L430" t="s">
        <v>1173</v>
      </c>
      <c r="M430">
        <v>5</v>
      </c>
      <c r="N430">
        <v>1</v>
      </c>
      <c r="O430">
        <v>0.2</v>
      </c>
      <c r="P430" t="b">
        <v>0</v>
      </c>
    </row>
    <row r="431" spans="1:16" x14ac:dyDescent="0.2">
      <c r="A431" t="s">
        <v>541</v>
      </c>
      <c r="B431" t="s">
        <v>336</v>
      </c>
      <c r="C431" t="s">
        <v>9</v>
      </c>
      <c r="D431" t="s">
        <v>25</v>
      </c>
      <c r="E431" t="s">
        <v>26</v>
      </c>
      <c r="F431">
        <v>10011</v>
      </c>
      <c r="G431" t="s">
        <v>27</v>
      </c>
      <c r="H431" t="s">
        <v>1172</v>
      </c>
      <c r="I431" s="1">
        <v>42542</v>
      </c>
      <c r="J431" s="1">
        <v>42547</v>
      </c>
      <c r="K431">
        <v>4</v>
      </c>
      <c r="L431" t="s">
        <v>1174</v>
      </c>
      <c r="M431">
        <v>6</v>
      </c>
      <c r="N431">
        <v>1</v>
      </c>
      <c r="O431">
        <v>0.2</v>
      </c>
      <c r="P431" t="b">
        <v>0</v>
      </c>
    </row>
    <row r="432" spans="1:16" x14ac:dyDescent="0.2">
      <c r="A432" t="s">
        <v>541</v>
      </c>
      <c r="B432" t="s">
        <v>336</v>
      </c>
      <c r="C432" t="s">
        <v>9</v>
      </c>
      <c r="D432" t="s">
        <v>25</v>
      </c>
      <c r="E432" t="s">
        <v>26</v>
      </c>
      <c r="F432">
        <v>10011</v>
      </c>
      <c r="G432" t="s">
        <v>27</v>
      </c>
      <c r="H432" t="s">
        <v>1172</v>
      </c>
      <c r="I432" s="1">
        <v>42542</v>
      </c>
      <c r="J432" s="1">
        <v>42547</v>
      </c>
      <c r="K432">
        <v>4</v>
      </c>
      <c r="L432" t="s">
        <v>1145</v>
      </c>
      <c r="M432">
        <v>2</v>
      </c>
      <c r="N432">
        <v>1</v>
      </c>
      <c r="O432">
        <v>0.2</v>
      </c>
      <c r="P432" t="b">
        <v>0</v>
      </c>
    </row>
    <row r="433" spans="1:16" x14ac:dyDescent="0.2">
      <c r="A433" t="s">
        <v>485</v>
      </c>
      <c r="B433" t="s">
        <v>254</v>
      </c>
      <c r="C433" t="s">
        <v>150</v>
      </c>
      <c r="D433" t="s">
        <v>255</v>
      </c>
      <c r="E433" t="s">
        <v>67</v>
      </c>
      <c r="F433">
        <v>18018</v>
      </c>
      <c r="G433" t="s">
        <v>27</v>
      </c>
      <c r="H433" t="s">
        <v>1175</v>
      </c>
      <c r="I433" s="1">
        <v>42068</v>
      </c>
      <c r="J433" s="1">
        <v>42070</v>
      </c>
      <c r="K433">
        <v>3</v>
      </c>
      <c r="L433" t="s">
        <v>951</v>
      </c>
      <c r="M433">
        <v>2</v>
      </c>
      <c r="N433">
        <v>1</v>
      </c>
      <c r="O433">
        <v>0.3</v>
      </c>
      <c r="P433" t="b">
        <v>0</v>
      </c>
    </row>
    <row r="434" spans="1:16" x14ac:dyDescent="0.2">
      <c r="A434" t="s">
        <v>485</v>
      </c>
      <c r="B434" t="s">
        <v>254</v>
      </c>
      <c r="C434" t="s">
        <v>150</v>
      </c>
      <c r="D434" t="s">
        <v>255</v>
      </c>
      <c r="E434" t="s">
        <v>67</v>
      </c>
      <c r="F434">
        <v>18018</v>
      </c>
      <c r="G434" t="s">
        <v>27</v>
      </c>
      <c r="H434" t="s">
        <v>1175</v>
      </c>
      <c r="I434" s="1">
        <v>42068</v>
      </c>
      <c r="J434" s="1">
        <v>42070</v>
      </c>
      <c r="K434">
        <v>3</v>
      </c>
      <c r="L434" t="s">
        <v>1176</v>
      </c>
      <c r="M434">
        <v>2</v>
      </c>
      <c r="N434">
        <v>1</v>
      </c>
      <c r="O434">
        <v>0.2</v>
      </c>
      <c r="P434" t="b">
        <v>0</v>
      </c>
    </row>
    <row r="435" spans="1:16" x14ac:dyDescent="0.2">
      <c r="A435" t="s">
        <v>461</v>
      </c>
      <c r="B435" t="s">
        <v>219</v>
      </c>
      <c r="C435" t="s">
        <v>9</v>
      </c>
      <c r="D435" t="s">
        <v>41</v>
      </c>
      <c r="E435" t="s">
        <v>95</v>
      </c>
      <c r="F435">
        <v>24153</v>
      </c>
      <c r="G435" t="s">
        <v>47</v>
      </c>
      <c r="H435" t="s">
        <v>1177</v>
      </c>
      <c r="I435" s="1">
        <v>42985</v>
      </c>
      <c r="J435" s="1">
        <v>42989</v>
      </c>
      <c r="K435">
        <v>4</v>
      </c>
      <c r="L435" t="s">
        <v>1178</v>
      </c>
      <c r="M435">
        <v>1</v>
      </c>
      <c r="N435">
        <v>0</v>
      </c>
      <c r="O435">
        <v>0</v>
      </c>
      <c r="P435" t="b">
        <v>0</v>
      </c>
    </row>
    <row r="436" spans="1:16" x14ac:dyDescent="0.2">
      <c r="A436" t="s">
        <v>438</v>
      </c>
      <c r="B436" t="s">
        <v>185</v>
      </c>
      <c r="C436" t="s">
        <v>90</v>
      </c>
      <c r="D436" t="s">
        <v>16</v>
      </c>
      <c r="E436" t="s">
        <v>17</v>
      </c>
      <c r="F436">
        <v>94122</v>
      </c>
      <c r="G436" t="s">
        <v>18</v>
      </c>
      <c r="H436" t="s">
        <v>1179</v>
      </c>
      <c r="I436" s="1">
        <v>42855</v>
      </c>
      <c r="J436" s="1">
        <v>42860</v>
      </c>
      <c r="K436">
        <v>4</v>
      </c>
      <c r="L436" t="s">
        <v>1180</v>
      </c>
      <c r="M436">
        <v>4</v>
      </c>
      <c r="N436">
        <v>0</v>
      </c>
      <c r="O436">
        <v>0</v>
      </c>
      <c r="P436" t="b">
        <v>0</v>
      </c>
    </row>
    <row r="437" spans="1:16" x14ac:dyDescent="0.2">
      <c r="A437" t="s">
        <v>496</v>
      </c>
      <c r="B437" t="s">
        <v>269</v>
      </c>
      <c r="C437" t="s">
        <v>150</v>
      </c>
      <c r="D437" t="s">
        <v>270</v>
      </c>
      <c r="E437" t="s">
        <v>95</v>
      </c>
      <c r="F437">
        <v>22153</v>
      </c>
      <c r="G437" t="s">
        <v>47</v>
      </c>
      <c r="H437" t="s">
        <v>1181</v>
      </c>
      <c r="I437" s="1">
        <v>42520</v>
      </c>
      <c r="J437" s="1">
        <v>42524</v>
      </c>
      <c r="K437">
        <v>4</v>
      </c>
      <c r="L437" t="s">
        <v>1182</v>
      </c>
      <c r="M437">
        <v>10</v>
      </c>
      <c r="N437">
        <v>0</v>
      </c>
      <c r="O437">
        <v>0</v>
      </c>
      <c r="P437" t="b">
        <v>0</v>
      </c>
    </row>
    <row r="438" spans="1:16" x14ac:dyDescent="0.2">
      <c r="A438" t="s">
        <v>496</v>
      </c>
      <c r="B438" t="s">
        <v>269</v>
      </c>
      <c r="C438" t="s">
        <v>150</v>
      </c>
      <c r="D438" t="s">
        <v>270</v>
      </c>
      <c r="E438" t="s">
        <v>95</v>
      </c>
      <c r="F438">
        <v>22153</v>
      </c>
      <c r="G438" t="s">
        <v>47</v>
      </c>
      <c r="H438" t="s">
        <v>1181</v>
      </c>
      <c r="I438" s="1">
        <v>42520</v>
      </c>
      <c r="J438" s="1">
        <v>42524</v>
      </c>
      <c r="K438">
        <v>4</v>
      </c>
      <c r="L438" t="s">
        <v>1183</v>
      </c>
      <c r="M438">
        <v>6</v>
      </c>
      <c r="N438">
        <v>0</v>
      </c>
      <c r="O438">
        <v>0</v>
      </c>
      <c r="P438" t="b">
        <v>0</v>
      </c>
    </row>
    <row r="439" spans="1:16" x14ac:dyDescent="0.2">
      <c r="A439" t="s">
        <v>496</v>
      </c>
      <c r="B439" t="s">
        <v>269</v>
      </c>
      <c r="C439" t="s">
        <v>150</v>
      </c>
      <c r="D439" t="s">
        <v>270</v>
      </c>
      <c r="E439" t="s">
        <v>95</v>
      </c>
      <c r="F439">
        <v>22153</v>
      </c>
      <c r="G439" t="s">
        <v>47</v>
      </c>
      <c r="H439" t="s">
        <v>1181</v>
      </c>
      <c r="I439" s="1">
        <v>42520</v>
      </c>
      <c r="J439" s="1">
        <v>42524</v>
      </c>
      <c r="K439">
        <v>4</v>
      </c>
      <c r="L439" t="s">
        <v>1184</v>
      </c>
      <c r="M439">
        <v>6</v>
      </c>
      <c r="N439">
        <v>0</v>
      </c>
      <c r="O439">
        <v>0</v>
      </c>
      <c r="P439" t="b">
        <v>0</v>
      </c>
    </row>
    <row r="440" spans="1:16" x14ac:dyDescent="0.2">
      <c r="A440" t="s">
        <v>574</v>
      </c>
      <c r="B440" t="s">
        <v>573</v>
      </c>
      <c r="C440" t="s">
        <v>9</v>
      </c>
      <c r="D440" t="s">
        <v>38</v>
      </c>
      <c r="E440" t="s">
        <v>17</v>
      </c>
      <c r="F440">
        <v>90036</v>
      </c>
      <c r="G440" t="s">
        <v>18</v>
      </c>
      <c r="H440" t="s">
        <v>1185</v>
      </c>
      <c r="I440" s="1">
        <v>41959</v>
      </c>
      <c r="J440" s="1">
        <v>41963</v>
      </c>
      <c r="K440">
        <v>4</v>
      </c>
      <c r="L440" t="s">
        <v>1186</v>
      </c>
      <c r="M440">
        <v>2</v>
      </c>
      <c r="N440">
        <v>1</v>
      </c>
      <c r="O440">
        <v>0.3</v>
      </c>
      <c r="P440" t="b">
        <v>0</v>
      </c>
    </row>
    <row r="441" spans="1:16" x14ac:dyDescent="0.2">
      <c r="A441" t="s">
        <v>503</v>
      </c>
      <c r="B441" t="s">
        <v>278</v>
      </c>
      <c r="C441" t="s">
        <v>150</v>
      </c>
      <c r="D441" t="s">
        <v>270</v>
      </c>
      <c r="E441" t="s">
        <v>95</v>
      </c>
      <c r="F441">
        <v>22153</v>
      </c>
      <c r="G441" t="s">
        <v>47</v>
      </c>
      <c r="H441" t="s">
        <v>1187</v>
      </c>
      <c r="I441" s="1">
        <v>43024</v>
      </c>
      <c r="J441" s="1">
        <v>43029</v>
      </c>
      <c r="K441">
        <v>4</v>
      </c>
      <c r="L441" t="s">
        <v>905</v>
      </c>
      <c r="M441">
        <v>7</v>
      </c>
      <c r="N441">
        <v>1</v>
      </c>
      <c r="O441">
        <v>0.2</v>
      </c>
      <c r="P441" t="b">
        <v>0</v>
      </c>
    </row>
    <row r="442" spans="1:16" x14ac:dyDescent="0.2">
      <c r="A442" t="s">
        <v>471</v>
      </c>
      <c r="B442" t="s">
        <v>235</v>
      </c>
      <c r="C442" t="s">
        <v>9</v>
      </c>
      <c r="D442" t="s">
        <v>76</v>
      </c>
      <c r="E442" t="s">
        <v>17</v>
      </c>
      <c r="F442">
        <v>92105</v>
      </c>
      <c r="G442" t="s">
        <v>18</v>
      </c>
      <c r="H442" t="s">
        <v>1188</v>
      </c>
      <c r="I442" s="1">
        <v>41772</v>
      </c>
      <c r="J442" s="1">
        <v>41778</v>
      </c>
      <c r="K442">
        <v>4</v>
      </c>
      <c r="L442" t="s">
        <v>880</v>
      </c>
      <c r="M442">
        <v>6</v>
      </c>
      <c r="N442">
        <v>1</v>
      </c>
      <c r="O442">
        <v>0.2</v>
      </c>
      <c r="P442" t="b">
        <v>0</v>
      </c>
    </row>
    <row r="443" spans="1:16" x14ac:dyDescent="0.2">
      <c r="A443" t="s">
        <v>471</v>
      </c>
      <c r="B443" t="s">
        <v>235</v>
      </c>
      <c r="C443" t="s">
        <v>9</v>
      </c>
      <c r="D443" t="s">
        <v>76</v>
      </c>
      <c r="E443" t="s">
        <v>17</v>
      </c>
      <c r="F443">
        <v>92105</v>
      </c>
      <c r="G443" t="s">
        <v>18</v>
      </c>
      <c r="H443" t="s">
        <v>1188</v>
      </c>
      <c r="I443" s="1">
        <v>41772</v>
      </c>
      <c r="J443" s="1">
        <v>41778</v>
      </c>
      <c r="K443">
        <v>4</v>
      </c>
      <c r="L443" t="s">
        <v>1189</v>
      </c>
      <c r="M443">
        <v>2</v>
      </c>
      <c r="N443">
        <v>0</v>
      </c>
      <c r="O443">
        <v>0</v>
      </c>
      <c r="P443" t="b">
        <v>0</v>
      </c>
    </row>
    <row r="444" spans="1:16" x14ac:dyDescent="0.2">
      <c r="A444" t="s">
        <v>533</v>
      </c>
      <c r="B444" t="s">
        <v>324</v>
      </c>
      <c r="C444" t="s">
        <v>9</v>
      </c>
      <c r="D444" t="s">
        <v>145</v>
      </c>
      <c r="E444" t="s">
        <v>119</v>
      </c>
      <c r="F444">
        <v>49201</v>
      </c>
      <c r="G444" t="s">
        <v>12</v>
      </c>
      <c r="H444" t="s">
        <v>1190</v>
      </c>
      <c r="I444" s="1">
        <v>42642</v>
      </c>
      <c r="J444" s="1">
        <v>42646</v>
      </c>
      <c r="K444">
        <v>3</v>
      </c>
      <c r="L444" t="s">
        <v>1191</v>
      </c>
      <c r="M444">
        <v>5</v>
      </c>
      <c r="N444">
        <v>1</v>
      </c>
      <c r="O444">
        <v>0.2</v>
      </c>
      <c r="P444" t="b">
        <v>0</v>
      </c>
    </row>
    <row r="445" spans="1:16" x14ac:dyDescent="0.2">
      <c r="A445" t="s">
        <v>454</v>
      </c>
      <c r="B445" t="s">
        <v>209</v>
      </c>
      <c r="C445" t="s">
        <v>150</v>
      </c>
      <c r="D445" t="s">
        <v>121</v>
      </c>
      <c r="E445" t="s">
        <v>22</v>
      </c>
      <c r="F445">
        <v>77041</v>
      </c>
      <c r="G445" t="s">
        <v>12</v>
      </c>
      <c r="H445" t="s">
        <v>1192</v>
      </c>
      <c r="I445" s="1">
        <v>42301</v>
      </c>
      <c r="J445" s="1">
        <v>42307</v>
      </c>
      <c r="K445">
        <v>4</v>
      </c>
      <c r="L445" t="s">
        <v>1193</v>
      </c>
      <c r="M445">
        <v>3</v>
      </c>
      <c r="N445">
        <v>1</v>
      </c>
      <c r="O445">
        <v>0.2</v>
      </c>
      <c r="P445" t="b">
        <v>0</v>
      </c>
    </row>
    <row r="446" spans="1:16" x14ac:dyDescent="0.2">
      <c r="A446" t="s">
        <v>454</v>
      </c>
      <c r="B446" t="s">
        <v>209</v>
      </c>
      <c r="C446" t="s">
        <v>150</v>
      </c>
      <c r="D446" t="s">
        <v>121</v>
      </c>
      <c r="E446" t="s">
        <v>22</v>
      </c>
      <c r="F446">
        <v>77041</v>
      </c>
      <c r="G446" t="s">
        <v>12</v>
      </c>
      <c r="H446" t="s">
        <v>1192</v>
      </c>
      <c r="I446" s="1">
        <v>42301</v>
      </c>
      <c r="J446" s="1">
        <v>42307</v>
      </c>
      <c r="K446">
        <v>4</v>
      </c>
      <c r="L446" t="s">
        <v>1194</v>
      </c>
      <c r="M446">
        <v>7</v>
      </c>
      <c r="N446">
        <v>1</v>
      </c>
      <c r="O446">
        <v>0.3</v>
      </c>
      <c r="P446" t="b">
        <v>0</v>
      </c>
    </row>
    <row r="447" spans="1:16" x14ac:dyDescent="0.2">
      <c r="A447" t="s">
        <v>454</v>
      </c>
      <c r="B447" t="s">
        <v>209</v>
      </c>
      <c r="C447" t="s">
        <v>150</v>
      </c>
      <c r="D447" t="s">
        <v>121</v>
      </c>
      <c r="E447" t="s">
        <v>22</v>
      </c>
      <c r="F447">
        <v>77041</v>
      </c>
      <c r="G447" t="s">
        <v>12</v>
      </c>
      <c r="H447" t="s">
        <v>1192</v>
      </c>
      <c r="I447" s="1">
        <v>42301</v>
      </c>
      <c r="J447" s="1">
        <v>42307</v>
      </c>
      <c r="K447">
        <v>4</v>
      </c>
      <c r="L447" t="s">
        <v>1195</v>
      </c>
      <c r="M447">
        <v>2</v>
      </c>
      <c r="N447">
        <v>1</v>
      </c>
      <c r="O447">
        <v>0.2</v>
      </c>
      <c r="P447" t="b">
        <v>0</v>
      </c>
    </row>
    <row r="448" spans="1:16" x14ac:dyDescent="0.2">
      <c r="A448" t="s">
        <v>486</v>
      </c>
      <c r="B448" t="s">
        <v>256</v>
      </c>
      <c r="C448" t="s">
        <v>150</v>
      </c>
      <c r="D448" t="s">
        <v>25</v>
      </c>
      <c r="E448" t="s">
        <v>26</v>
      </c>
      <c r="F448">
        <v>10024</v>
      </c>
      <c r="G448" t="s">
        <v>27</v>
      </c>
      <c r="H448" t="s">
        <v>1196</v>
      </c>
      <c r="I448" s="1">
        <v>42971</v>
      </c>
      <c r="J448" s="1">
        <v>42976</v>
      </c>
      <c r="K448">
        <v>4</v>
      </c>
      <c r="L448" t="s">
        <v>992</v>
      </c>
      <c r="M448">
        <v>4</v>
      </c>
      <c r="N448">
        <v>1</v>
      </c>
      <c r="O448">
        <v>0.2</v>
      </c>
      <c r="P448" t="b">
        <v>0</v>
      </c>
    </row>
    <row r="449" spans="1:16" x14ac:dyDescent="0.2">
      <c r="A449" t="s">
        <v>486</v>
      </c>
      <c r="B449" t="s">
        <v>256</v>
      </c>
      <c r="C449" t="s">
        <v>150</v>
      </c>
      <c r="D449" t="s">
        <v>25</v>
      </c>
      <c r="E449" t="s">
        <v>26</v>
      </c>
      <c r="F449">
        <v>10024</v>
      </c>
      <c r="G449" t="s">
        <v>27</v>
      </c>
      <c r="H449" t="s">
        <v>1196</v>
      </c>
      <c r="I449" s="1">
        <v>42971</v>
      </c>
      <c r="J449" s="1">
        <v>42976</v>
      </c>
      <c r="K449">
        <v>4</v>
      </c>
      <c r="L449" t="s">
        <v>1197</v>
      </c>
      <c r="M449">
        <v>1</v>
      </c>
      <c r="N449">
        <v>1</v>
      </c>
      <c r="O449">
        <v>0.2</v>
      </c>
      <c r="P449" t="b">
        <v>0</v>
      </c>
    </row>
    <row r="450" spans="1:16" x14ac:dyDescent="0.2">
      <c r="A450" t="s">
        <v>513</v>
      </c>
      <c r="B450" t="s">
        <v>294</v>
      </c>
      <c r="C450" t="s">
        <v>150</v>
      </c>
      <c r="D450" t="s">
        <v>295</v>
      </c>
      <c r="E450" t="s">
        <v>22</v>
      </c>
      <c r="F450">
        <v>75051</v>
      </c>
      <c r="G450" t="s">
        <v>12</v>
      </c>
      <c r="H450" t="s">
        <v>1198</v>
      </c>
      <c r="I450" s="1">
        <v>41918</v>
      </c>
      <c r="J450" s="1">
        <v>41920</v>
      </c>
      <c r="K450">
        <v>4</v>
      </c>
      <c r="L450" t="s">
        <v>1199</v>
      </c>
      <c r="M450">
        <v>2</v>
      </c>
      <c r="N450">
        <v>0</v>
      </c>
      <c r="O450">
        <v>0</v>
      </c>
      <c r="P450" t="b">
        <v>0</v>
      </c>
    </row>
    <row r="451" spans="1:16" x14ac:dyDescent="0.2">
      <c r="A451" t="s">
        <v>501</v>
      </c>
      <c r="B451" t="s">
        <v>275</v>
      </c>
      <c r="C451" t="s">
        <v>9</v>
      </c>
      <c r="D451" t="s">
        <v>276</v>
      </c>
      <c r="E451" t="s">
        <v>31</v>
      </c>
      <c r="F451">
        <v>85301</v>
      </c>
      <c r="G451" t="s">
        <v>18</v>
      </c>
      <c r="H451" t="s">
        <v>1200</v>
      </c>
      <c r="I451" s="1">
        <v>42987</v>
      </c>
      <c r="J451" s="1">
        <v>42991</v>
      </c>
      <c r="K451">
        <v>4</v>
      </c>
      <c r="L451" t="s">
        <v>1201</v>
      </c>
      <c r="M451">
        <v>2</v>
      </c>
      <c r="N451">
        <v>1</v>
      </c>
      <c r="O451">
        <v>0.2</v>
      </c>
      <c r="P451" t="b">
        <v>0</v>
      </c>
    </row>
    <row r="452" spans="1:16" x14ac:dyDescent="0.2">
      <c r="A452" t="s">
        <v>416</v>
      </c>
      <c r="B452" t="s">
        <v>148</v>
      </c>
      <c r="C452" t="s">
        <v>90</v>
      </c>
      <c r="D452" t="s">
        <v>85</v>
      </c>
      <c r="E452" t="s">
        <v>86</v>
      </c>
      <c r="F452">
        <v>98103</v>
      </c>
      <c r="G452" t="s">
        <v>18</v>
      </c>
      <c r="H452" t="s">
        <v>1202</v>
      </c>
      <c r="I452" s="1">
        <v>42132</v>
      </c>
      <c r="J452" s="1">
        <v>42134</v>
      </c>
      <c r="K452">
        <v>2</v>
      </c>
      <c r="L452" t="s">
        <v>1203</v>
      </c>
      <c r="M452">
        <v>2</v>
      </c>
      <c r="N452">
        <v>0</v>
      </c>
      <c r="O452">
        <v>0</v>
      </c>
      <c r="P452" t="b">
        <v>0</v>
      </c>
    </row>
    <row r="453" spans="1:16" x14ac:dyDescent="0.2">
      <c r="A453" t="s">
        <v>444</v>
      </c>
      <c r="B453" t="s">
        <v>195</v>
      </c>
      <c r="C453" t="s">
        <v>9</v>
      </c>
      <c r="D453" t="s">
        <v>16</v>
      </c>
      <c r="E453" t="s">
        <v>17</v>
      </c>
      <c r="F453">
        <v>94109</v>
      </c>
      <c r="G453" t="s">
        <v>18</v>
      </c>
      <c r="H453" t="s">
        <v>1204</v>
      </c>
      <c r="I453" s="1">
        <v>42344</v>
      </c>
      <c r="J453" s="1">
        <v>42349</v>
      </c>
      <c r="K453">
        <v>4</v>
      </c>
      <c r="L453" t="s">
        <v>1205</v>
      </c>
      <c r="M453">
        <v>2</v>
      </c>
      <c r="N453">
        <v>0</v>
      </c>
      <c r="O453">
        <v>0</v>
      </c>
      <c r="P453" t="b">
        <v>0</v>
      </c>
    </row>
    <row r="454" spans="1:16" x14ac:dyDescent="0.2">
      <c r="A454" t="s">
        <v>400</v>
      </c>
      <c r="B454" t="s">
        <v>115</v>
      </c>
      <c r="C454" t="s">
        <v>9</v>
      </c>
      <c r="D454" t="s">
        <v>25</v>
      </c>
      <c r="E454" t="s">
        <v>26</v>
      </c>
      <c r="F454">
        <v>10011</v>
      </c>
      <c r="G454" t="s">
        <v>27</v>
      </c>
      <c r="H454" t="s">
        <v>1206</v>
      </c>
      <c r="I454" s="1">
        <v>42402</v>
      </c>
      <c r="J454" s="1">
        <v>42407</v>
      </c>
      <c r="K454">
        <v>4</v>
      </c>
      <c r="L454" t="s">
        <v>1207</v>
      </c>
      <c r="M454">
        <v>2</v>
      </c>
      <c r="N454">
        <v>0</v>
      </c>
      <c r="O454">
        <v>0</v>
      </c>
      <c r="P454" t="b">
        <v>1</v>
      </c>
    </row>
    <row r="455" spans="1:16" x14ac:dyDescent="0.2">
      <c r="A455" t="s">
        <v>556</v>
      </c>
      <c r="B455" t="s">
        <v>360</v>
      </c>
      <c r="C455" t="s">
        <v>90</v>
      </c>
      <c r="D455" t="s">
        <v>38</v>
      </c>
      <c r="E455" t="s">
        <v>17</v>
      </c>
      <c r="F455">
        <v>90004</v>
      </c>
      <c r="G455" t="s">
        <v>18</v>
      </c>
      <c r="H455" t="s">
        <v>1208</v>
      </c>
      <c r="I455" s="1">
        <v>42827</v>
      </c>
      <c r="J455" s="1">
        <v>42830</v>
      </c>
      <c r="K455">
        <v>3</v>
      </c>
      <c r="L455" t="s">
        <v>1209</v>
      </c>
      <c r="M455">
        <v>4</v>
      </c>
      <c r="N455">
        <v>0</v>
      </c>
      <c r="O455">
        <v>0</v>
      </c>
      <c r="P455" t="b">
        <v>0</v>
      </c>
    </row>
    <row r="456" spans="1:16" x14ac:dyDescent="0.2">
      <c r="A456" t="s">
        <v>496</v>
      </c>
      <c r="B456" t="s">
        <v>269</v>
      </c>
      <c r="C456" t="s">
        <v>150</v>
      </c>
      <c r="D456" t="s">
        <v>270</v>
      </c>
      <c r="E456" t="s">
        <v>95</v>
      </c>
      <c r="F456">
        <v>22153</v>
      </c>
      <c r="G456" t="s">
        <v>47</v>
      </c>
      <c r="H456" t="s">
        <v>1210</v>
      </c>
      <c r="I456" s="1">
        <v>42139</v>
      </c>
      <c r="J456" s="1">
        <v>42144</v>
      </c>
      <c r="K456">
        <v>4</v>
      </c>
      <c r="L456" t="s">
        <v>1211</v>
      </c>
      <c r="M456">
        <v>3</v>
      </c>
      <c r="N456">
        <v>0</v>
      </c>
      <c r="O456">
        <v>0</v>
      </c>
      <c r="P456" t="b">
        <v>0</v>
      </c>
    </row>
    <row r="457" spans="1:16" x14ac:dyDescent="0.2">
      <c r="A457" t="s">
        <v>455</v>
      </c>
      <c r="B457" t="s">
        <v>210</v>
      </c>
      <c r="C457" t="s">
        <v>150</v>
      </c>
      <c r="D457" t="s">
        <v>118</v>
      </c>
      <c r="E457" t="s">
        <v>119</v>
      </c>
      <c r="F457">
        <v>48234</v>
      </c>
      <c r="G457" t="s">
        <v>12</v>
      </c>
      <c r="H457" t="s">
        <v>1212</v>
      </c>
      <c r="I457" s="1">
        <v>42008</v>
      </c>
      <c r="J457" s="1">
        <v>42013</v>
      </c>
      <c r="K457">
        <v>4</v>
      </c>
      <c r="L457" t="s">
        <v>755</v>
      </c>
      <c r="M457">
        <v>14</v>
      </c>
      <c r="N457">
        <v>0</v>
      </c>
      <c r="O457">
        <v>0</v>
      </c>
      <c r="P457" t="b">
        <v>0</v>
      </c>
    </row>
    <row r="458" spans="1:16" x14ac:dyDescent="0.2">
      <c r="A458" t="s">
        <v>508</v>
      </c>
      <c r="B458" t="s">
        <v>286</v>
      </c>
      <c r="C458" t="s">
        <v>150</v>
      </c>
      <c r="D458" t="s">
        <v>287</v>
      </c>
      <c r="E458" t="s">
        <v>17</v>
      </c>
      <c r="F458">
        <v>92307</v>
      </c>
      <c r="G458" t="s">
        <v>18</v>
      </c>
      <c r="H458" t="s">
        <v>1213</v>
      </c>
      <c r="I458" s="1">
        <v>42933</v>
      </c>
      <c r="J458" s="1">
        <v>42935</v>
      </c>
      <c r="K458">
        <v>3</v>
      </c>
      <c r="L458" t="s">
        <v>1214</v>
      </c>
      <c r="M458">
        <v>5</v>
      </c>
      <c r="N458">
        <v>0</v>
      </c>
      <c r="O458">
        <v>0</v>
      </c>
      <c r="P458" t="b">
        <v>0</v>
      </c>
    </row>
    <row r="459" spans="1:16" x14ac:dyDescent="0.2">
      <c r="A459" t="s">
        <v>508</v>
      </c>
      <c r="B459" t="s">
        <v>286</v>
      </c>
      <c r="C459" t="s">
        <v>150</v>
      </c>
      <c r="D459" t="s">
        <v>287</v>
      </c>
      <c r="E459" t="s">
        <v>17</v>
      </c>
      <c r="F459">
        <v>92307</v>
      </c>
      <c r="G459" t="s">
        <v>18</v>
      </c>
      <c r="H459" t="s">
        <v>1213</v>
      </c>
      <c r="I459" s="1">
        <v>42933</v>
      </c>
      <c r="J459" s="1">
        <v>42935</v>
      </c>
      <c r="K459">
        <v>3</v>
      </c>
      <c r="L459" t="s">
        <v>1215</v>
      </c>
      <c r="M459">
        <v>5</v>
      </c>
      <c r="N459">
        <v>0</v>
      </c>
      <c r="O459">
        <v>0</v>
      </c>
      <c r="P459" t="b">
        <v>0</v>
      </c>
    </row>
    <row r="460" spans="1:16" x14ac:dyDescent="0.2">
      <c r="A460" t="s">
        <v>508</v>
      </c>
      <c r="B460" t="s">
        <v>286</v>
      </c>
      <c r="C460" t="s">
        <v>150</v>
      </c>
      <c r="D460" t="s">
        <v>287</v>
      </c>
      <c r="E460" t="s">
        <v>17</v>
      </c>
      <c r="F460">
        <v>92307</v>
      </c>
      <c r="G460" t="s">
        <v>18</v>
      </c>
      <c r="H460" t="s">
        <v>1213</v>
      </c>
      <c r="I460" s="1">
        <v>42933</v>
      </c>
      <c r="J460" s="1">
        <v>42935</v>
      </c>
      <c r="K460">
        <v>3</v>
      </c>
      <c r="L460" t="s">
        <v>1216</v>
      </c>
      <c r="M460">
        <v>2</v>
      </c>
      <c r="N460">
        <v>0</v>
      </c>
      <c r="O460">
        <v>0</v>
      </c>
      <c r="P460" t="b">
        <v>0</v>
      </c>
    </row>
    <row r="461" spans="1:16" x14ac:dyDescent="0.2">
      <c r="A461" t="s">
        <v>508</v>
      </c>
      <c r="B461" t="s">
        <v>286</v>
      </c>
      <c r="C461" t="s">
        <v>150</v>
      </c>
      <c r="D461" t="s">
        <v>287</v>
      </c>
      <c r="E461" t="s">
        <v>17</v>
      </c>
      <c r="F461">
        <v>92307</v>
      </c>
      <c r="G461" t="s">
        <v>18</v>
      </c>
      <c r="H461" t="s">
        <v>1213</v>
      </c>
      <c r="I461" s="1">
        <v>42933</v>
      </c>
      <c r="J461" s="1">
        <v>42935</v>
      </c>
      <c r="K461">
        <v>3</v>
      </c>
      <c r="L461" t="s">
        <v>1217</v>
      </c>
      <c r="M461">
        <v>5</v>
      </c>
      <c r="N461">
        <v>1</v>
      </c>
      <c r="O461">
        <v>0.15</v>
      </c>
      <c r="P461" t="b">
        <v>0</v>
      </c>
    </row>
    <row r="462" spans="1:16" x14ac:dyDescent="0.2">
      <c r="A462" t="s">
        <v>481</v>
      </c>
      <c r="B462" t="s">
        <v>248</v>
      </c>
      <c r="C462" t="s">
        <v>90</v>
      </c>
      <c r="D462" t="s">
        <v>41</v>
      </c>
      <c r="E462" t="s">
        <v>42</v>
      </c>
      <c r="F462">
        <v>97301</v>
      </c>
      <c r="G462" t="s">
        <v>18</v>
      </c>
      <c r="H462" t="s">
        <v>1218</v>
      </c>
      <c r="I462" s="1">
        <v>42722</v>
      </c>
      <c r="J462" s="1">
        <v>42725</v>
      </c>
      <c r="K462">
        <v>2</v>
      </c>
      <c r="L462" t="s">
        <v>1088</v>
      </c>
      <c r="M462">
        <v>4</v>
      </c>
      <c r="N462">
        <v>1</v>
      </c>
      <c r="O462">
        <v>0.7</v>
      </c>
      <c r="P462" t="b">
        <v>0</v>
      </c>
    </row>
    <row r="463" spans="1:16" x14ac:dyDescent="0.2">
      <c r="A463" t="s">
        <v>481</v>
      </c>
      <c r="B463" t="s">
        <v>248</v>
      </c>
      <c r="C463" t="s">
        <v>90</v>
      </c>
      <c r="D463" t="s">
        <v>41</v>
      </c>
      <c r="E463" t="s">
        <v>42</v>
      </c>
      <c r="F463">
        <v>97301</v>
      </c>
      <c r="G463" t="s">
        <v>18</v>
      </c>
      <c r="H463" t="s">
        <v>1218</v>
      </c>
      <c r="I463" s="1">
        <v>42722</v>
      </c>
      <c r="J463" s="1">
        <v>42725</v>
      </c>
      <c r="K463">
        <v>2</v>
      </c>
      <c r="L463" t="s">
        <v>1219</v>
      </c>
      <c r="M463">
        <v>4</v>
      </c>
      <c r="N463">
        <v>1</v>
      </c>
      <c r="O463">
        <v>0.2</v>
      </c>
      <c r="P463" t="b">
        <v>0</v>
      </c>
    </row>
    <row r="464" spans="1:16" x14ac:dyDescent="0.2">
      <c r="A464" t="s">
        <v>481</v>
      </c>
      <c r="B464" t="s">
        <v>248</v>
      </c>
      <c r="C464" t="s">
        <v>90</v>
      </c>
      <c r="D464" t="s">
        <v>41</v>
      </c>
      <c r="E464" t="s">
        <v>42</v>
      </c>
      <c r="F464">
        <v>97301</v>
      </c>
      <c r="G464" t="s">
        <v>18</v>
      </c>
      <c r="H464" t="s">
        <v>1218</v>
      </c>
      <c r="I464" s="1">
        <v>42722</v>
      </c>
      <c r="J464" s="1">
        <v>42725</v>
      </c>
      <c r="K464">
        <v>2</v>
      </c>
      <c r="L464" t="s">
        <v>1220</v>
      </c>
      <c r="M464">
        <v>2</v>
      </c>
      <c r="N464">
        <v>1</v>
      </c>
      <c r="O464">
        <v>0.2</v>
      </c>
      <c r="P464" t="b">
        <v>0</v>
      </c>
    </row>
    <row r="465" spans="1:16" x14ac:dyDescent="0.2">
      <c r="A465" t="s">
        <v>481</v>
      </c>
      <c r="B465" t="s">
        <v>248</v>
      </c>
      <c r="C465" t="s">
        <v>90</v>
      </c>
      <c r="D465" t="s">
        <v>41</v>
      </c>
      <c r="E465" t="s">
        <v>42</v>
      </c>
      <c r="F465">
        <v>97301</v>
      </c>
      <c r="G465" t="s">
        <v>18</v>
      </c>
      <c r="H465" t="s">
        <v>1218</v>
      </c>
      <c r="I465" s="1">
        <v>42722</v>
      </c>
      <c r="J465" s="1">
        <v>42725</v>
      </c>
      <c r="K465">
        <v>2</v>
      </c>
      <c r="L465" t="s">
        <v>1221</v>
      </c>
      <c r="M465">
        <v>3</v>
      </c>
      <c r="N465">
        <v>1</v>
      </c>
      <c r="O465">
        <v>0.2</v>
      </c>
      <c r="P465" t="b">
        <v>1</v>
      </c>
    </row>
    <row r="466" spans="1:16" x14ac:dyDescent="0.2">
      <c r="A466" t="s">
        <v>481</v>
      </c>
      <c r="B466" t="s">
        <v>248</v>
      </c>
      <c r="C466" t="s">
        <v>90</v>
      </c>
      <c r="D466" t="s">
        <v>41</v>
      </c>
      <c r="E466" t="s">
        <v>42</v>
      </c>
      <c r="F466">
        <v>97301</v>
      </c>
      <c r="G466" t="s">
        <v>18</v>
      </c>
      <c r="H466" t="s">
        <v>1218</v>
      </c>
      <c r="I466" s="1">
        <v>42722</v>
      </c>
      <c r="J466" s="1">
        <v>42725</v>
      </c>
      <c r="K466">
        <v>2</v>
      </c>
      <c r="L466" t="s">
        <v>1222</v>
      </c>
      <c r="M466">
        <v>5</v>
      </c>
      <c r="N466">
        <v>1</v>
      </c>
      <c r="O466">
        <v>0.5</v>
      </c>
      <c r="P466" t="b">
        <v>0</v>
      </c>
    </row>
    <row r="467" spans="1:16" x14ac:dyDescent="0.2">
      <c r="A467" t="s">
        <v>481</v>
      </c>
      <c r="B467" t="s">
        <v>248</v>
      </c>
      <c r="C467" t="s">
        <v>90</v>
      </c>
      <c r="D467" t="s">
        <v>41</v>
      </c>
      <c r="E467" t="s">
        <v>42</v>
      </c>
      <c r="F467">
        <v>97301</v>
      </c>
      <c r="G467" t="s">
        <v>18</v>
      </c>
      <c r="H467" t="s">
        <v>1218</v>
      </c>
      <c r="I467" s="1">
        <v>42722</v>
      </c>
      <c r="J467" s="1">
        <v>42725</v>
      </c>
      <c r="K467">
        <v>2</v>
      </c>
      <c r="L467" t="s">
        <v>1223</v>
      </c>
      <c r="M467">
        <v>4</v>
      </c>
      <c r="N467">
        <v>1</v>
      </c>
      <c r="O467">
        <v>0.2</v>
      </c>
      <c r="P467" t="b">
        <v>0</v>
      </c>
    </row>
    <row r="468" spans="1:16" x14ac:dyDescent="0.2">
      <c r="A468" t="s">
        <v>481</v>
      </c>
      <c r="B468" t="s">
        <v>248</v>
      </c>
      <c r="C468" t="s">
        <v>90</v>
      </c>
      <c r="D468" t="s">
        <v>41</v>
      </c>
      <c r="E468" t="s">
        <v>42</v>
      </c>
      <c r="F468">
        <v>97301</v>
      </c>
      <c r="G468" t="s">
        <v>18</v>
      </c>
      <c r="H468" t="s">
        <v>1218</v>
      </c>
      <c r="I468" s="1">
        <v>42722</v>
      </c>
      <c r="J468" s="1">
        <v>42725</v>
      </c>
      <c r="K468">
        <v>2</v>
      </c>
      <c r="L468" t="s">
        <v>1224</v>
      </c>
      <c r="M468">
        <v>3</v>
      </c>
      <c r="N468">
        <v>1</v>
      </c>
      <c r="O468">
        <v>0.2</v>
      </c>
      <c r="P468" t="b">
        <v>0</v>
      </c>
    </row>
    <row r="469" spans="1:16" x14ac:dyDescent="0.2">
      <c r="A469" t="s">
        <v>491</v>
      </c>
      <c r="B469" t="s">
        <v>263</v>
      </c>
      <c r="C469" t="s">
        <v>9</v>
      </c>
      <c r="D469" t="s">
        <v>132</v>
      </c>
      <c r="E469" t="s">
        <v>22</v>
      </c>
      <c r="F469">
        <v>75217</v>
      </c>
      <c r="G469" t="s">
        <v>12</v>
      </c>
      <c r="H469" t="s">
        <v>1225</v>
      </c>
      <c r="I469" s="1">
        <v>42495</v>
      </c>
      <c r="J469" s="1">
        <v>42497</v>
      </c>
      <c r="K469">
        <v>3</v>
      </c>
      <c r="L469" t="s">
        <v>1226</v>
      </c>
      <c r="M469">
        <v>2</v>
      </c>
      <c r="N469">
        <v>1</v>
      </c>
      <c r="O469">
        <v>0.2</v>
      </c>
      <c r="P469" t="b">
        <v>0</v>
      </c>
    </row>
    <row r="470" spans="1:16" x14ac:dyDescent="0.2">
      <c r="A470" t="s">
        <v>464</v>
      </c>
      <c r="B470" t="s">
        <v>223</v>
      </c>
      <c r="C470" t="s">
        <v>90</v>
      </c>
      <c r="D470" t="s">
        <v>153</v>
      </c>
      <c r="E470" t="s">
        <v>124</v>
      </c>
      <c r="F470">
        <v>60623</v>
      </c>
      <c r="G470" t="s">
        <v>12</v>
      </c>
      <c r="H470" t="s">
        <v>1227</v>
      </c>
      <c r="I470" s="1">
        <v>43022</v>
      </c>
      <c r="J470" s="1">
        <v>43026</v>
      </c>
      <c r="K470">
        <v>4</v>
      </c>
      <c r="L470" t="s">
        <v>1228</v>
      </c>
      <c r="M470">
        <v>9</v>
      </c>
      <c r="N470">
        <v>1</v>
      </c>
      <c r="O470">
        <v>0.8</v>
      </c>
      <c r="P470" t="b">
        <v>1</v>
      </c>
    </row>
    <row r="471" spans="1:16" x14ac:dyDescent="0.2">
      <c r="A471" t="s">
        <v>464</v>
      </c>
      <c r="B471" t="s">
        <v>223</v>
      </c>
      <c r="C471" t="s">
        <v>90</v>
      </c>
      <c r="D471" t="s">
        <v>153</v>
      </c>
      <c r="E471" t="s">
        <v>124</v>
      </c>
      <c r="F471">
        <v>60623</v>
      </c>
      <c r="G471" t="s">
        <v>12</v>
      </c>
      <c r="H471" t="s">
        <v>1227</v>
      </c>
      <c r="I471" s="1">
        <v>43022</v>
      </c>
      <c r="J471" s="1">
        <v>43026</v>
      </c>
      <c r="K471">
        <v>4</v>
      </c>
      <c r="L471" t="s">
        <v>1229</v>
      </c>
      <c r="M471">
        <v>1</v>
      </c>
      <c r="N471">
        <v>1</v>
      </c>
      <c r="O471">
        <v>0.8</v>
      </c>
      <c r="P471" t="b">
        <v>0</v>
      </c>
    </row>
    <row r="472" spans="1:16" x14ac:dyDescent="0.2">
      <c r="A472" t="s">
        <v>467</v>
      </c>
      <c r="B472" t="s">
        <v>226</v>
      </c>
      <c r="C472" t="s">
        <v>9</v>
      </c>
      <c r="D472" t="s">
        <v>227</v>
      </c>
      <c r="E472" t="s">
        <v>184</v>
      </c>
      <c r="F472">
        <v>6708</v>
      </c>
      <c r="G472" t="s">
        <v>27</v>
      </c>
      <c r="H472" t="s">
        <v>1230</v>
      </c>
      <c r="I472" s="1">
        <v>43003</v>
      </c>
      <c r="J472" s="1">
        <v>43007</v>
      </c>
      <c r="K472">
        <v>2</v>
      </c>
      <c r="L472" t="s">
        <v>1231</v>
      </c>
      <c r="M472">
        <v>5</v>
      </c>
      <c r="N472">
        <v>0</v>
      </c>
      <c r="O472">
        <v>0</v>
      </c>
      <c r="P472" t="b">
        <v>0</v>
      </c>
    </row>
    <row r="473" spans="1:16" x14ac:dyDescent="0.2">
      <c r="A473" t="s">
        <v>497</v>
      </c>
      <c r="B473" t="s">
        <v>271</v>
      </c>
      <c r="C473" t="s">
        <v>150</v>
      </c>
      <c r="D473" t="s">
        <v>121</v>
      </c>
      <c r="E473" t="s">
        <v>22</v>
      </c>
      <c r="F473">
        <v>77095</v>
      </c>
      <c r="G473" t="s">
        <v>12</v>
      </c>
      <c r="H473" t="s">
        <v>1232</v>
      </c>
      <c r="I473" s="1">
        <v>42128</v>
      </c>
      <c r="J473" s="1">
        <v>42132</v>
      </c>
      <c r="K473">
        <v>4</v>
      </c>
      <c r="L473" t="s">
        <v>1233</v>
      </c>
      <c r="M473">
        <v>7</v>
      </c>
      <c r="N473">
        <v>1</v>
      </c>
      <c r="O473">
        <v>0.2</v>
      </c>
      <c r="P473" t="b">
        <v>0</v>
      </c>
    </row>
    <row r="474" spans="1:16" x14ac:dyDescent="0.2">
      <c r="A474" t="s">
        <v>549</v>
      </c>
      <c r="B474" t="s">
        <v>348</v>
      </c>
      <c r="C474" t="s">
        <v>9</v>
      </c>
      <c r="D474" t="s">
        <v>349</v>
      </c>
      <c r="E474" t="s">
        <v>137</v>
      </c>
      <c r="F474">
        <v>44105</v>
      </c>
      <c r="G474" t="s">
        <v>27</v>
      </c>
      <c r="H474" t="s">
        <v>1234</v>
      </c>
      <c r="I474" s="1">
        <v>42092</v>
      </c>
      <c r="J474" s="1">
        <v>42097</v>
      </c>
      <c r="K474">
        <v>3</v>
      </c>
      <c r="L474" t="s">
        <v>1147</v>
      </c>
      <c r="M474">
        <v>2</v>
      </c>
      <c r="N474">
        <v>0</v>
      </c>
      <c r="O474">
        <v>0</v>
      </c>
      <c r="P474" t="b">
        <v>0</v>
      </c>
    </row>
    <row r="475" spans="1:16" x14ac:dyDescent="0.2">
      <c r="A475" t="s">
        <v>530</v>
      </c>
      <c r="B475" t="s">
        <v>320</v>
      </c>
      <c r="C475" t="s">
        <v>150</v>
      </c>
      <c r="D475" t="s">
        <v>97</v>
      </c>
      <c r="E475" t="s">
        <v>67</v>
      </c>
      <c r="F475">
        <v>19143</v>
      </c>
      <c r="G475" t="s">
        <v>27</v>
      </c>
      <c r="H475" t="s">
        <v>1235</v>
      </c>
      <c r="I475" s="1">
        <v>42986</v>
      </c>
      <c r="J475" s="1">
        <v>42990</v>
      </c>
      <c r="K475">
        <v>3</v>
      </c>
      <c r="L475" t="s">
        <v>1236</v>
      </c>
      <c r="M475">
        <v>6</v>
      </c>
      <c r="N475">
        <v>1</v>
      </c>
      <c r="O475">
        <v>0.2</v>
      </c>
      <c r="P475" t="b">
        <v>0</v>
      </c>
    </row>
    <row r="476" spans="1:16" x14ac:dyDescent="0.2">
      <c r="A476" t="s">
        <v>529</v>
      </c>
      <c r="B476" t="s">
        <v>319</v>
      </c>
      <c r="C476" t="s">
        <v>9</v>
      </c>
      <c r="D476" t="s">
        <v>38</v>
      </c>
      <c r="E476" t="s">
        <v>17</v>
      </c>
      <c r="F476">
        <v>90045</v>
      </c>
      <c r="G476" t="s">
        <v>18</v>
      </c>
      <c r="H476" t="s">
        <v>1237</v>
      </c>
      <c r="I476" s="1">
        <v>41954</v>
      </c>
      <c r="J476" s="1">
        <v>41961</v>
      </c>
      <c r="K476">
        <v>4</v>
      </c>
      <c r="L476" t="s">
        <v>1238</v>
      </c>
      <c r="M476">
        <v>3</v>
      </c>
      <c r="N476">
        <v>0</v>
      </c>
      <c r="O476">
        <v>0</v>
      </c>
      <c r="P476" t="b">
        <v>1</v>
      </c>
    </row>
    <row r="477" spans="1:16" x14ac:dyDescent="0.2">
      <c r="A477" t="s">
        <v>529</v>
      </c>
      <c r="B477" t="s">
        <v>319</v>
      </c>
      <c r="C477" t="s">
        <v>9</v>
      </c>
      <c r="D477" t="s">
        <v>38</v>
      </c>
      <c r="E477" t="s">
        <v>17</v>
      </c>
      <c r="F477">
        <v>90045</v>
      </c>
      <c r="G477" t="s">
        <v>18</v>
      </c>
      <c r="H477" t="s">
        <v>1237</v>
      </c>
      <c r="I477" s="1">
        <v>41954</v>
      </c>
      <c r="J477" s="1">
        <v>41961</v>
      </c>
      <c r="K477">
        <v>4</v>
      </c>
      <c r="L477" t="s">
        <v>1239</v>
      </c>
      <c r="M477">
        <v>1</v>
      </c>
      <c r="N477">
        <v>1</v>
      </c>
      <c r="O477">
        <v>0.2</v>
      </c>
      <c r="P477" t="b">
        <v>0</v>
      </c>
    </row>
    <row r="478" spans="1:16" x14ac:dyDescent="0.2">
      <c r="A478" t="s">
        <v>426</v>
      </c>
      <c r="B478" t="s">
        <v>164</v>
      </c>
      <c r="C478" t="s">
        <v>9</v>
      </c>
      <c r="D478" t="s">
        <v>165</v>
      </c>
      <c r="E478" t="s">
        <v>166</v>
      </c>
      <c r="F478">
        <v>33024</v>
      </c>
      <c r="G478" t="s">
        <v>47</v>
      </c>
      <c r="H478" t="s">
        <v>1240</v>
      </c>
      <c r="I478" s="1">
        <v>42170</v>
      </c>
      <c r="J478" s="1">
        <v>42172</v>
      </c>
      <c r="K478">
        <v>2</v>
      </c>
      <c r="L478" t="s">
        <v>1241</v>
      </c>
      <c r="M478">
        <v>1</v>
      </c>
      <c r="N478">
        <v>1</v>
      </c>
      <c r="O478">
        <v>0.2</v>
      </c>
      <c r="P478" t="b">
        <v>0</v>
      </c>
    </row>
    <row r="479" spans="1:16" x14ac:dyDescent="0.2">
      <c r="A479" t="s">
        <v>532</v>
      </c>
      <c r="B479" t="s">
        <v>323</v>
      </c>
      <c r="C479" t="s">
        <v>9</v>
      </c>
      <c r="D479" t="s">
        <v>97</v>
      </c>
      <c r="E479" t="s">
        <v>67</v>
      </c>
      <c r="F479">
        <v>19134</v>
      </c>
      <c r="G479" t="s">
        <v>27</v>
      </c>
      <c r="H479" t="s">
        <v>1242</v>
      </c>
      <c r="I479" s="1">
        <v>41761</v>
      </c>
      <c r="J479" s="1">
        <v>41761</v>
      </c>
      <c r="K479">
        <v>4</v>
      </c>
      <c r="L479" t="s">
        <v>1243</v>
      </c>
      <c r="M479">
        <v>3</v>
      </c>
      <c r="N479">
        <v>1</v>
      </c>
      <c r="O479">
        <v>0.2</v>
      </c>
      <c r="P479" t="b">
        <v>0</v>
      </c>
    </row>
    <row r="480" spans="1:16" x14ac:dyDescent="0.2">
      <c r="A480" t="s">
        <v>497</v>
      </c>
      <c r="B480" t="s">
        <v>271</v>
      </c>
      <c r="C480" t="s">
        <v>150</v>
      </c>
      <c r="D480" t="s">
        <v>121</v>
      </c>
      <c r="E480" t="s">
        <v>22</v>
      </c>
      <c r="F480">
        <v>77095</v>
      </c>
      <c r="G480" t="s">
        <v>12</v>
      </c>
      <c r="H480" t="s">
        <v>1244</v>
      </c>
      <c r="I480" s="1">
        <v>42221</v>
      </c>
      <c r="J480" s="1">
        <v>42227</v>
      </c>
      <c r="K480">
        <v>4</v>
      </c>
      <c r="L480" t="s">
        <v>1245</v>
      </c>
      <c r="M480">
        <v>7</v>
      </c>
      <c r="N480">
        <v>1</v>
      </c>
      <c r="O480">
        <v>0.2</v>
      </c>
      <c r="P480" t="b">
        <v>0</v>
      </c>
    </row>
    <row r="481" spans="1:16" x14ac:dyDescent="0.2">
      <c r="A481" t="s">
        <v>497</v>
      </c>
      <c r="B481" t="s">
        <v>271</v>
      </c>
      <c r="C481" t="s">
        <v>150</v>
      </c>
      <c r="D481" t="s">
        <v>121</v>
      </c>
      <c r="E481" t="s">
        <v>22</v>
      </c>
      <c r="F481">
        <v>77095</v>
      </c>
      <c r="G481" t="s">
        <v>12</v>
      </c>
      <c r="H481" t="s">
        <v>1244</v>
      </c>
      <c r="I481" s="1">
        <v>42221</v>
      </c>
      <c r="J481" s="1">
        <v>42227</v>
      </c>
      <c r="K481">
        <v>4</v>
      </c>
      <c r="L481" t="s">
        <v>1246</v>
      </c>
      <c r="M481">
        <v>3</v>
      </c>
      <c r="N481">
        <v>1</v>
      </c>
      <c r="O481">
        <v>0.2</v>
      </c>
      <c r="P481" t="b">
        <v>0</v>
      </c>
    </row>
    <row r="482" spans="1:16" x14ac:dyDescent="0.2">
      <c r="A482" t="s">
        <v>497</v>
      </c>
      <c r="B482" t="s">
        <v>271</v>
      </c>
      <c r="C482" t="s">
        <v>150</v>
      </c>
      <c r="D482" t="s">
        <v>121</v>
      </c>
      <c r="E482" t="s">
        <v>22</v>
      </c>
      <c r="F482">
        <v>77095</v>
      </c>
      <c r="G482" t="s">
        <v>12</v>
      </c>
      <c r="H482" t="s">
        <v>1244</v>
      </c>
      <c r="I482" s="1">
        <v>42221</v>
      </c>
      <c r="J482" s="1">
        <v>42227</v>
      </c>
      <c r="K482">
        <v>4</v>
      </c>
      <c r="L482" t="s">
        <v>1191</v>
      </c>
      <c r="M482">
        <v>1</v>
      </c>
      <c r="N482">
        <v>1</v>
      </c>
      <c r="O482">
        <v>0.8</v>
      </c>
      <c r="P482" t="b">
        <v>0</v>
      </c>
    </row>
    <row r="483" spans="1:16" x14ac:dyDescent="0.2">
      <c r="A483" t="s">
        <v>497</v>
      </c>
      <c r="B483" t="s">
        <v>271</v>
      </c>
      <c r="C483" t="s">
        <v>150</v>
      </c>
      <c r="D483" t="s">
        <v>121</v>
      </c>
      <c r="E483" t="s">
        <v>22</v>
      </c>
      <c r="F483">
        <v>77095</v>
      </c>
      <c r="G483" t="s">
        <v>12</v>
      </c>
      <c r="H483" t="s">
        <v>1244</v>
      </c>
      <c r="I483" s="1">
        <v>42221</v>
      </c>
      <c r="J483" s="1">
        <v>42227</v>
      </c>
      <c r="K483">
        <v>4</v>
      </c>
      <c r="L483" t="s">
        <v>1040</v>
      </c>
      <c r="M483">
        <v>5</v>
      </c>
      <c r="N483">
        <v>1</v>
      </c>
      <c r="O483">
        <v>0.6</v>
      </c>
      <c r="P483" t="b">
        <v>0</v>
      </c>
    </row>
    <row r="484" spans="1:16" x14ac:dyDescent="0.2">
      <c r="A484" t="s">
        <v>451</v>
      </c>
      <c r="B484" t="s">
        <v>204</v>
      </c>
      <c r="C484" t="s">
        <v>9</v>
      </c>
      <c r="D484" t="s">
        <v>205</v>
      </c>
      <c r="E484" t="s">
        <v>137</v>
      </c>
      <c r="F484">
        <v>45231</v>
      </c>
      <c r="G484" t="s">
        <v>27</v>
      </c>
      <c r="H484" t="s">
        <v>1247</v>
      </c>
      <c r="I484" s="1">
        <v>42985</v>
      </c>
      <c r="J484" s="1">
        <v>42989</v>
      </c>
      <c r="K484">
        <v>4</v>
      </c>
      <c r="L484" t="s">
        <v>1248</v>
      </c>
      <c r="M484">
        <v>4</v>
      </c>
      <c r="N484">
        <v>0</v>
      </c>
      <c r="O484">
        <v>0</v>
      </c>
      <c r="P484" t="b">
        <v>0</v>
      </c>
    </row>
    <row r="485" spans="1:16" x14ac:dyDescent="0.2">
      <c r="A485" t="s">
        <v>566</v>
      </c>
      <c r="B485" t="s">
        <v>376</v>
      </c>
      <c r="C485" t="s">
        <v>150</v>
      </c>
      <c r="D485" t="s">
        <v>377</v>
      </c>
      <c r="E485" t="s">
        <v>17</v>
      </c>
      <c r="F485">
        <v>92054</v>
      </c>
      <c r="G485" t="s">
        <v>18</v>
      </c>
      <c r="H485" t="s">
        <v>1249</v>
      </c>
      <c r="I485" s="1">
        <v>41735</v>
      </c>
      <c r="J485" s="1">
        <v>41741</v>
      </c>
      <c r="K485">
        <v>3</v>
      </c>
      <c r="L485" t="s">
        <v>1250</v>
      </c>
      <c r="M485">
        <v>2</v>
      </c>
      <c r="N485">
        <v>0</v>
      </c>
      <c r="O485">
        <v>0</v>
      </c>
      <c r="P485" t="b">
        <v>0</v>
      </c>
    </row>
    <row r="486" spans="1:16" x14ac:dyDescent="0.2">
      <c r="A486" t="s">
        <v>566</v>
      </c>
      <c r="B486" t="s">
        <v>376</v>
      </c>
      <c r="C486" t="s">
        <v>150</v>
      </c>
      <c r="D486" t="s">
        <v>377</v>
      </c>
      <c r="E486" t="s">
        <v>17</v>
      </c>
      <c r="F486">
        <v>92054</v>
      </c>
      <c r="G486" t="s">
        <v>18</v>
      </c>
      <c r="H486" t="s">
        <v>1249</v>
      </c>
      <c r="I486" s="1">
        <v>41735</v>
      </c>
      <c r="J486" s="1">
        <v>41741</v>
      </c>
      <c r="K486">
        <v>3</v>
      </c>
      <c r="L486" t="s">
        <v>991</v>
      </c>
      <c r="M486">
        <v>7</v>
      </c>
      <c r="N486">
        <v>0</v>
      </c>
      <c r="O486">
        <v>0</v>
      </c>
      <c r="P486" t="b">
        <v>0</v>
      </c>
    </row>
    <row r="487" spans="1:16" x14ac:dyDescent="0.2">
      <c r="A487" t="s">
        <v>566</v>
      </c>
      <c r="B487" t="s">
        <v>376</v>
      </c>
      <c r="C487" t="s">
        <v>150</v>
      </c>
      <c r="D487" t="s">
        <v>377</v>
      </c>
      <c r="E487" t="s">
        <v>17</v>
      </c>
      <c r="F487">
        <v>92054</v>
      </c>
      <c r="G487" t="s">
        <v>18</v>
      </c>
      <c r="H487" t="s">
        <v>1249</v>
      </c>
      <c r="I487" s="1">
        <v>41735</v>
      </c>
      <c r="J487" s="1">
        <v>41741</v>
      </c>
      <c r="K487">
        <v>3</v>
      </c>
      <c r="L487" t="s">
        <v>1251</v>
      </c>
      <c r="M487">
        <v>3</v>
      </c>
      <c r="N487">
        <v>0</v>
      </c>
      <c r="O487">
        <v>0</v>
      </c>
      <c r="P487" t="b">
        <v>0</v>
      </c>
    </row>
    <row r="488" spans="1:16" x14ac:dyDescent="0.2">
      <c r="A488" t="s">
        <v>566</v>
      </c>
      <c r="B488" t="s">
        <v>376</v>
      </c>
      <c r="C488" t="s">
        <v>150</v>
      </c>
      <c r="D488" t="s">
        <v>377</v>
      </c>
      <c r="E488" t="s">
        <v>17</v>
      </c>
      <c r="F488">
        <v>92054</v>
      </c>
      <c r="G488" t="s">
        <v>18</v>
      </c>
      <c r="H488" t="s">
        <v>1249</v>
      </c>
      <c r="I488" s="1">
        <v>41735</v>
      </c>
      <c r="J488" s="1">
        <v>41741</v>
      </c>
      <c r="K488">
        <v>3</v>
      </c>
      <c r="L488" t="s">
        <v>1010</v>
      </c>
      <c r="M488">
        <v>1</v>
      </c>
      <c r="N488">
        <v>0</v>
      </c>
      <c r="O488">
        <v>0</v>
      </c>
      <c r="P488" t="b">
        <v>0</v>
      </c>
    </row>
    <row r="489" spans="1:16" x14ac:dyDescent="0.2">
      <c r="A489" t="s">
        <v>428</v>
      </c>
      <c r="B489" t="s">
        <v>168</v>
      </c>
      <c r="C489" t="s">
        <v>150</v>
      </c>
      <c r="D489" t="s">
        <v>85</v>
      </c>
      <c r="E489" t="s">
        <v>86</v>
      </c>
      <c r="F489">
        <v>98115</v>
      </c>
      <c r="G489" t="s">
        <v>18</v>
      </c>
      <c r="H489" t="s">
        <v>1252</v>
      </c>
      <c r="I489" s="1">
        <v>42789</v>
      </c>
      <c r="J489" s="1">
        <v>42796</v>
      </c>
      <c r="K489">
        <v>4</v>
      </c>
      <c r="L489" t="s">
        <v>1253</v>
      </c>
      <c r="M489">
        <v>5</v>
      </c>
      <c r="N489">
        <v>0</v>
      </c>
      <c r="O489">
        <v>0</v>
      </c>
      <c r="P489" t="b">
        <v>0</v>
      </c>
    </row>
    <row r="490" spans="1:16" x14ac:dyDescent="0.2">
      <c r="A490" t="s">
        <v>428</v>
      </c>
      <c r="B490" t="s">
        <v>168</v>
      </c>
      <c r="C490" t="s">
        <v>150</v>
      </c>
      <c r="D490" t="s">
        <v>85</v>
      </c>
      <c r="E490" t="s">
        <v>86</v>
      </c>
      <c r="F490">
        <v>98115</v>
      </c>
      <c r="G490" t="s">
        <v>18</v>
      </c>
      <c r="H490" t="s">
        <v>1252</v>
      </c>
      <c r="I490" s="1">
        <v>42789</v>
      </c>
      <c r="J490" s="1">
        <v>42796</v>
      </c>
      <c r="K490">
        <v>4</v>
      </c>
      <c r="L490" t="s">
        <v>1254</v>
      </c>
      <c r="M490">
        <v>5</v>
      </c>
      <c r="N490">
        <v>1</v>
      </c>
      <c r="O490">
        <v>0.2</v>
      </c>
      <c r="P490" t="b">
        <v>0</v>
      </c>
    </row>
    <row r="491" spans="1:16" x14ac:dyDescent="0.2">
      <c r="A491" t="s">
        <v>493</v>
      </c>
      <c r="B491" t="s">
        <v>265</v>
      </c>
      <c r="C491" t="s">
        <v>9</v>
      </c>
      <c r="D491" t="s">
        <v>85</v>
      </c>
      <c r="E491" t="s">
        <v>86</v>
      </c>
      <c r="F491">
        <v>98105</v>
      </c>
      <c r="G491" t="s">
        <v>18</v>
      </c>
      <c r="H491" t="s">
        <v>1255</v>
      </c>
      <c r="I491" s="1">
        <v>42922</v>
      </c>
      <c r="J491" s="1">
        <v>42922</v>
      </c>
      <c r="K491">
        <v>3</v>
      </c>
      <c r="L491" t="s">
        <v>1121</v>
      </c>
      <c r="M491">
        <v>1</v>
      </c>
      <c r="N491">
        <v>1</v>
      </c>
      <c r="O491">
        <v>0.2</v>
      </c>
      <c r="P491" t="b">
        <v>0</v>
      </c>
    </row>
    <row r="492" spans="1:16" x14ac:dyDescent="0.2">
      <c r="A492" t="s">
        <v>70</v>
      </c>
      <c r="B492" t="s">
        <v>71</v>
      </c>
      <c r="C492" t="s">
        <v>9</v>
      </c>
      <c r="D492" t="s">
        <v>72</v>
      </c>
      <c r="E492" t="s">
        <v>73</v>
      </c>
      <c r="F492">
        <v>40324</v>
      </c>
      <c r="G492" t="s">
        <v>47</v>
      </c>
      <c r="H492" t="s">
        <v>1256</v>
      </c>
      <c r="I492" s="1">
        <v>42617</v>
      </c>
      <c r="J492" s="1">
        <v>42621</v>
      </c>
      <c r="K492">
        <v>4</v>
      </c>
      <c r="L492" t="s">
        <v>685</v>
      </c>
      <c r="M492">
        <v>3</v>
      </c>
      <c r="N492">
        <v>0</v>
      </c>
      <c r="O492">
        <v>0</v>
      </c>
      <c r="P492" t="b">
        <v>0</v>
      </c>
    </row>
    <row r="493" spans="1:16" x14ac:dyDescent="0.2">
      <c r="A493" t="s">
        <v>70</v>
      </c>
      <c r="B493" t="s">
        <v>71</v>
      </c>
      <c r="C493" t="s">
        <v>9</v>
      </c>
      <c r="D493" t="s">
        <v>72</v>
      </c>
      <c r="E493" t="s">
        <v>73</v>
      </c>
      <c r="F493">
        <v>40324</v>
      </c>
      <c r="G493" t="s">
        <v>47</v>
      </c>
      <c r="H493" t="s">
        <v>1256</v>
      </c>
      <c r="I493" s="1">
        <v>42617</v>
      </c>
      <c r="J493" s="1">
        <v>42621</v>
      </c>
      <c r="K493">
        <v>4</v>
      </c>
      <c r="L493" t="s">
        <v>1257</v>
      </c>
      <c r="M493">
        <v>6</v>
      </c>
      <c r="N493">
        <v>0</v>
      </c>
      <c r="O493">
        <v>0</v>
      </c>
      <c r="P493" t="b">
        <v>0</v>
      </c>
    </row>
    <row r="494" spans="1:16" x14ac:dyDescent="0.2">
      <c r="A494" t="s">
        <v>70</v>
      </c>
      <c r="B494" t="s">
        <v>71</v>
      </c>
      <c r="C494" t="s">
        <v>9</v>
      </c>
      <c r="D494" t="s">
        <v>72</v>
      </c>
      <c r="E494" t="s">
        <v>73</v>
      </c>
      <c r="F494">
        <v>40324</v>
      </c>
      <c r="G494" t="s">
        <v>47</v>
      </c>
      <c r="H494" t="s">
        <v>1256</v>
      </c>
      <c r="I494" s="1">
        <v>42617</v>
      </c>
      <c r="J494" s="1">
        <v>42621</v>
      </c>
      <c r="K494">
        <v>4</v>
      </c>
      <c r="L494" t="s">
        <v>1258</v>
      </c>
      <c r="M494">
        <v>4</v>
      </c>
      <c r="N494">
        <v>0</v>
      </c>
      <c r="O494">
        <v>0</v>
      </c>
      <c r="P494" t="b">
        <v>0</v>
      </c>
    </row>
    <row r="495" spans="1:16" x14ac:dyDescent="0.2">
      <c r="A495" t="s">
        <v>70</v>
      </c>
      <c r="B495" t="s">
        <v>71</v>
      </c>
      <c r="C495" t="s">
        <v>9</v>
      </c>
      <c r="D495" t="s">
        <v>72</v>
      </c>
      <c r="E495" t="s">
        <v>73</v>
      </c>
      <c r="F495">
        <v>40324</v>
      </c>
      <c r="G495" t="s">
        <v>47</v>
      </c>
      <c r="H495" t="s">
        <v>1256</v>
      </c>
      <c r="I495" s="1">
        <v>42617</v>
      </c>
      <c r="J495" s="1">
        <v>42621</v>
      </c>
      <c r="K495">
        <v>4</v>
      </c>
      <c r="L495" t="s">
        <v>1259</v>
      </c>
      <c r="M495">
        <v>3</v>
      </c>
      <c r="N495">
        <v>0</v>
      </c>
      <c r="O495">
        <v>0</v>
      </c>
      <c r="P495" t="b">
        <v>0</v>
      </c>
    </row>
    <row r="496" spans="1:16" x14ac:dyDescent="0.2">
      <c r="A496" t="s">
        <v>476</v>
      </c>
      <c r="B496" t="s">
        <v>241</v>
      </c>
      <c r="C496" t="s">
        <v>150</v>
      </c>
      <c r="D496" t="s">
        <v>242</v>
      </c>
      <c r="E496" t="s">
        <v>53</v>
      </c>
      <c r="F496">
        <v>37918</v>
      </c>
      <c r="G496" t="s">
        <v>47</v>
      </c>
      <c r="H496" t="s">
        <v>1260</v>
      </c>
      <c r="I496" s="1">
        <v>42874</v>
      </c>
      <c r="J496" s="1">
        <v>42879</v>
      </c>
      <c r="K496">
        <v>3</v>
      </c>
      <c r="L496" t="s">
        <v>1261</v>
      </c>
      <c r="M496">
        <v>3</v>
      </c>
      <c r="N496">
        <v>1</v>
      </c>
      <c r="O496">
        <v>0.2</v>
      </c>
      <c r="P496" t="b">
        <v>0</v>
      </c>
    </row>
    <row r="497" spans="1:16" x14ac:dyDescent="0.2">
      <c r="A497" t="s">
        <v>476</v>
      </c>
      <c r="B497" t="s">
        <v>241</v>
      </c>
      <c r="C497" t="s">
        <v>150</v>
      </c>
      <c r="D497" t="s">
        <v>242</v>
      </c>
      <c r="E497" t="s">
        <v>53</v>
      </c>
      <c r="F497">
        <v>37918</v>
      </c>
      <c r="G497" t="s">
        <v>47</v>
      </c>
      <c r="H497" t="s">
        <v>1260</v>
      </c>
      <c r="I497" s="1">
        <v>42874</v>
      </c>
      <c r="J497" s="1">
        <v>42879</v>
      </c>
      <c r="K497">
        <v>3</v>
      </c>
      <c r="L497" t="s">
        <v>771</v>
      </c>
      <c r="M497">
        <v>7</v>
      </c>
      <c r="N497">
        <v>1</v>
      </c>
      <c r="O497">
        <v>0.2</v>
      </c>
      <c r="P497" t="b">
        <v>0</v>
      </c>
    </row>
    <row r="498" spans="1:16" x14ac:dyDescent="0.2">
      <c r="A498" t="s">
        <v>490</v>
      </c>
      <c r="B498" t="s">
        <v>262</v>
      </c>
      <c r="C498" t="s">
        <v>9</v>
      </c>
      <c r="D498" t="s">
        <v>25</v>
      </c>
      <c r="E498" t="s">
        <v>26</v>
      </c>
      <c r="F498">
        <v>10035</v>
      </c>
      <c r="G498" t="s">
        <v>27</v>
      </c>
      <c r="H498" t="s">
        <v>1262</v>
      </c>
      <c r="I498" s="1">
        <v>42021</v>
      </c>
      <c r="J498" s="1">
        <v>42027</v>
      </c>
      <c r="K498">
        <v>4</v>
      </c>
      <c r="L498" t="s">
        <v>1263</v>
      </c>
      <c r="M498">
        <v>8</v>
      </c>
      <c r="N498">
        <v>1</v>
      </c>
      <c r="O498">
        <v>0.2</v>
      </c>
      <c r="P498" t="b">
        <v>0</v>
      </c>
    </row>
    <row r="499" spans="1:16" x14ac:dyDescent="0.2">
      <c r="A499" t="s">
        <v>542</v>
      </c>
      <c r="B499" t="s">
        <v>337</v>
      </c>
      <c r="C499" t="s">
        <v>9</v>
      </c>
      <c r="D499" t="s">
        <v>153</v>
      </c>
      <c r="E499" t="s">
        <v>124</v>
      </c>
      <c r="F499">
        <v>60653</v>
      </c>
      <c r="G499" t="s">
        <v>12</v>
      </c>
      <c r="H499" t="s">
        <v>1264</v>
      </c>
      <c r="I499" s="1">
        <v>42624</v>
      </c>
      <c r="J499" s="1">
        <v>42629</v>
      </c>
      <c r="K499">
        <v>4</v>
      </c>
      <c r="L499" t="s">
        <v>1265</v>
      </c>
      <c r="M499">
        <v>2</v>
      </c>
      <c r="N499">
        <v>1</v>
      </c>
      <c r="O499">
        <v>0.2</v>
      </c>
      <c r="P499" t="b">
        <v>0</v>
      </c>
    </row>
    <row r="500" spans="1:16" x14ac:dyDescent="0.2">
      <c r="A500" t="s">
        <v>542</v>
      </c>
      <c r="B500" t="s">
        <v>337</v>
      </c>
      <c r="C500" t="s">
        <v>9</v>
      </c>
      <c r="D500" t="s">
        <v>153</v>
      </c>
      <c r="E500" t="s">
        <v>124</v>
      </c>
      <c r="F500">
        <v>60653</v>
      </c>
      <c r="G500" t="s">
        <v>12</v>
      </c>
      <c r="H500" t="s">
        <v>1264</v>
      </c>
      <c r="I500" s="1">
        <v>42624</v>
      </c>
      <c r="J500" s="1">
        <v>42629</v>
      </c>
      <c r="K500">
        <v>4</v>
      </c>
      <c r="L500" t="s">
        <v>1266</v>
      </c>
      <c r="M500">
        <v>3</v>
      </c>
      <c r="N500">
        <v>1</v>
      </c>
      <c r="O500">
        <v>0.8</v>
      </c>
      <c r="P500" t="b">
        <v>0</v>
      </c>
    </row>
    <row r="501" spans="1:16" x14ac:dyDescent="0.2">
      <c r="A501" t="s">
        <v>471</v>
      </c>
      <c r="B501" t="s">
        <v>235</v>
      </c>
      <c r="C501" t="s">
        <v>9</v>
      </c>
      <c r="D501" t="s">
        <v>76</v>
      </c>
      <c r="E501" t="s">
        <v>17</v>
      </c>
      <c r="F501">
        <v>92105</v>
      </c>
      <c r="G501" t="s">
        <v>18</v>
      </c>
      <c r="H501" t="s">
        <v>1267</v>
      </c>
      <c r="I501" s="1">
        <v>41937</v>
      </c>
      <c r="J501" s="1">
        <v>41940</v>
      </c>
      <c r="K501">
        <v>2</v>
      </c>
      <c r="L501" t="s">
        <v>1268</v>
      </c>
      <c r="M501">
        <v>4</v>
      </c>
      <c r="N501">
        <v>1</v>
      </c>
      <c r="O501">
        <v>0.2</v>
      </c>
      <c r="P501" t="b">
        <v>0</v>
      </c>
    </row>
    <row r="502" spans="1:16" x14ac:dyDescent="0.2">
      <c r="A502" t="s">
        <v>574</v>
      </c>
      <c r="B502" t="s">
        <v>573</v>
      </c>
      <c r="C502" t="s">
        <v>9</v>
      </c>
      <c r="D502" t="s">
        <v>38</v>
      </c>
      <c r="E502" t="s">
        <v>17</v>
      </c>
      <c r="F502">
        <v>90036</v>
      </c>
      <c r="G502" t="s">
        <v>18</v>
      </c>
      <c r="H502" t="s">
        <v>1269</v>
      </c>
      <c r="I502" s="1">
        <v>42993</v>
      </c>
      <c r="J502" s="1">
        <v>42998</v>
      </c>
      <c r="K502">
        <v>4</v>
      </c>
      <c r="L502" t="s">
        <v>1270</v>
      </c>
      <c r="M502">
        <v>5</v>
      </c>
      <c r="N502">
        <v>1</v>
      </c>
      <c r="O502">
        <v>0.2</v>
      </c>
      <c r="P502" t="b">
        <v>0</v>
      </c>
    </row>
    <row r="503" spans="1:16" x14ac:dyDescent="0.2">
      <c r="A503" t="s">
        <v>519</v>
      </c>
      <c r="B503" t="s">
        <v>304</v>
      </c>
      <c r="C503" t="s">
        <v>150</v>
      </c>
      <c r="D503" t="s">
        <v>38</v>
      </c>
      <c r="E503" t="s">
        <v>17</v>
      </c>
      <c r="F503">
        <v>90045</v>
      </c>
      <c r="G503" t="s">
        <v>18</v>
      </c>
      <c r="H503" t="s">
        <v>1271</v>
      </c>
      <c r="I503" s="1">
        <v>42598</v>
      </c>
      <c r="J503" s="1">
        <v>42601</v>
      </c>
      <c r="K503">
        <v>2</v>
      </c>
      <c r="L503" t="s">
        <v>1272</v>
      </c>
      <c r="M503">
        <v>2</v>
      </c>
      <c r="N503">
        <v>1</v>
      </c>
      <c r="O503">
        <v>0.2</v>
      </c>
      <c r="P503" t="b">
        <v>0</v>
      </c>
    </row>
    <row r="504" spans="1:16" x14ac:dyDescent="0.2">
      <c r="A504" t="s">
        <v>432</v>
      </c>
      <c r="B504" t="s">
        <v>174</v>
      </c>
      <c r="C504" t="s">
        <v>9</v>
      </c>
      <c r="D504" t="s">
        <v>16</v>
      </c>
      <c r="E504" t="s">
        <v>17</v>
      </c>
      <c r="F504">
        <v>94109</v>
      </c>
      <c r="G504" t="s">
        <v>18</v>
      </c>
      <c r="H504" t="s">
        <v>1273</v>
      </c>
      <c r="I504" s="1">
        <v>42548</v>
      </c>
      <c r="J504" s="1">
        <v>42550</v>
      </c>
      <c r="K504">
        <v>3</v>
      </c>
      <c r="L504" t="s">
        <v>1008</v>
      </c>
      <c r="M504">
        <v>2</v>
      </c>
      <c r="N504">
        <v>1</v>
      </c>
      <c r="O504">
        <v>0.2</v>
      </c>
      <c r="P504" t="b">
        <v>0</v>
      </c>
    </row>
    <row r="505" spans="1:16" x14ac:dyDescent="0.2">
      <c r="A505" t="s">
        <v>579</v>
      </c>
      <c r="B505" t="s">
        <v>577</v>
      </c>
      <c r="C505" t="s">
        <v>9</v>
      </c>
      <c r="D505" t="s">
        <v>578</v>
      </c>
      <c r="E505" t="s">
        <v>17</v>
      </c>
      <c r="F505">
        <v>95207</v>
      </c>
      <c r="G505" t="s">
        <v>18</v>
      </c>
      <c r="H505" t="s">
        <v>1274</v>
      </c>
      <c r="I505" s="1">
        <v>42585</v>
      </c>
      <c r="J505" s="1">
        <v>42587</v>
      </c>
      <c r="K505">
        <v>3</v>
      </c>
      <c r="L505" t="s">
        <v>1275</v>
      </c>
      <c r="M505">
        <v>3</v>
      </c>
      <c r="N505">
        <v>0</v>
      </c>
      <c r="O505">
        <v>0</v>
      </c>
      <c r="P505" t="b">
        <v>0</v>
      </c>
    </row>
    <row r="506" spans="1:16" x14ac:dyDescent="0.2">
      <c r="A506" t="s">
        <v>579</v>
      </c>
      <c r="B506" t="s">
        <v>577</v>
      </c>
      <c r="C506" t="s">
        <v>9</v>
      </c>
      <c r="D506" t="s">
        <v>578</v>
      </c>
      <c r="E506" t="s">
        <v>17</v>
      </c>
      <c r="F506">
        <v>95207</v>
      </c>
      <c r="G506" t="s">
        <v>18</v>
      </c>
      <c r="H506" t="s">
        <v>1274</v>
      </c>
      <c r="I506" s="1">
        <v>42585</v>
      </c>
      <c r="J506" s="1">
        <v>42587</v>
      </c>
      <c r="K506">
        <v>3</v>
      </c>
      <c r="L506" t="s">
        <v>1276</v>
      </c>
      <c r="M506">
        <v>12</v>
      </c>
      <c r="N506">
        <v>0</v>
      </c>
      <c r="O506">
        <v>0</v>
      </c>
      <c r="P506" t="b">
        <v>1</v>
      </c>
    </row>
    <row r="507" spans="1:16" x14ac:dyDescent="0.2">
      <c r="A507" t="s">
        <v>517</v>
      </c>
      <c r="B507" t="s">
        <v>301</v>
      </c>
      <c r="C507" t="s">
        <v>9</v>
      </c>
      <c r="D507" t="s">
        <v>302</v>
      </c>
      <c r="E507" t="s">
        <v>124</v>
      </c>
      <c r="F507">
        <v>60016</v>
      </c>
      <c r="G507" t="s">
        <v>12</v>
      </c>
      <c r="H507" t="s">
        <v>1277</v>
      </c>
      <c r="I507" s="1">
        <v>42829</v>
      </c>
      <c r="J507" s="1">
        <v>42833</v>
      </c>
      <c r="K507">
        <v>4</v>
      </c>
      <c r="L507" t="s">
        <v>1278</v>
      </c>
      <c r="M507">
        <v>4</v>
      </c>
      <c r="N507">
        <v>1</v>
      </c>
      <c r="O507">
        <v>0.2</v>
      </c>
      <c r="P507" t="b">
        <v>0</v>
      </c>
    </row>
    <row r="508" spans="1:16" x14ac:dyDescent="0.2">
      <c r="A508" t="s">
        <v>579</v>
      </c>
      <c r="B508" t="s">
        <v>577</v>
      </c>
      <c r="C508" t="s">
        <v>9</v>
      </c>
      <c r="D508" t="s">
        <v>578</v>
      </c>
      <c r="E508" t="s">
        <v>17</v>
      </c>
      <c r="F508">
        <v>95207</v>
      </c>
      <c r="G508" t="s">
        <v>18</v>
      </c>
      <c r="H508" t="s">
        <v>1279</v>
      </c>
      <c r="I508" s="1">
        <v>43091</v>
      </c>
      <c r="J508" s="1">
        <v>43095</v>
      </c>
      <c r="K508">
        <v>4</v>
      </c>
      <c r="L508" t="s">
        <v>1280</v>
      </c>
      <c r="M508">
        <v>5</v>
      </c>
      <c r="N508">
        <v>1</v>
      </c>
      <c r="O508">
        <v>0.2</v>
      </c>
      <c r="P508" t="b">
        <v>0</v>
      </c>
    </row>
    <row r="509" spans="1:16" x14ac:dyDescent="0.2">
      <c r="A509" t="s">
        <v>579</v>
      </c>
      <c r="B509" t="s">
        <v>577</v>
      </c>
      <c r="C509" t="s">
        <v>9</v>
      </c>
      <c r="D509" t="s">
        <v>578</v>
      </c>
      <c r="E509" t="s">
        <v>17</v>
      </c>
      <c r="F509">
        <v>95207</v>
      </c>
      <c r="G509" t="s">
        <v>18</v>
      </c>
      <c r="H509" t="s">
        <v>1279</v>
      </c>
      <c r="I509" s="1">
        <v>43091</v>
      </c>
      <c r="J509" s="1">
        <v>43095</v>
      </c>
      <c r="K509">
        <v>4</v>
      </c>
      <c r="L509" t="s">
        <v>726</v>
      </c>
      <c r="M509">
        <v>5</v>
      </c>
      <c r="N509">
        <v>1</v>
      </c>
      <c r="O509">
        <v>0.8</v>
      </c>
      <c r="P509" t="b">
        <v>0</v>
      </c>
    </row>
    <row r="510" spans="1:16" x14ac:dyDescent="0.2">
      <c r="A510" t="s">
        <v>579</v>
      </c>
      <c r="B510" t="s">
        <v>577</v>
      </c>
      <c r="C510" t="s">
        <v>9</v>
      </c>
      <c r="D510" t="s">
        <v>578</v>
      </c>
      <c r="E510" t="s">
        <v>17</v>
      </c>
      <c r="F510">
        <v>95207</v>
      </c>
      <c r="G510" t="s">
        <v>18</v>
      </c>
      <c r="H510" t="s">
        <v>1279</v>
      </c>
      <c r="I510" s="1">
        <v>43091</v>
      </c>
      <c r="J510" s="1">
        <v>43095</v>
      </c>
      <c r="K510">
        <v>4</v>
      </c>
      <c r="L510" t="s">
        <v>1281</v>
      </c>
      <c r="M510">
        <v>5</v>
      </c>
      <c r="N510">
        <v>1</v>
      </c>
      <c r="O510">
        <v>0.2</v>
      </c>
      <c r="P510" t="b">
        <v>0</v>
      </c>
    </row>
    <row r="511" spans="1:16" x14ac:dyDescent="0.2">
      <c r="A511" t="s">
        <v>549</v>
      </c>
      <c r="B511" t="s">
        <v>348</v>
      </c>
      <c r="C511" t="s">
        <v>9</v>
      </c>
      <c r="D511" t="s">
        <v>349</v>
      </c>
      <c r="E511" t="s">
        <v>137</v>
      </c>
      <c r="F511">
        <v>44105</v>
      </c>
      <c r="G511" t="s">
        <v>27</v>
      </c>
      <c r="H511" t="s">
        <v>1282</v>
      </c>
      <c r="I511" s="1">
        <v>41923</v>
      </c>
      <c r="J511" s="1">
        <v>41927</v>
      </c>
      <c r="K511">
        <v>3</v>
      </c>
      <c r="L511" t="s">
        <v>679</v>
      </c>
      <c r="M511">
        <v>1</v>
      </c>
      <c r="N511">
        <v>0</v>
      </c>
      <c r="O511">
        <v>0</v>
      </c>
      <c r="P511" t="b">
        <v>0</v>
      </c>
    </row>
    <row r="512" spans="1:16" x14ac:dyDescent="0.2">
      <c r="A512" t="s">
        <v>421</v>
      </c>
      <c r="B512" t="s">
        <v>157</v>
      </c>
      <c r="C512" t="s">
        <v>150</v>
      </c>
      <c r="D512" t="s">
        <v>16</v>
      </c>
      <c r="E512" t="s">
        <v>17</v>
      </c>
      <c r="F512">
        <v>94122</v>
      </c>
      <c r="G512" t="s">
        <v>18</v>
      </c>
      <c r="H512" t="s">
        <v>1283</v>
      </c>
      <c r="I512" s="1">
        <v>42423</v>
      </c>
      <c r="J512" s="1">
        <v>42427</v>
      </c>
      <c r="K512">
        <v>4</v>
      </c>
      <c r="L512" t="s">
        <v>1284</v>
      </c>
      <c r="M512">
        <v>3</v>
      </c>
      <c r="N512">
        <v>1</v>
      </c>
      <c r="O512">
        <v>0.2</v>
      </c>
      <c r="P512" t="b">
        <v>0</v>
      </c>
    </row>
    <row r="513" spans="1:16" x14ac:dyDescent="0.2">
      <c r="A513" t="s">
        <v>421</v>
      </c>
      <c r="B513" t="s">
        <v>157</v>
      </c>
      <c r="C513" t="s">
        <v>150</v>
      </c>
      <c r="D513" t="s">
        <v>16</v>
      </c>
      <c r="E513" t="s">
        <v>17</v>
      </c>
      <c r="F513">
        <v>94122</v>
      </c>
      <c r="G513" t="s">
        <v>18</v>
      </c>
      <c r="H513" t="s">
        <v>1283</v>
      </c>
      <c r="I513" s="1">
        <v>42423</v>
      </c>
      <c r="J513" s="1">
        <v>42427</v>
      </c>
      <c r="K513">
        <v>4</v>
      </c>
      <c r="L513" t="s">
        <v>1284</v>
      </c>
      <c r="M513">
        <v>3</v>
      </c>
      <c r="N513">
        <v>1</v>
      </c>
      <c r="O513">
        <v>0.2</v>
      </c>
      <c r="P513" t="b">
        <v>0</v>
      </c>
    </row>
    <row r="514" spans="1:16" x14ac:dyDescent="0.2">
      <c r="A514" t="s">
        <v>556</v>
      </c>
      <c r="B514" t="s">
        <v>360</v>
      </c>
      <c r="C514" t="s">
        <v>90</v>
      </c>
      <c r="D514" t="s">
        <v>38</v>
      </c>
      <c r="E514" t="s">
        <v>17</v>
      </c>
      <c r="F514">
        <v>90004</v>
      </c>
      <c r="G514" t="s">
        <v>18</v>
      </c>
      <c r="H514" t="s">
        <v>1285</v>
      </c>
      <c r="I514" s="1">
        <v>42253</v>
      </c>
      <c r="J514" s="1">
        <v>42255</v>
      </c>
      <c r="K514">
        <v>3</v>
      </c>
      <c r="L514" t="s">
        <v>1286</v>
      </c>
      <c r="M514">
        <v>1</v>
      </c>
      <c r="N514">
        <v>1</v>
      </c>
      <c r="O514">
        <v>0.7</v>
      </c>
      <c r="P514" t="b">
        <v>0</v>
      </c>
    </row>
    <row r="515" spans="1:16" x14ac:dyDescent="0.2">
      <c r="A515" t="s">
        <v>535</v>
      </c>
      <c r="B515" t="s">
        <v>326</v>
      </c>
      <c r="C515" t="s">
        <v>150</v>
      </c>
      <c r="D515" t="s">
        <v>327</v>
      </c>
      <c r="E515" t="s">
        <v>86</v>
      </c>
      <c r="F515">
        <v>98661</v>
      </c>
      <c r="G515" t="s">
        <v>18</v>
      </c>
      <c r="H515" t="s">
        <v>1287</v>
      </c>
      <c r="I515" s="1">
        <v>43041</v>
      </c>
      <c r="J515" s="1">
        <v>43045</v>
      </c>
      <c r="K515">
        <v>3</v>
      </c>
      <c r="L515" t="s">
        <v>610</v>
      </c>
      <c r="M515">
        <v>2</v>
      </c>
      <c r="N515">
        <v>1</v>
      </c>
      <c r="O515">
        <v>0.2</v>
      </c>
      <c r="P515" t="b">
        <v>0</v>
      </c>
    </row>
    <row r="516" spans="1:16" x14ac:dyDescent="0.2">
      <c r="A516" t="s">
        <v>557</v>
      </c>
      <c r="B516" t="s">
        <v>361</v>
      </c>
      <c r="C516" t="s">
        <v>9</v>
      </c>
      <c r="D516" t="s">
        <v>362</v>
      </c>
      <c r="E516" t="s">
        <v>53</v>
      </c>
      <c r="F516">
        <v>37211</v>
      </c>
      <c r="G516" t="s">
        <v>47</v>
      </c>
      <c r="H516" t="s">
        <v>1288</v>
      </c>
      <c r="I516" s="1">
        <v>41946</v>
      </c>
      <c r="J516" s="1">
        <v>41951</v>
      </c>
      <c r="K516">
        <v>4</v>
      </c>
      <c r="L516" t="s">
        <v>1289</v>
      </c>
      <c r="M516">
        <v>2</v>
      </c>
      <c r="N516">
        <v>1</v>
      </c>
      <c r="O516">
        <v>0.2</v>
      </c>
      <c r="P516" t="b">
        <v>1</v>
      </c>
    </row>
    <row r="517" spans="1:16" x14ac:dyDescent="0.2">
      <c r="A517" t="s">
        <v>557</v>
      </c>
      <c r="B517" t="s">
        <v>361</v>
      </c>
      <c r="C517" t="s">
        <v>9</v>
      </c>
      <c r="D517" t="s">
        <v>362</v>
      </c>
      <c r="E517" t="s">
        <v>53</v>
      </c>
      <c r="F517">
        <v>37211</v>
      </c>
      <c r="G517" t="s">
        <v>47</v>
      </c>
      <c r="H517" t="s">
        <v>1288</v>
      </c>
      <c r="I517" s="1">
        <v>41946</v>
      </c>
      <c r="J517" s="1">
        <v>41951</v>
      </c>
      <c r="K517">
        <v>4</v>
      </c>
      <c r="L517" t="s">
        <v>1290</v>
      </c>
      <c r="M517">
        <v>9</v>
      </c>
      <c r="N517">
        <v>1</v>
      </c>
      <c r="O517">
        <v>0.2</v>
      </c>
      <c r="P517" t="b">
        <v>0</v>
      </c>
    </row>
    <row r="518" spans="1:16" x14ac:dyDescent="0.2">
      <c r="A518" t="s">
        <v>551</v>
      </c>
      <c r="B518" t="s">
        <v>351</v>
      </c>
      <c r="C518" t="s">
        <v>150</v>
      </c>
      <c r="D518" t="s">
        <v>352</v>
      </c>
      <c r="E518" t="s">
        <v>124</v>
      </c>
      <c r="F518">
        <v>60067</v>
      </c>
      <c r="G518" t="s">
        <v>12</v>
      </c>
      <c r="H518" t="s">
        <v>1291</v>
      </c>
      <c r="I518" s="1">
        <v>43080</v>
      </c>
      <c r="J518" s="1">
        <v>43081</v>
      </c>
      <c r="K518">
        <v>2</v>
      </c>
      <c r="L518" t="s">
        <v>1292</v>
      </c>
      <c r="M518">
        <v>7</v>
      </c>
      <c r="N518">
        <v>1</v>
      </c>
      <c r="O518">
        <v>0.2</v>
      </c>
      <c r="P518" t="b">
        <v>0</v>
      </c>
    </row>
    <row r="519" spans="1:16" x14ac:dyDescent="0.2">
      <c r="A519" t="s">
        <v>570</v>
      </c>
      <c r="B519" t="s">
        <v>382</v>
      </c>
      <c r="C519" t="s">
        <v>9</v>
      </c>
      <c r="D519" t="s">
        <v>76</v>
      </c>
      <c r="E519" t="s">
        <v>17</v>
      </c>
      <c r="F519">
        <v>92037</v>
      </c>
      <c r="G519" t="s">
        <v>18</v>
      </c>
      <c r="H519" t="s">
        <v>1293</v>
      </c>
      <c r="I519" s="1">
        <v>42116</v>
      </c>
      <c r="J519" s="1">
        <v>42120</v>
      </c>
      <c r="K519">
        <v>4</v>
      </c>
      <c r="L519" t="s">
        <v>693</v>
      </c>
      <c r="M519">
        <v>3</v>
      </c>
      <c r="N519">
        <v>1</v>
      </c>
      <c r="O519">
        <v>0.2</v>
      </c>
      <c r="P519" t="b">
        <v>0</v>
      </c>
    </row>
    <row r="520" spans="1:16" x14ac:dyDescent="0.2">
      <c r="A520" t="s">
        <v>570</v>
      </c>
      <c r="B520" t="s">
        <v>382</v>
      </c>
      <c r="C520" t="s">
        <v>9</v>
      </c>
      <c r="D520" t="s">
        <v>76</v>
      </c>
      <c r="E520" t="s">
        <v>17</v>
      </c>
      <c r="F520">
        <v>92037</v>
      </c>
      <c r="G520" t="s">
        <v>18</v>
      </c>
      <c r="H520" t="s">
        <v>1293</v>
      </c>
      <c r="I520" s="1">
        <v>42116</v>
      </c>
      <c r="J520" s="1">
        <v>42120</v>
      </c>
      <c r="K520">
        <v>4</v>
      </c>
      <c r="L520" t="s">
        <v>1294</v>
      </c>
      <c r="M520">
        <v>3</v>
      </c>
      <c r="N520">
        <v>0</v>
      </c>
      <c r="O520">
        <v>0</v>
      </c>
      <c r="P520" t="b">
        <v>0</v>
      </c>
    </row>
    <row r="521" spans="1:16" x14ac:dyDescent="0.2">
      <c r="A521" t="s">
        <v>504</v>
      </c>
      <c r="B521" t="s">
        <v>279</v>
      </c>
      <c r="C521" t="s">
        <v>150</v>
      </c>
      <c r="D521" t="s">
        <v>280</v>
      </c>
      <c r="E521" t="s">
        <v>79</v>
      </c>
      <c r="F521">
        <v>1915</v>
      </c>
      <c r="G521" t="s">
        <v>27</v>
      </c>
      <c r="H521" t="s">
        <v>1295</v>
      </c>
      <c r="I521" s="1">
        <v>42001</v>
      </c>
      <c r="J521" s="1">
        <v>42005</v>
      </c>
      <c r="K521">
        <v>3</v>
      </c>
      <c r="L521" t="s">
        <v>1296</v>
      </c>
      <c r="M521">
        <v>6</v>
      </c>
      <c r="N521">
        <v>0</v>
      </c>
      <c r="O521">
        <v>0</v>
      </c>
      <c r="P521" t="b">
        <v>0</v>
      </c>
    </row>
    <row r="522" spans="1:16" x14ac:dyDescent="0.2">
      <c r="A522" t="s">
        <v>504</v>
      </c>
      <c r="B522" t="s">
        <v>279</v>
      </c>
      <c r="C522" t="s">
        <v>150</v>
      </c>
      <c r="D522" t="s">
        <v>280</v>
      </c>
      <c r="E522" t="s">
        <v>79</v>
      </c>
      <c r="F522">
        <v>1915</v>
      </c>
      <c r="G522" t="s">
        <v>27</v>
      </c>
      <c r="H522" t="s">
        <v>1295</v>
      </c>
      <c r="I522" s="1">
        <v>42001</v>
      </c>
      <c r="J522" s="1">
        <v>42005</v>
      </c>
      <c r="K522">
        <v>3</v>
      </c>
      <c r="L522" t="s">
        <v>1297</v>
      </c>
      <c r="M522">
        <v>5</v>
      </c>
      <c r="N522">
        <v>0</v>
      </c>
      <c r="O522">
        <v>0</v>
      </c>
      <c r="P522" t="b">
        <v>0</v>
      </c>
    </row>
    <row r="523" spans="1:16" x14ac:dyDescent="0.2">
      <c r="A523" t="s">
        <v>504</v>
      </c>
      <c r="B523" t="s">
        <v>279</v>
      </c>
      <c r="C523" t="s">
        <v>150</v>
      </c>
      <c r="D523" t="s">
        <v>280</v>
      </c>
      <c r="E523" t="s">
        <v>79</v>
      </c>
      <c r="F523">
        <v>1915</v>
      </c>
      <c r="G523" t="s">
        <v>27</v>
      </c>
      <c r="H523" t="s">
        <v>1295</v>
      </c>
      <c r="I523" s="1">
        <v>42001</v>
      </c>
      <c r="J523" s="1">
        <v>42005</v>
      </c>
      <c r="K523">
        <v>3</v>
      </c>
      <c r="L523" t="s">
        <v>1298</v>
      </c>
      <c r="M523">
        <v>4</v>
      </c>
      <c r="N523">
        <v>0</v>
      </c>
      <c r="O523">
        <v>0</v>
      </c>
      <c r="P523" t="b">
        <v>0</v>
      </c>
    </row>
    <row r="524" spans="1:16" x14ac:dyDescent="0.2">
      <c r="A524" t="s">
        <v>489</v>
      </c>
      <c r="B524" t="s">
        <v>261</v>
      </c>
      <c r="C524" t="s">
        <v>9</v>
      </c>
      <c r="D524" t="s">
        <v>85</v>
      </c>
      <c r="E524" t="s">
        <v>86</v>
      </c>
      <c r="F524">
        <v>98105</v>
      </c>
      <c r="G524" t="s">
        <v>18</v>
      </c>
      <c r="H524" t="s">
        <v>1299</v>
      </c>
      <c r="I524" s="1">
        <v>43062</v>
      </c>
      <c r="J524" s="1">
        <v>43066</v>
      </c>
      <c r="K524">
        <v>2</v>
      </c>
      <c r="L524" t="s">
        <v>1300</v>
      </c>
      <c r="M524">
        <v>5</v>
      </c>
      <c r="N524">
        <v>1</v>
      </c>
      <c r="O524">
        <v>0.2</v>
      </c>
      <c r="P524" t="b">
        <v>0</v>
      </c>
    </row>
    <row r="525" spans="1:16" x14ac:dyDescent="0.2">
      <c r="A525" t="s">
        <v>501</v>
      </c>
      <c r="B525" t="s">
        <v>275</v>
      </c>
      <c r="C525" t="s">
        <v>9</v>
      </c>
      <c r="D525" t="s">
        <v>276</v>
      </c>
      <c r="E525" t="s">
        <v>31</v>
      </c>
      <c r="F525">
        <v>85301</v>
      </c>
      <c r="G525" t="s">
        <v>18</v>
      </c>
      <c r="H525" t="s">
        <v>1301</v>
      </c>
      <c r="I525" s="1">
        <v>42860</v>
      </c>
      <c r="J525" s="1">
        <v>42860</v>
      </c>
      <c r="K525">
        <v>4</v>
      </c>
      <c r="L525" t="s">
        <v>1302</v>
      </c>
      <c r="M525">
        <v>1</v>
      </c>
      <c r="N525">
        <v>0</v>
      </c>
      <c r="O525">
        <v>0</v>
      </c>
      <c r="P525" t="b">
        <v>0</v>
      </c>
    </row>
    <row r="526" spans="1:16" x14ac:dyDescent="0.2">
      <c r="A526" t="s">
        <v>467</v>
      </c>
      <c r="B526" t="s">
        <v>226</v>
      </c>
      <c r="C526" t="s">
        <v>9</v>
      </c>
      <c r="D526" t="s">
        <v>227</v>
      </c>
      <c r="E526" t="s">
        <v>184</v>
      </c>
      <c r="F526">
        <v>6708</v>
      </c>
      <c r="G526" t="s">
        <v>27</v>
      </c>
      <c r="H526" t="s">
        <v>1303</v>
      </c>
      <c r="I526" s="1">
        <v>42981</v>
      </c>
      <c r="J526" s="1">
        <v>42986</v>
      </c>
      <c r="K526">
        <v>2</v>
      </c>
      <c r="L526" t="s">
        <v>1304</v>
      </c>
      <c r="M526">
        <v>5</v>
      </c>
      <c r="N526">
        <v>1</v>
      </c>
      <c r="O526">
        <v>0.6</v>
      </c>
      <c r="P526" t="b">
        <v>0</v>
      </c>
    </row>
    <row r="527" spans="1:16" x14ac:dyDescent="0.2">
      <c r="A527" t="s">
        <v>563</v>
      </c>
      <c r="B527" t="s">
        <v>372</v>
      </c>
      <c r="C527" t="s">
        <v>90</v>
      </c>
      <c r="D527" t="s">
        <v>16</v>
      </c>
      <c r="E527" t="s">
        <v>17</v>
      </c>
      <c r="F527">
        <v>94110</v>
      </c>
      <c r="G527" t="s">
        <v>18</v>
      </c>
      <c r="H527" t="s">
        <v>1305</v>
      </c>
      <c r="I527" s="1">
        <v>42650</v>
      </c>
      <c r="J527" s="1">
        <v>42653</v>
      </c>
      <c r="K527">
        <v>2</v>
      </c>
      <c r="L527" t="s">
        <v>1306</v>
      </c>
      <c r="M527">
        <v>2</v>
      </c>
      <c r="N527">
        <v>1</v>
      </c>
      <c r="O527">
        <v>0.2</v>
      </c>
      <c r="P527" t="b">
        <v>0</v>
      </c>
    </row>
    <row r="528" spans="1:16" x14ac:dyDescent="0.2">
      <c r="A528" t="s">
        <v>482</v>
      </c>
      <c r="B528" t="s">
        <v>249</v>
      </c>
      <c r="C528" t="s">
        <v>90</v>
      </c>
      <c r="D528" t="s">
        <v>132</v>
      </c>
      <c r="E528" t="s">
        <v>22</v>
      </c>
      <c r="F528">
        <v>75217</v>
      </c>
      <c r="G528" t="s">
        <v>12</v>
      </c>
      <c r="H528" t="s">
        <v>1307</v>
      </c>
      <c r="I528" s="1">
        <v>43039</v>
      </c>
      <c r="J528" s="1">
        <v>43043</v>
      </c>
      <c r="K528">
        <v>4</v>
      </c>
      <c r="L528" t="s">
        <v>1308</v>
      </c>
      <c r="M528">
        <v>2</v>
      </c>
      <c r="N528">
        <v>1</v>
      </c>
      <c r="O528">
        <v>0.2</v>
      </c>
      <c r="P528" t="b">
        <v>0</v>
      </c>
    </row>
    <row r="529" spans="1:16" x14ac:dyDescent="0.2">
      <c r="A529" t="s">
        <v>483</v>
      </c>
      <c r="B529" t="s">
        <v>250</v>
      </c>
      <c r="C529" t="s">
        <v>90</v>
      </c>
      <c r="D529" t="s">
        <v>251</v>
      </c>
      <c r="E529" t="s">
        <v>73</v>
      </c>
      <c r="F529">
        <v>40214</v>
      </c>
      <c r="G529" t="s">
        <v>47</v>
      </c>
      <c r="H529" t="s">
        <v>1309</v>
      </c>
      <c r="I529" s="1">
        <v>42964</v>
      </c>
      <c r="J529" s="1">
        <v>42970</v>
      </c>
      <c r="K529">
        <v>4</v>
      </c>
      <c r="L529" t="s">
        <v>1310</v>
      </c>
      <c r="M529">
        <v>3</v>
      </c>
      <c r="N529">
        <v>0</v>
      </c>
      <c r="O529">
        <v>0</v>
      </c>
      <c r="P529" t="b">
        <v>0</v>
      </c>
    </row>
    <row r="530" spans="1:16" x14ac:dyDescent="0.2">
      <c r="A530" t="s">
        <v>483</v>
      </c>
      <c r="B530" t="s">
        <v>250</v>
      </c>
      <c r="C530" t="s">
        <v>90</v>
      </c>
      <c r="D530" t="s">
        <v>251</v>
      </c>
      <c r="E530" t="s">
        <v>73</v>
      </c>
      <c r="F530">
        <v>40214</v>
      </c>
      <c r="G530" t="s">
        <v>47</v>
      </c>
      <c r="H530" t="s">
        <v>1309</v>
      </c>
      <c r="I530" s="1">
        <v>42964</v>
      </c>
      <c r="J530" s="1">
        <v>42970</v>
      </c>
      <c r="K530">
        <v>4</v>
      </c>
      <c r="L530" t="s">
        <v>966</v>
      </c>
      <c r="M530">
        <v>6</v>
      </c>
      <c r="N530">
        <v>0</v>
      </c>
      <c r="O530">
        <v>0</v>
      </c>
      <c r="P530" t="b">
        <v>0</v>
      </c>
    </row>
    <row r="531" spans="1:16" x14ac:dyDescent="0.2">
      <c r="A531" t="s">
        <v>505</v>
      </c>
      <c r="B531" t="s">
        <v>281</v>
      </c>
      <c r="C531" t="s">
        <v>150</v>
      </c>
      <c r="D531" t="s">
        <v>282</v>
      </c>
      <c r="E531" t="s">
        <v>283</v>
      </c>
      <c r="F531">
        <v>21215</v>
      </c>
      <c r="G531" t="s">
        <v>27</v>
      </c>
      <c r="H531" t="s">
        <v>1311</v>
      </c>
      <c r="I531" s="1">
        <v>42869</v>
      </c>
      <c r="J531" s="1">
        <v>42872</v>
      </c>
      <c r="K531">
        <v>2</v>
      </c>
      <c r="L531" t="s">
        <v>1006</v>
      </c>
      <c r="M531">
        <v>2</v>
      </c>
      <c r="N531">
        <v>0</v>
      </c>
      <c r="O531">
        <v>0</v>
      </c>
      <c r="P531" t="b">
        <v>0</v>
      </c>
    </row>
    <row r="532" spans="1:16" x14ac:dyDescent="0.2">
      <c r="A532" t="s">
        <v>505</v>
      </c>
      <c r="B532" t="s">
        <v>281</v>
      </c>
      <c r="C532" t="s">
        <v>150</v>
      </c>
      <c r="D532" t="s">
        <v>282</v>
      </c>
      <c r="E532" t="s">
        <v>283</v>
      </c>
      <c r="F532">
        <v>21215</v>
      </c>
      <c r="G532" t="s">
        <v>27</v>
      </c>
      <c r="H532" t="s">
        <v>1311</v>
      </c>
      <c r="I532" s="1">
        <v>42869</v>
      </c>
      <c r="J532" s="1">
        <v>42872</v>
      </c>
      <c r="K532">
        <v>2</v>
      </c>
      <c r="L532" t="s">
        <v>1312</v>
      </c>
      <c r="M532">
        <v>5</v>
      </c>
      <c r="N532">
        <v>0</v>
      </c>
      <c r="O532">
        <v>0</v>
      </c>
      <c r="P532" t="b">
        <v>0</v>
      </c>
    </row>
    <row r="533" spans="1:16" x14ac:dyDescent="0.2">
      <c r="A533" t="s">
        <v>505</v>
      </c>
      <c r="B533" t="s">
        <v>281</v>
      </c>
      <c r="C533" t="s">
        <v>150</v>
      </c>
      <c r="D533" t="s">
        <v>282</v>
      </c>
      <c r="E533" t="s">
        <v>283</v>
      </c>
      <c r="F533">
        <v>21215</v>
      </c>
      <c r="G533" t="s">
        <v>27</v>
      </c>
      <c r="H533" t="s">
        <v>1311</v>
      </c>
      <c r="I533" s="1">
        <v>42869</v>
      </c>
      <c r="J533" s="1">
        <v>42872</v>
      </c>
      <c r="K533">
        <v>2</v>
      </c>
      <c r="L533" t="s">
        <v>1118</v>
      </c>
      <c r="M533">
        <v>5</v>
      </c>
      <c r="N533">
        <v>0</v>
      </c>
      <c r="O533">
        <v>0</v>
      </c>
      <c r="P533" t="b">
        <v>0</v>
      </c>
    </row>
    <row r="534" spans="1:16" x14ac:dyDescent="0.2">
      <c r="A534" t="s">
        <v>505</v>
      </c>
      <c r="B534" t="s">
        <v>281</v>
      </c>
      <c r="C534" t="s">
        <v>150</v>
      </c>
      <c r="D534" t="s">
        <v>282</v>
      </c>
      <c r="E534" t="s">
        <v>283</v>
      </c>
      <c r="F534">
        <v>21215</v>
      </c>
      <c r="G534" t="s">
        <v>27</v>
      </c>
      <c r="H534" t="s">
        <v>1311</v>
      </c>
      <c r="I534" s="1">
        <v>42869</v>
      </c>
      <c r="J534" s="1">
        <v>42872</v>
      </c>
      <c r="K534">
        <v>2</v>
      </c>
      <c r="L534" t="s">
        <v>956</v>
      </c>
      <c r="M534">
        <v>3</v>
      </c>
      <c r="N534">
        <v>0</v>
      </c>
      <c r="O534">
        <v>0</v>
      </c>
      <c r="P534" t="b">
        <v>0</v>
      </c>
    </row>
    <row r="535" spans="1:16" x14ac:dyDescent="0.2">
      <c r="A535" t="s">
        <v>505</v>
      </c>
      <c r="B535" t="s">
        <v>281</v>
      </c>
      <c r="C535" t="s">
        <v>150</v>
      </c>
      <c r="D535" t="s">
        <v>282</v>
      </c>
      <c r="E535" t="s">
        <v>283</v>
      </c>
      <c r="F535">
        <v>21215</v>
      </c>
      <c r="G535" t="s">
        <v>27</v>
      </c>
      <c r="H535" t="s">
        <v>1311</v>
      </c>
      <c r="I535" s="1">
        <v>42869</v>
      </c>
      <c r="J535" s="1">
        <v>42872</v>
      </c>
      <c r="K535">
        <v>2</v>
      </c>
      <c r="L535" t="s">
        <v>998</v>
      </c>
      <c r="M535">
        <v>2</v>
      </c>
      <c r="N535">
        <v>0</v>
      </c>
      <c r="O535">
        <v>0</v>
      </c>
      <c r="P535" t="b">
        <v>0</v>
      </c>
    </row>
    <row r="536" spans="1:16" x14ac:dyDescent="0.2">
      <c r="A536" t="s">
        <v>505</v>
      </c>
      <c r="B536" t="s">
        <v>281</v>
      </c>
      <c r="C536" t="s">
        <v>150</v>
      </c>
      <c r="D536" t="s">
        <v>282</v>
      </c>
      <c r="E536" t="s">
        <v>283</v>
      </c>
      <c r="F536">
        <v>21215</v>
      </c>
      <c r="G536" t="s">
        <v>27</v>
      </c>
      <c r="H536" t="s">
        <v>1311</v>
      </c>
      <c r="I536" s="1">
        <v>42869</v>
      </c>
      <c r="J536" s="1">
        <v>42872</v>
      </c>
      <c r="K536">
        <v>2</v>
      </c>
      <c r="L536" t="s">
        <v>1007</v>
      </c>
      <c r="M536">
        <v>5</v>
      </c>
      <c r="N536">
        <v>0</v>
      </c>
      <c r="O536">
        <v>0</v>
      </c>
      <c r="P536" t="b">
        <v>0</v>
      </c>
    </row>
    <row r="537" spans="1:16" x14ac:dyDescent="0.2">
      <c r="A537" t="s">
        <v>555</v>
      </c>
      <c r="B537" t="s">
        <v>359</v>
      </c>
      <c r="C537" t="s">
        <v>90</v>
      </c>
      <c r="D537" t="s">
        <v>242</v>
      </c>
      <c r="E537" t="s">
        <v>53</v>
      </c>
      <c r="F537">
        <v>37918</v>
      </c>
      <c r="G537" t="s">
        <v>47</v>
      </c>
      <c r="H537" t="s">
        <v>1313</v>
      </c>
      <c r="I537" s="1">
        <v>42635</v>
      </c>
      <c r="J537" s="1">
        <v>42641</v>
      </c>
      <c r="K537">
        <v>4</v>
      </c>
      <c r="L537" t="s">
        <v>1314</v>
      </c>
      <c r="M537">
        <v>2</v>
      </c>
      <c r="N537">
        <v>0</v>
      </c>
      <c r="O537">
        <v>0</v>
      </c>
      <c r="P537" t="b">
        <v>0</v>
      </c>
    </row>
    <row r="538" spans="1:16" x14ac:dyDescent="0.2">
      <c r="A538" t="s">
        <v>51</v>
      </c>
      <c r="B538" t="s">
        <v>29</v>
      </c>
      <c r="C538" t="s">
        <v>9</v>
      </c>
      <c r="D538" t="s">
        <v>52</v>
      </c>
      <c r="E538" t="s">
        <v>53</v>
      </c>
      <c r="F538">
        <v>37087</v>
      </c>
      <c r="G538" t="s">
        <v>47</v>
      </c>
      <c r="H538" t="s">
        <v>1315</v>
      </c>
      <c r="I538" s="1">
        <v>42321</v>
      </c>
      <c r="J538" s="1">
        <v>42325</v>
      </c>
      <c r="K538">
        <v>4</v>
      </c>
      <c r="L538" t="s">
        <v>1316</v>
      </c>
      <c r="M538">
        <v>6</v>
      </c>
      <c r="N538">
        <v>1</v>
      </c>
      <c r="O538">
        <v>0.2</v>
      </c>
      <c r="P538" t="b">
        <v>0</v>
      </c>
    </row>
    <row r="539" spans="1:16" x14ac:dyDescent="0.2">
      <c r="A539" t="s">
        <v>533</v>
      </c>
      <c r="B539" t="s">
        <v>324</v>
      </c>
      <c r="C539" t="s">
        <v>9</v>
      </c>
      <c r="D539" t="s">
        <v>145</v>
      </c>
      <c r="E539" t="s">
        <v>119</v>
      </c>
      <c r="F539">
        <v>49201</v>
      </c>
      <c r="G539" t="s">
        <v>12</v>
      </c>
      <c r="H539" t="s">
        <v>1317</v>
      </c>
      <c r="I539" s="1">
        <v>42751</v>
      </c>
      <c r="J539" s="1">
        <v>42753</v>
      </c>
      <c r="K539">
        <v>3</v>
      </c>
      <c r="L539" t="s">
        <v>623</v>
      </c>
      <c r="M539">
        <v>4</v>
      </c>
      <c r="N539">
        <v>0</v>
      </c>
      <c r="O539">
        <v>0</v>
      </c>
      <c r="P539" t="b">
        <v>0</v>
      </c>
    </row>
    <row r="540" spans="1:16" x14ac:dyDescent="0.2">
      <c r="A540" t="s">
        <v>533</v>
      </c>
      <c r="B540" t="s">
        <v>324</v>
      </c>
      <c r="C540" t="s">
        <v>9</v>
      </c>
      <c r="D540" t="s">
        <v>145</v>
      </c>
      <c r="E540" t="s">
        <v>119</v>
      </c>
      <c r="F540">
        <v>49201</v>
      </c>
      <c r="G540" t="s">
        <v>12</v>
      </c>
      <c r="H540" t="s">
        <v>1317</v>
      </c>
      <c r="I540" s="1">
        <v>42751</v>
      </c>
      <c r="J540" s="1">
        <v>42753</v>
      </c>
      <c r="K540">
        <v>3</v>
      </c>
      <c r="L540" t="s">
        <v>1318</v>
      </c>
      <c r="M540">
        <v>3</v>
      </c>
      <c r="N540">
        <v>0</v>
      </c>
      <c r="O540">
        <v>0</v>
      </c>
      <c r="P540" t="b">
        <v>0</v>
      </c>
    </row>
    <row r="541" spans="1:16" x14ac:dyDescent="0.2">
      <c r="A541" t="s">
        <v>533</v>
      </c>
      <c r="B541" t="s">
        <v>324</v>
      </c>
      <c r="C541" t="s">
        <v>9</v>
      </c>
      <c r="D541" t="s">
        <v>145</v>
      </c>
      <c r="E541" t="s">
        <v>119</v>
      </c>
      <c r="F541">
        <v>49201</v>
      </c>
      <c r="G541" t="s">
        <v>12</v>
      </c>
      <c r="H541" t="s">
        <v>1317</v>
      </c>
      <c r="I541" s="1">
        <v>42751</v>
      </c>
      <c r="J541" s="1">
        <v>42753</v>
      </c>
      <c r="K541">
        <v>3</v>
      </c>
      <c r="L541" t="s">
        <v>1319</v>
      </c>
      <c r="M541">
        <v>7</v>
      </c>
      <c r="N541">
        <v>0</v>
      </c>
      <c r="O541">
        <v>0</v>
      </c>
      <c r="P541" t="b">
        <v>0</v>
      </c>
    </row>
    <row r="542" spans="1:16" x14ac:dyDescent="0.2">
      <c r="A542" t="s">
        <v>518</v>
      </c>
      <c r="B542" t="s">
        <v>303</v>
      </c>
      <c r="C542" t="s">
        <v>9</v>
      </c>
      <c r="D542" t="s">
        <v>41</v>
      </c>
      <c r="E542" t="s">
        <v>95</v>
      </c>
      <c r="F542">
        <v>24153</v>
      </c>
      <c r="G542" t="s">
        <v>47</v>
      </c>
      <c r="H542" t="s">
        <v>1320</v>
      </c>
      <c r="I542" s="1">
        <v>42937</v>
      </c>
      <c r="J542" s="1">
        <v>42943</v>
      </c>
      <c r="K542">
        <v>4</v>
      </c>
      <c r="L542" t="s">
        <v>1321</v>
      </c>
      <c r="M542">
        <v>6</v>
      </c>
      <c r="N542">
        <v>0</v>
      </c>
      <c r="O542">
        <v>0</v>
      </c>
      <c r="P542" t="b">
        <v>0</v>
      </c>
    </row>
    <row r="543" spans="1:16" x14ac:dyDescent="0.2">
      <c r="A543" t="s">
        <v>518</v>
      </c>
      <c r="B543" t="s">
        <v>303</v>
      </c>
      <c r="C543" t="s">
        <v>9</v>
      </c>
      <c r="D543" t="s">
        <v>41</v>
      </c>
      <c r="E543" t="s">
        <v>95</v>
      </c>
      <c r="F543">
        <v>24153</v>
      </c>
      <c r="G543" t="s">
        <v>47</v>
      </c>
      <c r="H543" t="s">
        <v>1320</v>
      </c>
      <c r="I543" s="1">
        <v>42937</v>
      </c>
      <c r="J543" s="1">
        <v>42943</v>
      </c>
      <c r="K543">
        <v>4</v>
      </c>
      <c r="L543" t="s">
        <v>1322</v>
      </c>
      <c r="M543">
        <v>4</v>
      </c>
      <c r="N543">
        <v>0</v>
      </c>
      <c r="O543">
        <v>0</v>
      </c>
      <c r="P543" t="b">
        <v>0</v>
      </c>
    </row>
    <row r="544" spans="1:16" x14ac:dyDescent="0.2">
      <c r="A544" t="s">
        <v>518</v>
      </c>
      <c r="B544" t="s">
        <v>303</v>
      </c>
      <c r="C544" t="s">
        <v>9</v>
      </c>
      <c r="D544" t="s">
        <v>41</v>
      </c>
      <c r="E544" t="s">
        <v>95</v>
      </c>
      <c r="F544">
        <v>24153</v>
      </c>
      <c r="G544" t="s">
        <v>47</v>
      </c>
      <c r="H544" t="s">
        <v>1320</v>
      </c>
      <c r="I544" s="1">
        <v>42937</v>
      </c>
      <c r="J544" s="1">
        <v>42943</v>
      </c>
      <c r="K544">
        <v>4</v>
      </c>
      <c r="L544" t="s">
        <v>1323</v>
      </c>
      <c r="M544">
        <v>5</v>
      </c>
      <c r="N544">
        <v>0</v>
      </c>
      <c r="O544">
        <v>0</v>
      </c>
      <c r="P544" t="b">
        <v>0</v>
      </c>
    </row>
    <row r="545" spans="1:16" x14ac:dyDescent="0.2">
      <c r="A545" t="s">
        <v>518</v>
      </c>
      <c r="B545" t="s">
        <v>303</v>
      </c>
      <c r="C545" t="s">
        <v>9</v>
      </c>
      <c r="D545" t="s">
        <v>41</v>
      </c>
      <c r="E545" t="s">
        <v>95</v>
      </c>
      <c r="F545">
        <v>24153</v>
      </c>
      <c r="G545" t="s">
        <v>47</v>
      </c>
      <c r="H545" t="s">
        <v>1320</v>
      </c>
      <c r="I545" s="1">
        <v>42937</v>
      </c>
      <c r="J545" s="1">
        <v>42943</v>
      </c>
      <c r="K545">
        <v>4</v>
      </c>
      <c r="L545" t="s">
        <v>1324</v>
      </c>
      <c r="M545">
        <v>6</v>
      </c>
      <c r="N545">
        <v>0</v>
      </c>
      <c r="O545">
        <v>0</v>
      </c>
      <c r="P545" t="b">
        <v>0</v>
      </c>
    </row>
    <row r="546" spans="1:16" x14ac:dyDescent="0.2">
      <c r="A546" t="s">
        <v>518</v>
      </c>
      <c r="B546" t="s">
        <v>303</v>
      </c>
      <c r="C546" t="s">
        <v>9</v>
      </c>
      <c r="D546" t="s">
        <v>41</v>
      </c>
      <c r="E546" t="s">
        <v>95</v>
      </c>
      <c r="F546">
        <v>24153</v>
      </c>
      <c r="G546" t="s">
        <v>47</v>
      </c>
      <c r="H546" t="s">
        <v>1320</v>
      </c>
      <c r="I546" s="1">
        <v>42937</v>
      </c>
      <c r="J546" s="1">
        <v>42943</v>
      </c>
      <c r="K546">
        <v>4</v>
      </c>
      <c r="L546" t="s">
        <v>1325</v>
      </c>
      <c r="M546">
        <v>3</v>
      </c>
      <c r="N546">
        <v>0</v>
      </c>
      <c r="O546">
        <v>0</v>
      </c>
      <c r="P546" t="b">
        <v>1</v>
      </c>
    </row>
    <row r="547" spans="1:16" x14ac:dyDescent="0.2">
      <c r="A547" t="s">
        <v>518</v>
      </c>
      <c r="B547" t="s">
        <v>303</v>
      </c>
      <c r="C547" t="s">
        <v>9</v>
      </c>
      <c r="D547" t="s">
        <v>41</v>
      </c>
      <c r="E547" t="s">
        <v>95</v>
      </c>
      <c r="F547">
        <v>24153</v>
      </c>
      <c r="G547" t="s">
        <v>47</v>
      </c>
      <c r="H547" t="s">
        <v>1320</v>
      </c>
      <c r="I547" s="1">
        <v>42937</v>
      </c>
      <c r="J547" s="1">
        <v>42943</v>
      </c>
      <c r="K547">
        <v>4</v>
      </c>
      <c r="L547" t="s">
        <v>1326</v>
      </c>
      <c r="M547">
        <v>3</v>
      </c>
      <c r="N547">
        <v>0</v>
      </c>
      <c r="O547">
        <v>0</v>
      </c>
      <c r="P547" t="b">
        <v>0</v>
      </c>
    </row>
    <row r="548" spans="1:16" x14ac:dyDescent="0.2">
      <c r="A548" t="s">
        <v>518</v>
      </c>
      <c r="B548" t="s">
        <v>303</v>
      </c>
      <c r="C548" t="s">
        <v>9</v>
      </c>
      <c r="D548" t="s">
        <v>41</v>
      </c>
      <c r="E548" t="s">
        <v>95</v>
      </c>
      <c r="F548">
        <v>24153</v>
      </c>
      <c r="G548" t="s">
        <v>47</v>
      </c>
      <c r="H548" t="s">
        <v>1320</v>
      </c>
      <c r="I548" s="1">
        <v>42937</v>
      </c>
      <c r="J548" s="1">
        <v>42943</v>
      </c>
      <c r="K548">
        <v>4</v>
      </c>
      <c r="L548" t="s">
        <v>1327</v>
      </c>
      <c r="M548">
        <v>2</v>
      </c>
      <c r="N548">
        <v>0</v>
      </c>
      <c r="O548">
        <v>0</v>
      </c>
      <c r="P548" t="b">
        <v>0</v>
      </c>
    </row>
    <row r="549" spans="1:16" x14ac:dyDescent="0.2">
      <c r="A549" t="s">
        <v>455</v>
      </c>
      <c r="B549" t="s">
        <v>210</v>
      </c>
      <c r="C549" t="s">
        <v>150</v>
      </c>
      <c r="D549" t="s">
        <v>118</v>
      </c>
      <c r="E549" t="s">
        <v>119</v>
      </c>
      <c r="F549">
        <v>48234</v>
      </c>
      <c r="G549" t="s">
        <v>12</v>
      </c>
      <c r="H549" t="s">
        <v>1328</v>
      </c>
      <c r="I549" s="1">
        <v>42663</v>
      </c>
      <c r="J549" s="1">
        <v>42665</v>
      </c>
      <c r="K549">
        <v>2</v>
      </c>
      <c r="L549" t="s">
        <v>1329</v>
      </c>
      <c r="M549">
        <v>3</v>
      </c>
      <c r="N549">
        <v>1</v>
      </c>
      <c r="O549">
        <v>0.2</v>
      </c>
      <c r="P549" t="b">
        <v>0</v>
      </c>
    </row>
    <row r="550" spans="1:16" x14ac:dyDescent="0.2">
      <c r="A550" t="s">
        <v>503</v>
      </c>
      <c r="B550" t="s">
        <v>278</v>
      </c>
      <c r="C550" t="s">
        <v>150</v>
      </c>
      <c r="D550" t="s">
        <v>270</v>
      </c>
      <c r="E550" t="s">
        <v>95</v>
      </c>
      <c r="F550">
        <v>22153</v>
      </c>
      <c r="G550" t="s">
        <v>47</v>
      </c>
      <c r="H550" t="s">
        <v>1330</v>
      </c>
      <c r="I550" s="1">
        <v>41943</v>
      </c>
      <c r="J550" s="1">
        <v>41945</v>
      </c>
      <c r="K550">
        <v>4</v>
      </c>
      <c r="L550" t="s">
        <v>1331</v>
      </c>
      <c r="M550">
        <v>8</v>
      </c>
      <c r="N550">
        <v>1</v>
      </c>
      <c r="O550">
        <v>0.4</v>
      </c>
      <c r="P550" t="b">
        <v>0</v>
      </c>
    </row>
    <row r="551" spans="1:16" x14ac:dyDescent="0.2">
      <c r="A551" t="s">
        <v>54</v>
      </c>
      <c r="B551" t="s">
        <v>55</v>
      </c>
      <c r="C551" t="s">
        <v>9</v>
      </c>
      <c r="D551" t="s">
        <v>25</v>
      </c>
      <c r="E551" t="s">
        <v>26</v>
      </c>
      <c r="F551">
        <v>10035</v>
      </c>
      <c r="G551" t="s">
        <v>27</v>
      </c>
      <c r="H551" t="s">
        <v>1332</v>
      </c>
      <c r="I551" s="1">
        <v>43080</v>
      </c>
      <c r="J551" s="1">
        <v>43084</v>
      </c>
      <c r="K551">
        <v>4</v>
      </c>
      <c r="L551" t="s">
        <v>1333</v>
      </c>
      <c r="M551">
        <v>1</v>
      </c>
      <c r="N551">
        <v>1</v>
      </c>
      <c r="O551">
        <v>0.2</v>
      </c>
      <c r="P551" t="b">
        <v>0</v>
      </c>
    </row>
    <row r="552" spans="1:16" x14ac:dyDescent="0.2">
      <c r="A552" t="s">
        <v>54</v>
      </c>
      <c r="B552" t="s">
        <v>55</v>
      </c>
      <c r="C552" t="s">
        <v>9</v>
      </c>
      <c r="D552" t="s">
        <v>25</v>
      </c>
      <c r="E552" t="s">
        <v>26</v>
      </c>
      <c r="F552">
        <v>10035</v>
      </c>
      <c r="G552" t="s">
        <v>27</v>
      </c>
      <c r="H552" t="s">
        <v>1332</v>
      </c>
      <c r="I552" s="1">
        <v>43080</v>
      </c>
      <c r="J552" s="1">
        <v>43084</v>
      </c>
      <c r="K552">
        <v>4</v>
      </c>
      <c r="L552" t="s">
        <v>1334</v>
      </c>
      <c r="M552">
        <v>3</v>
      </c>
      <c r="N552">
        <v>0</v>
      </c>
      <c r="O552">
        <v>0</v>
      </c>
      <c r="P552" t="b">
        <v>0</v>
      </c>
    </row>
    <row r="553" spans="1:16" x14ac:dyDescent="0.2">
      <c r="A553" t="s">
        <v>54</v>
      </c>
      <c r="B553" t="s">
        <v>55</v>
      </c>
      <c r="C553" t="s">
        <v>9</v>
      </c>
      <c r="D553" t="s">
        <v>25</v>
      </c>
      <c r="E553" t="s">
        <v>26</v>
      </c>
      <c r="F553">
        <v>10035</v>
      </c>
      <c r="G553" t="s">
        <v>27</v>
      </c>
      <c r="H553" t="s">
        <v>1332</v>
      </c>
      <c r="I553" s="1">
        <v>43080</v>
      </c>
      <c r="J553" s="1">
        <v>43084</v>
      </c>
      <c r="K553">
        <v>4</v>
      </c>
      <c r="L553" t="s">
        <v>1335</v>
      </c>
      <c r="M553">
        <v>2</v>
      </c>
      <c r="N553">
        <v>0</v>
      </c>
      <c r="O553">
        <v>0</v>
      </c>
      <c r="P553" t="b">
        <v>0</v>
      </c>
    </row>
    <row r="554" spans="1:16" x14ac:dyDescent="0.2">
      <c r="A554" t="s">
        <v>509</v>
      </c>
      <c r="B554" t="s">
        <v>288</v>
      </c>
      <c r="C554" t="s">
        <v>150</v>
      </c>
      <c r="D554" t="s">
        <v>270</v>
      </c>
      <c r="E554" t="s">
        <v>95</v>
      </c>
      <c r="F554">
        <v>22153</v>
      </c>
      <c r="G554" t="s">
        <v>47</v>
      </c>
      <c r="H554" t="s">
        <v>1336</v>
      </c>
      <c r="I554" s="1">
        <v>42625</v>
      </c>
      <c r="J554" s="1">
        <v>42630</v>
      </c>
      <c r="K554">
        <v>4</v>
      </c>
      <c r="L554" t="s">
        <v>1337</v>
      </c>
      <c r="M554">
        <v>3</v>
      </c>
      <c r="N554">
        <v>0</v>
      </c>
      <c r="O554">
        <v>0</v>
      </c>
      <c r="P554" t="b">
        <v>0</v>
      </c>
    </row>
    <row r="555" spans="1:16" x14ac:dyDescent="0.2">
      <c r="A555" t="s">
        <v>509</v>
      </c>
      <c r="B555" t="s">
        <v>288</v>
      </c>
      <c r="C555" t="s">
        <v>150</v>
      </c>
      <c r="D555" t="s">
        <v>270</v>
      </c>
      <c r="E555" t="s">
        <v>95</v>
      </c>
      <c r="F555">
        <v>22153</v>
      </c>
      <c r="G555" t="s">
        <v>47</v>
      </c>
      <c r="H555" t="s">
        <v>1336</v>
      </c>
      <c r="I555" s="1">
        <v>42625</v>
      </c>
      <c r="J555" s="1">
        <v>42630</v>
      </c>
      <c r="K555">
        <v>4</v>
      </c>
      <c r="L555" t="s">
        <v>1338</v>
      </c>
      <c r="M555">
        <v>3</v>
      </c>
      <c r="N555">
        <v>0</v>
      </c>
      <c r="O555">
        <v>0</v>
      </c>
      <c r="P555" t="b">
        <v>0</v>
      </c>
    </row>
    <row r="556" spans="1:16" x14ac:dyDescent="0.2">
      <c r="A556" t="s">
        <v>509</v>
      </c>
      <c r="B556" t="s">
        <v>288</v>
      </c>
      <c r="C556" t="s">
        <v>150</v>
      </c>
      <c r="D556" t="s">
        <v>270</v>
      </c>
      <c r="E556" t="s">
        <v>95</v>
      </c>
      <c r="F556">
        <v>22153</v>
      </c>
      <c r="G556" t="s">
        <v>47</v>
      </c>
      <c r="H556" t="s">
        <v>1336</v>
      </c>
      <c r="I556" s="1">
        <v>42625</v>
      </c>
      <c r="J556" s="1">
        <v>42630</v>
      </c>
      <c r="K556">
        <v>4</v>
      </c>
      <c r="L556" t="s">
        <v>1339</v>
      </c>
      <c r="M556">
        <v>5</v>
      </c>
      <c r="N556">
        <v>0</v>
      </c>
      <c r="O556">
        <v>0</v>
      </c>
      <c r="P556" t="b">
        <v>0</v>
      </c>
    </row>
    <row r="557" spans="1:16" x14ac:dyDescent="0.2">
      <c r="A557" t="s">
        <v>509</v>
      </c>
      <c r="B557" t="s">
        <v>288</v>
      </c>
      <c r="C557" t="s">
        <v>150</v>
      </c>
      <c r="D557" t="s">
        <v>270</v>
      </c>
      <c r="E557" t="s">
        <v>95</v>
      </c>
      <c r="F557">
        <v>22153</v>
      </c>
      <c r="G557" t="s">
        <v>47</v>
      </c>
      <c r="H557" t="s">
        <v>1336</v>
      </c>
      <c r="I557" s="1">
        <v>42625</v>
      </c>
      <c r="J557" s="1">
        <v>42630</v>
      </c>
      <c r="K557">
        <v>4</v>
      </c>
      <c r="L557" t="s">
        <v>1340</v>
      </c>
      <c r="M557">
        <v>4</v>
      </c>
      <c r="N557">
        <v>0</v>
      </c>
      <c r="O557">
        <v>0</v>
      </c>
      <c r="P557" t="b">
        <v>1</v>
      </c>
    </row>
    <row r="558" spans="1:16" x14ac:dyDescent="0.2">
      <c r="A558" t="s">
        <v>531</v>
      </c>
      <c r="B558" t="s">
        <v>321</v>
      </c>
      <c r="C558" t="s">
        <v>150</v>
      </c>
      <c r="D558" t="s">
        <v>322</v>
      </c>
      <c r="E558" t="s">
        <v>79</v>
      </c>
      <c r="F558">
        <v>2038</v>
      </c>
      <c r="G558" t="s">
        <v>27</v>
      </c>
      <c r="H558" t="s">
        <v>1341</v>
      </c>
      <c r="I558" s="1">
        <v>42875</v>
      </c>
      <c r="J558" s="1">
        <v>42875</v>
      </c>
      <c r="K558">
        <v>4</v>
      </c>
      <c r="L558" t="s">
        <v>633</v>
      </c>
      <c r="M558">
        <v>2</v>
      </c>
      <c r="N558">
        <v>0</v>
      </c>
      <c r="O558">
        <v>0</v>
      </c>
      <c r="P558" t="b">
        <v>0</v>
      </c>
    </row>
    <row r="559" spans="1:16" x14ac:dyDescent="0.2">
      <c r="A559" t="s">
        <v>522</v>
      </c>
      <c r="B559" t="s">
        <v>308</v>
      </c>
      <c r="C559" t="s">
        <v>90</v>
      </c>
      <c r="D559" t="s">
        <v>309</v>
      </c>
      <c r="E559" t="s">
        <v>166</v>
      </c>
      <c r="F559">
        <v>33311</v>
      </c>
      <c r="G559" t="s">
        <v>47</v>
      </c>
      <c r="H559" t="s">
        <v>1342</v>
      </c>
      <c r="I559" s="1">
        <v>43058</v>
      </c>
      <c r="J559" s="1">
        <v>43058</v>
      </c>
      <c r="K559">
        <v>1</v>
      </c>
      <c r="L559" t="s">
        <v>1343</v>
      </c>
      <c r="M559">
        <v>7</v>
      </c>
      <c r="N559">
        <v>1</v>
      </c>
      <c r="O559">
        <v>0.2</v>
      </c>
      <c r="P559" t="b">
        <v>0</v>
      </c>
    </row>
    <row r="560" spans="1:16" x14ac:dyDescent="0.2">
      <c r="A560" t="s">
        <v>522</v>
      </c>
      <c r="B560" t="s">
        <v>308</v>
      </c>
      <c r="C560" t="s">
        <v>90</v>
      </c>
      <c r="D560" t="s">
        <v>309</v>
      </c>
      <c r="E560" t="s">
        <v>166</v>
      </c>
      <c r="F560">
        <v>33311</v>
      </c>
      <c r="G560" t="s">
        <v>47</v>
      </c>
      <c r="H560" t="s">
        <v>1342</v>
      </c>
      <c r="I560" s="1">
        <v>43058</v>
      </c>
      <c r="J560" s="1">
        <v>43058</v>
      </c>
      <c r="K560">
        <v>1</v>
      </c>
      <c r="L560" t="s">
        <v>1226</v>
      </c>
      <c r="M560">
        <v>3</v>
      </c>
      <c r="N560">
        <v>1</v>
      </c>
      <c r="O560">
        <v>0.4</v>
      </c>
      <c r="P560" t="b">
        <v>0</v>
      </c>
    </row>
    <row r="561" spans="1:16" x14ac:dyDescent="0.2">
      <c r="A561" t="s">
        <v>534</v>
      </c>
      <c r="B561" t="s">
        <v>325</v>
      </c>
      <c r="C561" t="s">
        <v>9</v>
      </c>
      <c r="D561" t="s">
        <v>218</v>
      </c>
      <c r="E561" t="s">
        <v>46</v>
      </c>
      <c r="F561">
        <v>31907</v>
      </c>
      <c r="G561" t="s">
        <v>47</v>
      </c>
      <c r="H561" t="s">
        <v>1344</v>
      </c>
      <c r="I561" s="1">
        <v>42565</v>
      </c>
      <c r="J561" s="1">
        <v>42570</v>
      </c>
      <c r="K561">
        <v>4</v>
      </c>
      <c r="L561" t="s">
        <v>1345</v>
      </c>
      <c r="M561">
        <v>5</v>
      </c>
      <c r="N561">
        <v>0</v>
      </c>
      <c r="O561">
        <v>0</v>
      </c>
      <c r="P561" t="b">
        <v>0</v>
      </c>
    </row>
    <row r="562" spans="1:16" x14ac:dyDescent="0.2">
      <c r="A562" t="s">
        <v>534</v>
      </c>
      <c r="B562" t="s">
        <v>325</v>
      </c>
      <c r="C562" t="s">
        <v>9</v>
      </c>
      <c r="D562" t="s">
        <v>218</v>
      </c>
      <c r="E562" t="s">
        <v>46</v>
      </c>
      <c r="F562">
        <v>31907</v>
      </c>
      <c r="G562" t="s">
        <v>47</v>
      </c>
      <c r="H562" t="s">
        <v>1344</v>
      </c>
      <c r="I562" s="1">
        <v>42565</v>
      </c>
      <c r="J562" s="1">
        <v>42570</v>
      </c>
      <c r="K562">
        <v>4</v>
      </c>
      <c r="L562" t="s">
        <v>1346</v>
      </c>
      <c r="M562">
        <v>1</v>
      </c>
      <c r="N562">
        <v>0</v>
      </c>
      <c r="O562">
        <v>0</v>
      </c>
      <c r="P562" t="b">
        <v>1</v>
      </c>
    </row>
    <row r="563" spans="1:16" x14ac:dyDescent="0.2">
      <c r="A563" t="s">
        <v>401</v>
      </c>
      <c r="B563" t="s">
        <v>116</v>
      </c>
      <c r="C563" t="s">
        <v>9</v>
      </c>
      <c r="D563" t="s">
        <v>106</v>
      </c>
      <c r="E563" t="s">
        <v>31</v>
      </c>
      <c r="F563">
        <v>85023</v>
      </c>
      <c r="G563" t="s">
        <v>18</v>
      </c>
      <c r="H563" t="s">
        <v>1347</v>
      </c>
      <c r="I563" s="1">
        <v>42997</v>
      </c>
      <c r="J563" s="1">
        <v>43003</v>
      </c>
      <c r="K563">
        <v>4</v>
      </c>
      <c r="L563" t="s">
        <v>1348</v>
      </c>
      <c r="M563">
        <v>2</v>
      </c>
      <c r="N563">
        <v>1</v>
      </c>
      <c r="O563">
        <v>0.2</v>
      </c>
      <c r="P563" t="b">
        <v>0</v>
      </c>
    </row>
    <row r="564" spans="1:16" x14ac:dyDescent="0.2">
      <c r="A564" t="s">
        <v>401</v>
      </c>
      <c r="B564" t="s">
        <v>116</v>
      </c>
      <c r="C564" t="s">
        <v>9</v>
      </c>
      <c r="D564" t="s">
        <v>106</v>
      </c>
      <c r="E564" t="s">
        <v>31</v>
      </c>
      <c r="F564">
        <v>85023</v>
      </c>
      <c r="G564" t="s">
        <v>18</v>
      </c>
      <c r="H564" t="s">
        <v>1347</v>
      </c>
      <c r="I564" s="1">
        <v>42997</v>
      </c>
      <c r="J564" s="1">
        <v>43003</v>
      </c>
      <c r="K564">
        <v>4</v>
      </c>
      <c r="L564" t="s">
        <v>822</v>
      </c>
      <c r="M564">
        <v>2</v>
      </c>
      <c r="N564">
        <v>1</v>
      </c>
      <c r="O564">
        <v>0.2</v>
      </c>
      <c r="P564" t="b">
        <v>0</v>
      </c>
    </row>
    <row r="565" spans="1:16" x14ac:dyDescent="0.2">
      <c r="A565" t="s">
        <v>401</v>
      </c>
      <c r="B565" t="s">
        <v>116</v>
      </c>
      <c r="C565" t="s">
        <v>9</v>
      </c>
      <c r="D565" t="s">
        <v>106</v>
      </c>
      <c r="E565" t="s">
        <v>31</v>
      </c>
      <c r="F565">
        <v>85023</v>
      </c>
      <c r="G565" t="s">
        <v>18</v>
      </c>
      <c r="H565" t="s">
        <v>1347</v>
      </c>
      <c r="I565" s="1">
        <v>42997</v>
      </c>
      <c r="J565" s="1">
        <v>43003</v>
      </c>
      <c r="K565">
        <v>4</v>
      </c>
      <c r="L565" t="s">
        <v>1349</v>
      </c>
      <c r="M565">
        <v>2</v>
      </c>
      <c r="N565">
        <v>1</v>
      </c>
      <c r="O565">
        <v>0.2</v>
      </c>
      <c r="P565" t="b">
        <v>0</v>
      </c>
    </row>
    <row r="566" spans="1:16" x14ac:dyDescent="0.2">
      <c r="A566" t="s">
        <v>401</v>
      </c>
      <c r="B566" t="s">
        <v>116</v>
      </c>
      <c r="C566" t="s">
        <v>9</v>
      </c>
      <c r="D566" t="s">
        <v>106</v>
      </c>
      <c r="E566" t="s">
        <v>31</v>
      </c>
      <c r="F566">
        <v>85023</v>
      </c>
      <c r="G566" t="s">
        <v>18</v>
      </c>
      <c r="H566" t="s">
        <v>1347</v>
      </c>
      <c r="I566" s="1">
        <v>42997</v>
      </c>
      <c r="J566" s="1">
        <v>43003</v>
      </c>
      <c r="K566">
        <v>4</v>
      </c>
      <c r="L566" t="s">
        <v>1350</v>
      </c>
      <c r="M566">
        <v>4</v>
      </c>
      <c r="N566">
        <v>1</v>
      </c>
      <c r="O566">
        <v>0.7</v>
      </c>
      <c r="P566" t="b">
        <v>0</v>
      </c>
    </row>
    <row r="567" spans="1:16" x14ac:dyDescent="0.2">
      <c r="A567" t="s">
        <v>450</v>
      </c>
      <c r="B567" t="s">
        <v>203</v>
      </c>
      <c r="C567" t="s">
        <v>150</v>
      </c>
      <c r="D567" t="s">
        <v>16</v>
      </c>
      <c r="E567" t="s">
        <v>17</v>
      </c>
      <c r="F567">
        <v>94122</v>
      </c>
      <c r="G567" t="s">
        <v>18</v>
      </c>
      <c r="H567" t="s">
        <v>1351</v>
      </c>
      <c r="I567" s="1">
        <v>42327</v>
      </c>
      <c r="J567" s="1">
        <v>42334</v>
      </c>
      <c r="K567">
        <v>4</v>
      </c>
      <c r="L567" t="s">
        <v>1352</v>
      </c>
      <c r="M567">
        <v>4</v>
      </c>
      <c r="N567">
        <v>0</v>
      </c>
      <c r="O567">
        <v>0</v>
      </c>
      <c r="P567" t="b">
        <v>0</v>
      </c>
    </row>
    <row r="568" spans="1:16" x14ac:dyDescent="0.2">
      <c r="A568" t="s">
        <v>528</v>
      </c>
      <c r="B568" t="s">
        <v>317</v>
      </c>
      <c r="C568" t="s">
        <v>9</v>
      </c>
      <c r="D568" t="s">
        <v>318</v>
      </c>
      <c r="E568" t="s">
        <v>315</v>
      </c>
      <c r="F568">
        <v>80219</v>
      </c>
      <c r="G568" t="s">
        <v>18</v>
      </c>
      <c r="H568" t="s">
        <v>1353</v>
      </c>
      <c r="I568" s="1">
        <v>41874</v>
      </c>
      <c r="J568" s="1">
        <v>41878</v>
      </c>
      <c r="K568">
        <v>4</v>
      </c>
      <c r="L568" t="s">
        <v>1354</v>
      </c>
      <c r="M568">
        <v>3</v>
      </c>
      <c r="N568">
        <v>1</v>
      </c>
      <c r="O568">
        <v>0.2</v>
      </c>
      <c r="P568" t="b">
        <v>1</v>
      </c>
    </row>
    <row r="569" spans="1:16" x14ac:dyDescent="0.2">
      <c r="A569" t="s">
        <v>528</v>
      </c>
      <c r="B569" t="s">
        <v>317</v>
      </c>
      <c r="C569" t="s">
        <v>9</v>
      </c>
      <c r="D569" t="s">
        <v>318</v>
      </c>
      <c r="E569" t="s">
        <v>315</v>
      </c>
      <c r="F569">
        <v>80219</v>
      </c>
      <c r="G569" t="s">
        <v>18</v>
      </c>
      <c r="H569" t="s">
        <v>1353</v>
      </c>
      <c r="I569" s="1">
        <v>41874</v>
      </c>
      <c r="J569" s="1">
        <v>41878</v>
      </c>
      <c r="K569">
        <v>4</v>
      </c>
      <c r="L569" t="s">
        <v>1355</v>
      </c>
      <c r="M569">
        <v>1</v>
      </c>
      <c r="N569">
        <v>1</v>
      </c>
      <c r="O569">
        <v>0.2</v>
      </c>
      <c r="P569" t="b">
        <v>0</v>
      </c>
    </row>
    <row r="570" spans="1:16" x14ac:dyDescent="0.2">
      <c r="A570" t="s">
        <v>528</v>
      </c>
      <c r="B570" t="s">
        <v>317</v>
      </c>
      <c r="C570" t="s">
        <v>9</v>
      </c>
      <c r="D570" t="s">
        <v>318</v>
      </c>
      <c r="E570" t="s">
        <v>315</v>
      </c>
      <c r="F570">
        <v>80219</v>
      </c>
      <c r="G570" t="s">
        <v>18</v>
      </c>
      <c r="H570" t="s">
        <v>1353</v>
      </c>
      <c r="I570" s="1">
        <v>41874</v>
      </c>
      <c r="J570" s="1">
        <v>41878</v>
      </c>
      <c r="K570">
        <v>4</v>
      </c>
      <c r="L570" t="s">
        <v>1323</v>
      </c>
      <c r="M570">
        <v>3</v>
      </c>
      <c r="N570">
        <v>1</v>
      </c>
      <c r="O570">
        <v>0.2</v>
      </c>
      <c r="P570" t="b">
        <v>0</v>
      </c>
    </row>
    <row r="571" spans="1:16" x14ac:dyDescent="0.2">
      <c r="A571" t="s">
        <v>528</v>
      </c>
      <c r="B571" t="s">
        <v>317</v>
      </c>
      <c r="C571" t="s">
        <v>9</v>
      </c>
      <c r="D571" t="s">
        <v>318</v>
      </c>
      <c r="E571" t="s">
        <v>315</v>
      </c>
      <c r="F571">
        <v>80219</v>
      </c>
      <c r="G571" t="s">
        <v>18</v>
      </c>
      <c r="H571" t="s">
        <v>1353</v>
      </c>
      <c r="I571" s="1">
        <v>41874</v>
      </c>
      <c r="J571" s="1">
        <v>41878</v>
      </c>
      <c r="K571">
        <v>4</v>
      </c>
      <c r="L571" t="s">
        <v>1356</v>
      </c>
      <c r="M571">
        <v>9</v>
      </c>
      <c r="N571">
        <v>1</v>
      </c>
      <c r="O571">
        <v>0.2</v>
      </c>
      <c r="P571" t="b">
        <v>0</v>
      </c>
    </row>
    <row r="572" spans="1:16" x14ac:dyDescent="0.2">
      <c r="A572" t="s">
        <v>528</v>
      </c>
      <c r="B572" t="s">
        <v>317</v>
      </c>
      <c r="C572" t="s">
        <v>9</v>
      </c>
      <c r="D572" t="s">
        <v>318</v>
      </c>
      <c r="E572" t="s">
        <v>315</v>
      </c>
      <c r="F572">
        <v>80219</v>
      </c>
      <c r="G572" t="s">
        <v>18</v>
      </c>
      <c r="H572" t="s">
        <v>1353</v>
      </c>
      <c r="I572" s="1">
        <v>41874</v>
      </c>
      <c r="J572" s="1">
        <v>41878</v>
      </c>
      <c r="K572">
        <v>4</v>
      </c>
      <c r="L572" t="s">
        <v>1280</v>
      </c>
      <c r="M572">
        <v>6</v>
      </c>
      <c r="N572">
        <v>1</v>
      </c>
      <c r="O572">
        <v>0.2</v>
      </c>
      <c r="P572" t="b">
        <v>0</v>
      </c>
    </row>
    <row r="573" spans="1:16" x14ac:dyDescent="0.2">
      <c r="A573" t="s">
        <v>528</v>
      </c>
      <c r="B573" t="s">
        <v>317</v>
      </c>
      <c r="C573" t="s">
        <v>9</v>
      </c>
      <c r="D573" t="s">
        <v>318</v>
      </c>
      <c r="E573" t="s">
        <v>315</v>
      </c>
      <c r="F573">
        <v>80219</v>
      </c>
      <c r="G573" t="s">
        <v>18</v>
      </c>
      <c r="H573" t="s">
        <v>1353</v>
      </c>
      <c r="I573" s="1">
        <v>41874</v>
      </c>
      <c r="J573" s="1">
        <v>41878</v>
      </c>
      <c r="K573">
        <v>4</v>
      </c>
      <c r="L573" t="s">
        <v>851</v>
      </c>
      <c r="M573">
        <v>9</v>
      </c>
      <c r="N573">
        <v>1</v>
      </c>
      <c r="O573">
        <v>0.2</v>
      </c>
      <c r="P573" t="b">
        <v>0</v>
      </c>
    </row>
    <row r="574" spans="1:16" x14ac:dyDescent="0.2">
      <c r="A574" t="s">
        <v>558</v>
      </c>
      <c r="B574" t="s">
        <v>363</v>
      </c>
      <c r="C574" t="s">
        <v>9</v>
      </c>
      <c r="D574" t="s">
        <v>25</v>
      </c>
      <c r="E574" t="s">
        <v>26</v>
      </c>
      <c r="F574">
        <v>10009</v>
      </c>
      <c r="G574" t="s">
        <v>27</v>
      </c>
      <c r="H574" t="s">
        <v>1357</v>
      </c>
      <c r="I574" s="1">
        <v>43086</v>
      </c>
      <c r="J574" s="1">
        <v>43092</v>
      </c>
      <c r="K574">
        <v>4</v>
      </c>
      <c r="L574" t="s">
        <v>1358</v>
      </c>
      <c r="M574">
        <v>2</v>
      </c>
      <c r="N574">
        <v>0</v>
      </c>
      <c r="O574">
        <v>0</v>
      </c>
      <c r="P574" t="b">
        <v>0</v>
      </c>
    </row>
    <row r="575" spans="1:16" x14ac:dyDescent="0.2">
      <c r="A575" t="s">
        <v>558</v>
      </c>
      <c r="B575" t="s">
        <v>363</v>
      </c>
      <c r="C575" t="s">
        <v>9</v>
      </c>
      <c r="D575" t="s">
        <v>25</v>
      </c>
      <c r="E575" t="s">
        <v>26</v>
      </c>
      <c r="F575">
        <v>10009</v>
      </c>
      <c r="G575" t="s">
        <v>27</v>
      </c>
      <c r="H575" t="s">
        <v>1357</v>
      </c>
      <c r="I575" s="1">
        <v>43086</v>
      </c>
      <c r="J575" s="1">
        <v>43092</v>
      </c>
      <c r="K575">
        <v>4</v>
      </c>
      <c r="L575" t="s">
        <v>968</v>
      </c>
      <c r="M575">
        <v>3</v>
      </c>
      <c r="N575">
        <v>1</v>
      </c>
      <c r="O575">
        <v>0.2</v>
      </c>
      <c r="P575" t="b">
        <v>0</v>
      </c>
    </row>
    <row r="576" spans="1:16" x14ac:dyDescent="0.2">
      <c r="A576" t="s">
        <v>558</v>
      </c>
      <c r="B576" t="s">
        <v>363</v>
      </c>
      <c r="C576" t="s">
        <v>9</v>
      </c>
      <c r="D576" t="s">
        <v>25</v>
      </c>
      <c r="E576" t="s">
        <v>26</v>
      </c>
      <c r="F576">
        <v>10009</v>
      </c>
      <c r="G576" t="s">
        <v>27</v>
      </c>
      <c r="H576" t="s">
        <v>1357</v>
      </c>
      <c r="I576" s="1">
        <v>43086</v>
      </c>
      <c r="J576" s="1">
        <v>43092</v>
      </c>
      <c r="K576">
        <v>4</v>
      </c>
      <c r="L576" t="s">
        <v>1359</v>
      </c>
      <c r="M576">
        <v>2</v>
      </c>
      <c r="N576">
        <v>0</v>
      </c>
      <c r="O576">
        <v>0</v>
      </c>
      <c r="P576" t="b">
        <v>0</v>
      </c>
    </row>
    <row r="577" spans="1:16" x14ac:dyDescent="0.2">
      <c r="A577" t="s">
        <v>551</v>
      </c>
      <c r="B577" t="s">
        <v>351</v>
      </c>
      <c r="C577" t="s">
        <v>150</v>
      </c>
      <c r="D577" t="s">
        <v>352</v>
      </c>
      <c r="E577" t="s">
        <v>124</v>
      </c>
      <c r="F577">
        <v>60067</v>
      </c>
      <c r="G577" t="s">
        <v>12</v>
      </c>
      <c r="H577" t="s">
        <v>1360</v>
      </c>
      <c r="I577" s="1">
        <v>42511</v>
      </c>
      <c r="J577" s="1">
        <v>42516</v>
      </c>
      <c r="K577">
        <v>2</v>
      </c>
      <c r="L577" t="s">
        <v>1361</v>
      </c>
      <c r="M577">
        <v>2</v>
      </c>
      <c r="N577">
        <v>1</v>
      </c>
      <c r="O577">
        <v>0.8</v>
      </c>
      <c r="P577" t="b">
        <v>0</v>
      </c>
    </row>
    <row r="578" spans="1:16" x14ac:dyDescent="0.2">
      <c r="A578" t="s">
        <v>551</v>
      </c>
      <c r="B578" t="s">
        <v>351</v>
      </c>
      <c r="C578" t="s">
        <v>150</v>
      </c>
      <c r="D578" t="s">
        <v>352</v>
      </c>
      <c r="E578" t="s">
        <v>124</v>
      </c>
      <c r="F578">
        <v>60067</v>
      </c>
      <c r="G578" t="s">
        <v>12</v>
      </c>
      <c r="H578" t="s">
        <v>1360</v>
      </c>
      <c r="I578" s="1">
        <v>42511</v>
      </c>
      <c r="J578" s="1">
        <v>42516</v>
      </c>
      <c r="K578">
        <v>2</v>
      </c>
      <c r="L578" t="s">
        <v>1362</v>
      </c>
      <c r="M578">
        <v>9</v>
      </c>
      <c r="N578">
        <v>1</v>
      </c>
      <c r="O578">
        <v>0.2</v>
      </c>
      <c r="P578" t="b">
        <v>0</v>
      </c>
    </row>
    <row r="579" spans="1:16" x14ac:dyDescent="0.2">
      <c r="A579" t="s">
        <v>535</v>
      </c>
      <c r="B579" t="s">
        <v>326</v>
      </c>
      <c r="C579" t="s">
        <v>150</v>
      </c>
      <c r="D579" t="s">
        <v>327</v>
      </c>
      <c r="E579" t="s">
        <v>86</v>
      </c>
      <c r="F579">
        <v>98661</v>
      </c>
      <c r="G579" t="s">
        <v>18</v>
      </c>
      <c r="H579" t="s">
        <v>1363</v>
      </c>
      <c r="I579" s="1">
        <v>42937</v>
      </c>
      <c r="J579" s="1">
        <v>42941</v>
      </c>
      <c r="K579">
        <v>3</v>
      </c>
      <c r="L579" t="s">
        <v>1259</v>
      </c>
      <c r="M579">
        <v>2</v>
      </c>
      <c r="N579">
        <v>0</v>
      </c>
      <c r="O579">
        <v>0</v>
      </c>
      <c r="P579" t="b">
        <v>0</v>
      </c>
    </row>
    <row r="580" spans="1:16" x14ac:dyDescent="0.2">
      <c r="A580" t="s">
        <v>535</v>
      </c>
      <c r="B580" t="s">
        <v>326</v>
      </c>
      <c r="C580" t="s">
        <v>150</v>
      </c>
      <c r="D580" t="s">
        <v>327</v>
      </c>
      <c r="E580" t="s">
        <v>86</v>
      </c>
      <c r="F580">
        <v>98661</v>
      </c>
      <c r="G580" t="s">
        <v>18</v>
      </c>
      <c r="H580" t="s">
        <v>1363</v>
      </c>
      <c r="I580" s="1">
        <v>42937</v>
      </c>
      <c r="J580" s="1">
        <v>42941</v>
      </c>
      <c r="K580">
        <v>3</v>
      </c>
      <c r="L580" t="s">
        <v>1070</v>
      </c>
      <c r="M580">
        <v>9</v>
      </c>
      <c r="N580">
        <v>1</v>
      </c>
      <c r="O580">
        <v>0.2</v>
      </c>
      <c r="P580" t="b">
        <v>0</v>
      </c>
    </row>
    <row r="581" spans="1:16" x14ac:dyDescent="0.2">
      <c r="A581" t="s">
        <v>477</v>
      </c>
      <c r="B581" t="s">
        <v>243</v>
      </c>
      <c r="C581" t="s">
        <v>150</v>
      </c>
      <c r="D581" t="s">
        <v>66</v>
      </c>
      <c r="E581" t="s">
        <v>67</v>
      </c>
      <c r="F581">
        <v>19013</v>
      </c>
      <c r="G581" t="s">
        <v>27</v>
      </c>
      <c r="H581" t="s">
        <v>1364</v>
      </c>
      <c r="I581" s="1">
        <v>43003</v>
      </c>
      <c r="J581" s="1">
        <v>43006</v>
      </c>
      <c r="K581">
        <v>2</v>
      </c>
      <c r="L581" t="s">
        <v>1365</v>
      </c>
      <c r="M581">
        <v>5</v>
      </c>
      <c r="N581">
        <v>1</v>
      </c>
      <c r="O581">
        <v>0.7</v>
      </c>
      <c r="P581" t="b">
        <v>0</v>
      </c>
    </row>
    <row r="582" spans="1:16" x14ac:dyDescent="0.2">
      <c r="A582" t="s">
        <v>477</v>
      </c>
      <c r="B582" t="s">
        <v>243</v>
      </c>
      <c r="C582" t="s">
        <v>150</v>
      </c>
      <c r="D582" t="s">
        <v>66</v>
      </c>
      <c r="E582" t="s">
        <v>67</v>
      </c>
      <c r="F582">
        <v>19013</v>
      </c>
      <c r="G582" t="s">
        <v>27</v>
      </c>
      <c r="H582" t="s">
        <v>1364</v>
      </c>
      <c r="I582" s="1">
        <v>43003</v>
      </c>
      <c r="J582" s="1">
        <v>43006</v>
      </c>
      <c r="K582">
        <v>2</v>
      </c>
      <c r="L582" t="s">
        <v>1366</v>
      </c>
      <c r="M582">
        <v>2</v>
      </c>
      <c r="N582">
        <v>1</v>
      </c>
      <c r="O582">
        <v>0.2</v>
      </c>
      <c r="P582" t="b">
        <v>0</v>
      </c>
    </row>
    <row r="583" spans="1:16" x14ac:dyDescent="0.2">
      <c r="A583" t="s">
        <v>579</v>
      </c>
      <c r="B583" t="s">
        <v>577</v>
      </c>
      <c r="C583" t="s">
        <v>9</v>
      </c>
      <c r="D583" t="s">
        <v>578</v>
      </c>
      <c r="E583" t="s">
        <v>17</v>
      </c>
      <c r="F583">
        <v>95207</v>
      </c>
      <c r="G583" t="s">
        <v>18</v>
      </c>
      <c r="H583" t="s">
        <v>1367</v>
      </c>
      <c r="I583" s="1">
        <v>43091</v>
      </c>
      <c r="J583" s="1">
        <v>43094</v>
      </c>
      <c r="K583">
        <v>3</v>
      </c>
      <c r="L583" t="s">
        <v>1368</v>
      </c>
      <c r="M583">
        <v>2</v>
      </c>
      <c r="N583">
        <v>1</v>
      </c>
      <c r="O583">
        <v>0.5</v>
      </c>
      <c r="P583" t="b">
        <v>0</v>
      </c>
    </row>
    <row r="584" spans="1:16" x14ac:dyDescent="0.2">
      <c r="A584" t="s">
        <v>472</v>
      </c>
      <c r="B584" t="s">
        <v>236</v>
      </c>
      <c r="C584" t="s">
        <v>150</v>
      </c>
      <c r="D584" t="s">
        <v>237</v>
      </c>
      <c r="E584" t="s">
        <v>26</v>
      </c>
      <c r="F584">
        <v>12180</v>
      </c>
      <c r="G584" t="s">
        <v>27</v>
      </c>
      <c r="H584" t="s">
        <v>1369</v>
      </c>
      <c r="I584" s="1">
        <v>41751</v>
      </c>
      <c r="J584" s="1">
        <v>41753</v>
      </c>
      <c r="K584">
        <v>3</v>
      </c>
      <c r="L584" t="s">
        <v>1370</v>
      </c>
      <c r="M584">
        <v>8</v>
      </c>
      <c r="N584">
        <v>0</v>
      </c>
      <c r="O584">
        <v>0</v>
      </c>
      <c r="P584" t="b">
        <v>0</v>
      </c>
    </row>
    <row r="585" spans="1:16" x14ac:dyDescent="0.2">
      <c r="A585" t="s">
        <v>472</v>
      </c>
      <c r="B585" t="s">
        <v>236</v>
      </c>
      <c r="C585" t="s">
        <v>150</v>
      </c>
      <c r="D585" t="s">
        <v>237</v>
      </c>
      <c r="E585" t="s">
        <v>26</v>
      </c>
      <c r="F585">
        <v>12180</v>
      </c>
      <c r="G585" t="s">
        <v>27</v>
      </c>
      <c r="H585" t="s">
        <v>1369</v>
      </c>
      <c r="I585" s="1">
        <v>41751</v>
      </c>
      <c r="J585" s="1">
        <v>41753</v>
      </c>
      <c r="K585">
        <v>3</v>
      </c>
      <c r="L585" t="s">
        <v>816</v>
      </c>
      <c r="M585">
        <v>3</v>
      </c>
      <c r="N585">
        <v>1</v>
      </c>
      <c r="O585">
        <v>0.2</v>
      </c>
      <c r="P585" t="b">
        <v>0</v>
      </c>
    </row>
    <row r="586" spans="1:16" x14ac:dyDescent="0.2">
      <c r="A586" t="s">
        <v>460</v>
      </c>
      <c r="B586" t="s">
        <v>217</v>
      </c>
      <c r="C586" t="s">
        <v>9</v>
      </c>
      <c r="D586" t="s">
        <v>218</v>
      </c>
      <c r="E586" t="s">
        <v>46</v>
      </c>
      <c r="F586">
        <v>31907</v>
      </c>
      <c r="G586" t="s">
        <v>47</v>
      </c>
      <c r="H586" t="s">
        <v>1371</v>
      </c>
      <c r="I586" s="1">
        <v>42383</v>
      </c>
      <c r="J586" s="1">
        <v>42389</v>
      </c>
      <c r="K586">
        <v>4</v>
      </c>
      <c r="L586" t="s">
        <v>1372</v>
      </c>
      <c r="M586">
        <v>2</v>
      </c>
      <c r="N586">
        <v>1</v>
      </c>
      <c r="O586">
        <v>0.2</v>
      </c>
      <c r="P586" t="b">
        <v>0</v>
      </c>
    </row>
    <row r="587" spans="1:16" x14ac:dyDescent="0.2">
      <c r="A587" t="s">
        <v>460</v>
      </c>
      <c r="B587" t="s">
        <v>217</v>
      </c>
      <c r="C587" t="s">
        <v>9</v>
      </c>
      <c r="D587" t="s">
        <v>218</v>
      </c>
      <c r="E587" t="s">
        <v>46</v>
      </c>
      <c r="F587">
        <v>31907</v>
      </c>
      <c r="G587" t="s">
        <v>47</v>
      </c>
      <c r="H587" t="s">
        <v>1371</v>
      </c>
      <c r="I587" s="1">
        <v>42383</v>
      </c>
      <c r="J587" s="1">
        <v>42389</v>
      </c>
      <c r="K587">
        <v>4</v>
      </c>
      <c r="L587" t="s">
        <v>1373</v>
      </c>
      <c r="M587">
        <v>8</v>
      </c>
      <c r="N587">
        <v>1</v>
      </c>
      <c r="O587">
        <v>0.2</v>
      </c>
      <c r="P587" t="b">
        <v>0</v>
      </c>
    </row>
    <row r="588" spans="1:16" x14ac:dyDescent="0.2">
      <c r="A588" t="s">
        <v>564</v>
      </c>
      <c r="B588" t="s">
        <v>373</v>
      </c>
      <c r="C588" t="s">
        <v>90</v>
      </c>
      <c r="D588" t="s">
        <v>374</v>
      </c>
      <c r="E588" t="s">
        <v>179</v>
      </c>
      <c r="F588">
        <v>59601</v>
      </c>
      <c r="G588" t="s">
        <v>18</v>
      </c>
      <c r="H588" t="s">
        <v>1374</v>
      </c>
      <c r="I588" s="1">
        <v>42321</v>
      </c>
      <c r="J588" s="1">
        <v>42325</v>
      </c>
      <c r="K588">
        <v>4</v>
      </c>
      <c r="L588" t="s">
        <v>1375</v>
      </c>
      <c r="M588">
        <v>5</v>
      </c>
      <c r="N588">
        <v>1</v>
      </c>
      <c r="O588">
        <v>0.2</v>
      </c>
      <c r="P588" t="b">
        <v>0</v>
      </c>
    </row>
    <row r="589" spans="1:16" x14ac:dyDescent="0.2">
      <c r="A589" t="s">
        <v>564</v>
      </c>
      <c r="B589" t="s">
        <v>373</v>
      </c>
      <c r="C589" t="s">
        <v>90</v>
      </c>
      <c r="D589" t="s">
        <v>374</v>
      </c>
      <c r="E589" t="s">
        <v>179</v>
      </c>
      <c r="F589">
        <v>59601</v>
      </c>
      <c r="G589" t="s">
        <v>18</v>
      </c>
      <c r="H589" t="s">
        <v>1374</v>
      </c>
      <c r="I589" s="1">
        <v>42321</v>
      </c>
      <c r="J589" s="1">
        <v>42325</v>
      </c>
      <c r="K589">
        <v>4</v>
      </c>
      <c r="L589" t="s">
        <v>1376</v>
      </c>
      <c r="M589">
        <v>7</v>
      </c>
      <c r="N589">
        <v>0</v>
      </c>
      <c r="O589">
        <v>0</v>
      </c>
      <c r="P589" t="b">
        <v>0</v>
      </c>
    </row>
    <row r="590" spans="1:16" x14ac:dyDescent="0.2">
      <c r="A590" t="s">
        <v>572</v>
      </c>
      <c r="B590" t="s">
        <v>571</v>
      </c>
      <c r="C590" t="s">
        <v>150</v>
      </c>
      <c r="D590" t="s">
        <v>212</v>
      </c>
      <c r="E590" t="s">
        <v>166</v>
      </c>
      <c r="F590">
        <v>33710</v>
      </c>
      <c r="G590" t="s">
        <v>47</v>
      </c>
      <c r="H590" t="s">
        <v>1377</v>
      </c>
      <c r="I590" s="1">
        <v>41884</v>
      </c>
      <c r="J590" s="1">
        <v>41889</v>
      </c>
      <c r="K590">
        <v>4</v>
      </c>
      <c r="L590" t="s">
        <v>1378</v>
      </c>
      <c r="M590">
        <v>3</v>
      </c>
      <c r="N590">
        <v>1</v>
      </c>
      <c r="O590">
        <v>0.4</v>
      </c>
      <c r="P590" t="b">
        <v>0</v>
      </c>
    </row>
    <row r="591" spans="1:16" x14ac:dyDescent="0.2">
      <c r="A591" t="s">
        <v>572</v>
      </c>
      <c r="B591" t="s">
        <v>571</v>
      </c>
      <c r="C591" t="s">
        <v>150</v>
      </c>
      <c r="D591" t="s">
        <v>121</v>
      </c>
      <c r="E591" t="s">
        <v>22</v>
      </c>
      <c r="F591">
        <v>77095</v>
      </c>
      <c r="G591" t="s">
        <v>12</v>
      </c>
      <c r="H591" t="s">
        <v>1377</v>
      </c>
      <c r="I591" s="1">
        <v>41884</v>
      </c>
      <c r="J591" s="1">
        <v>41889</v>
      </c>
      <c r="K591">
        <v>4</v>
      </c>
      <c r="L591" t="s">
        <v>1378</v>
      </c>
      <c r="M591">
        <v>3</v>
      </c>
      <c r="N591">
        <v>1</v>
      </c>
      <c r="O591">
        <v>0.4</v>
      </c>
      <c r="P591" t="b">
        <v>0</v>
      </c>
    </row>
    <row r="592" spans="1:16" x14ac:dyDescent="0.2">
      <c r="A592" t="s">
        <v>498</v>
      </c>
      <c r="B592" t="s">
        <v>272</v>
      </c>
      <c r="C592" t="s">
        <v>150</v>
      </c>
      <c r="D592" t="s">
        <v>118</v>
      </c>
      <c r="E592" t="s">
        <v>119</v>
      </c>
      <c r="F592">
        <v>48205</v>
      </c>
      <c r="G592" t="s">
        <v>12</v>
      </c>
      <c r="H592" t="s">
        <v>1379</v>
      </c>
      <c r="I592" s="1">
        <v>42369</v>
      </c>
      <c r="J592" s="1">
        <v>42371</v>
      </c>
      <c r="K592">
        <v>3</v>
      </c>
      <c r="L592" t="s">
        <v>1380</v>
      </c>
      <c r="M592">
        <v>8</v>
      </c>
      <c r="N592">
        <v>0</v>
      </c>
      <c r="O592">
        <v>0</v>
      </c>
      <c r="P592" t="b">
        <v>0</v>
      </c>
    </row>
    <row r="593" spans="1:16" x14ac:dyDescent="0.2">
      <c r="A593" t="s">
        <v>530</v>
      </c>
      <c r="B593" t="s">
        <v>320</v>
      </c>
      <c r="C593" t="s">
        <v>150</v>
      </c>
      <c r="D593" t="s">
        <v>97</v>
      </c>
      <c r="E593" t="s">
        <v>67</v>
      </c>
      <c r="F593">
        <v>19143</v>
      </c>
      <c r="G593" t="s">
        <v>27</v>
      </c>
      <c r="H593" t="s">
        <v>1381</v>
      </c>
      <c r="I593" s="1">
        <v>42003</v>
      </c>
      <c r="J593" s="1">
        <v>42007</v>
      </c>
      <c r="K593">
        <v>3</v>
      </c>
      <c r="L593" t="s">
        <v>1382</v>
      </c>
      <c r="M593">
        <v>6</v>
      </c>
      <c r="N593">
        <v>1</v>
      </c>
      <c r="O593">
        <v>0.4</v>
      </c>
      <c r="P593" t="b">
        <v>0</v>
      </c>
    </row>
    <row r="594" spans="1:16" x14ac:dyDescent="0.2">
      <c r="A594" t="s">
        <v>530</v>
      </c>
      <c r="B594" t="s">
        <v>320</v>
      </c>
      <c r="C594" t="s">
        <v>150</v>
      </c>
      <c r="D594" t="s">
        <v>97</v>
      </c>
      <c r="E594" t="s">
        <v>67</v>
      </c>
      <c r="F594">
        <v>19143</v>
      </c>
      <c r="G594" t="s">
        <v>27</v>
      </c>
      <c r="H594" t="s">
        <v>1381</v>
      </c>
      <c r="I594" s="1">
        <v>42003</v>
      </c>
      <c r="J594" s="1">
        <v>42007</v>
      </c>
      <c r="K594">
        <v>3</v>
      </c>
      <c r="L594" t="s">
        <v>618</v>
      </c>
      <c r="M594">
        <v>3</v>
      </c>
      <c r="N594">
        <v>1</v>
      </c>
      <c r="O594">
        <v>0.4</v>
      </c>
      <c r="P594" t="b">
        <v>0</v>
      </c>
    </row>
    <row r="595" spans="1:16" x14ac:dyDescent="0.2">
      <c r="A595" t="s">
        <v>447</v>
      </c>
      <c r="B595" t="s">
        <v>200</v>
      </c>
      <c r="C595" t="s">
        <v>90</v>
      </c>
      <c r="D595" t="s">
        <v>34</v>
      </c>
      <c r="E595" t="s">
        <v>35</v>
      </c>
      <c r="F595">
        <v>68104</v>
      </c>
      <c r="G595" t="s">
        <v>12</v>
      </c>
      <c r="H595" t="s">
        <v>1383</v>
      </c>
      <c r="I595" s="1">
        <v>42626</v>
      </c>
      <c r="J595" s="1">
        <v>42631</v>
      </c>
      <c r="K595">
        <v>4</v>
      </c>
      <c r="L595" t="s">
        <v>1339</v>
      </c>
      <c r="M595">
        <v>3</v>
      </c>
      <c r="N595">
        <v>0</v>
      </c>
      <c r="O595">
        <v>0</v>
      </c>
      <c r="P595" t="b">
        <v>0</v>
      </c>
    </row>
    <row r="596" spans="1:16" x14ac:dyDescent="0.2">
      <c r="A596" t="s">
        <v>447</v>
      </c>
      <c r="B596" t="s">
        <v>200</v>
      </c>
      <c r="C596" t="s">
        <v>90</v>
      </c>
      <c r="D596" t="s">
        <v>34</v>
      </c>
      <c r="E596" t="s">
        <v>35</v>
      </c>
      <c r="F596">
        <v>68104</v>
      </c>
      <c r="G596" t="s">
        <v>12</v>
      </c>
      <c r="H596" t="s">
        <v>1383</v>
      </c>
      <c r="I596" s="1">
        <v>42626</v>
      </c>
      <c r="J596" s="1">
        <v>42631</v>
      </c>
      <c r="K596">
        <v>4</v>
      </c>
      <c r="L596" t="s">
        <v>1384</v>
      </c>
      <c r="M596">
        <v>5</v>
      </c>
      <c r="N596">
        <v>0</v>
      </c>
      <c r="O596">
        <v>0</v>
      </c>
      <c r="P596" t="b">
        <v>0</v>
      </c>
    </row>
    <row r="597" spans="1:16" x14ac:dyDescent="0.2">
      <c r="A597" t="s">
        <v>447</v>
      </c>
      <c r="B597" t="s">
        <v>200</v>
      </c>
      <c r="C597" t="s">
        <v>90</v>
      </c>
      <c r="D597" t="s">
        <v>34</v>
      </c>
      <c r="E597" t="s">
        <v>35</v>
      </c>
      <c r="F597">
        <v>68104</v>
      </c>
      <c r="G597" t="s">
        <v>12</v>
      </c>
      <c r="H597" t="s">
        <v>1383</v>
      </c>
      <c r="I597" s="1">
        <v>42626</v>
      </c>
      <c r="J597" s="1">
        <v>42631</v>
      </c>
      <c r="K597">
        <v>4</v>
      </c>
      <c r="L597" t="s">
        <v>1385</v>
      </c>
      <c r="M597">
        <v>5</v>
      </c>
      <c r="N597">
        <v>0</v>
      </c>
      <c r="O597">
        <v>0</v>
      </c>
      <c r="P597" t="b">
        <v>0</v>
      </c>
    </row>
    <row r="598" spans="1:16" x14ac:dyDescent="0.2">
      <c r="A598" t="s">
        <v>447</v>
      </c>
      <c r="B598" t="s">
        <v>200</v>
      </c>
      <c r="C598" t="s">
        <v>90</v>
      </c>
      <c r="D598" t="s">
        <v>34</v>
      </c>
      <c r="E598" t="s">
        <v>35</v>
      </c>
      <c r="F598">
        <v>68104</v>
      </c>
      <c r="G598" t="s">
        <v>12</v>
      </c>
      <c r="H598" t="s">
        <v>1383</v>
      </c>
      <c r="I598" s="1">
        <v>42626</v>
      </c>
      <c r="J598" s="1">
        <v>42631</v>
      </c>
      <c r="K598">
        <v>4</v>
      </c>
      <c r="L598" t="s">
        <v>1386</v>
      </c>
      <c r="M598">
        <v>2</v>
      </c>
      <c r="N598">
        <v>0</v>
      </c>
      <c r="O598">
        <v>0</v>
      </c>
      <c r="P598" t="b">
        <v>0</v>
      </c>
    </row>
    <row r="599" spans="1:16" x14ac:dyDescent="0.2">
      <c r="A599" t="s">
        <v>447</v>
      </c>
      <c r="B599" t="s">
        <v>200</v>
      </c>
      <c r="C599" t="s">
        <v>90</v>
      </c>
      <c r="D599" t="s">
        <v>34</v>
      </c>
      <c r="E599" t="s">
        <v>35</v>
      </c>
      <c r="F599">
        <v>68104</v>
      </c>
      <c r="G599" t="s">
        <v>12</v>
      </c>
      <c r="H599" t="s">
        <v>1383</v>
      </c>
      <c r="I599" s="1">
        <v>42626</v>
      </c>
      <c r="J599" s="1">
        <v>42631</v>
      </c>
      <c r="K599">
        <v>4</v>
      </c>
      <c r="L599" t="s">
        <v>1387</v>
      </c>
      <c r="M599">
        <v>3</v>
      </c>
      <c r="N599">
        <v>0</v>
      </c>
      <c r="O599">
        <v>0</v>
      </c>
      <c r="P599" t="b">
        <v>1</v>
      </c>
    </row>
    <row r="600" spans="1:16" x14ac:dyDescent="0.2">
      <c r="A600" t="s">
        <v>447</v>
      </c>
      <c r="B600" t="s">
        <v>200</v>
      </c>
      <c r="C600" t="s">
        <v>90</v>
      </c>
      <c r="D600" t="s">
        <v>34</v>
      </c>
      <c r="E600" t="s">
        <v>35</v>
      </c>
      <c r="F600">
        <v>68104</v>
      </c>
      <c r="G600" t="s">
        <v>12</v>
      </c>
      <c r="H600" t="s">
        <v>1383</v>
      </c>
      <c r="I600" s="1">
        <v>42626</v>
      </c>
      <c r="J600" s="1">
        <v>42631</v>
      </c>
      <c r="K600">
        <v>4</v>
      </c>
      <c r="L600" t="s">
        <v>1058</v>
      </c>
      <c r="M600">
        <v>2</v>
      </c>
      <c r="N600">
        <v>0</v>
      </c>
      <c r="O600">
        <v>0</v>
      </c>
      <c r="P600" t="b">
        <v>0</v>
      </c>
    </row>
    <row r="601" spans="1:16" x14ac:dyDescent="0.2">
      <c r="A601" t="s">
        <v>447</v>
      </c>
      <c r="B601" t="s">
        <v>200</v>
      </c>
      <c r="C601" t="s">
        <v>90</v>
      </c>
      <c r="D601" t="s">
        <v>34</v>
      </c>
      <c r="E601" t="s">
        <v>35</v>
      </c>
      <c r="F601">
        <v>68104</v>
      </c>
      <c r="G601" t="s">
        <v>12</v>
      </c>
      <c r="H601" t="s">
        <v>1383</v>
      </c>
      <c r="I601" s="1">
        <v>42626</v>
      </c>
      <c r="J601" s="1">
        <v>42631</v>
      </c>
      <c r="K601">
        <v>4</v>
      </c>
      <c r="L601" t="s">
        <v>1388</v>
      </c>
      <c r="M601">
        <v>3</v>
      </c>
      <c r="N601">
        <v>0</v>
      </c>
      <c r="O601">
        <v>0</v>
      </c>
      <c r="P601" t="b">
        <v>0</v>
      </c>
    </row>
    <row r="602" spans="1:16" x14ac:dyDescent="0.2">
      <c r="A602" t="s">
        <v>447</v>
      </c>
      <c r="B602" t="s">
        <v>200</v>
      </c>
      <c r="C602" t="s">
        <v>90</v>
      </c>
      <c r="D602" t="s">
        <v>34</v>
      </c>
      <c r="E602" t="s">
        <v>35</v>
      </c>
      <c r="F602">
        <v>68104</v>
      </c>
      <c r="G602" t="s">
        <v>12</v>
      </c>
      <c r="H602" t="s">
        <v>1383</v>
      </c>
      <c r="I602" s="1">
        <v>42626</v>
      </c>
      <c r="J602" s="1">
        <v>42631</v>
      </c>
      <c r="K602">
        <v>4</v>
      </c>
      <c r="L602" t="s">
        <v>719</v>
      </c>
      <c r="M602">
        <v>6</v>
      </c>
      <c r="N602">
        <v>0</v>
      </c>
      <c r="O602">
        <v>0</v>
      </c>
      <c r="P602" t="b">
        <v>0</v>
      </c>
    </row>
    <row r="603" spans="1:16" x14ac:dyDescent="0.2">
      <c r="A603" t="s">
        <v>447</v>
      </c>
      <c r="B603" t="s">
        <v>200</v>
      </c>
      <c r="C603" t="s">
        <v>90</v>
      </c>
      <c r="D603" t="s">
        <v>34</v>
      </c>
      <c r="E603" t="s">
        <v>35</v>
      </c>
      <c r="F603">
        <v>68104</v>
      </c>
      <c r="G603" t="s">
        <v>12</v>
      </c>
      <c r="H603" t="s">
        <v>1383</v>
      </c>
      <c r="I603" s="1">
        <v>42626</v>
      </c>
      <c r="J603" s="1">
        <v>42631</v>
      </c>
      <c r="K603">
        <v>4</v>
      </c>
      <c r="L603" t="s">
        <v>1389</v>
      </c>
      <c r="M603">
        <v>14</v>
      </c>
      <c r="N603">
        <v>0</v>
      </c>
      <c r="O603">
        <v>0</v>
      </c>
      <c r="P603" t="b">
        <v>0</v>
      </c>
    </row>
    <row r="604" spans="1:16" x14ac:dyDescent="0.2">
      <c r="A604" t="s">
        <v>447</v>
      </c>
      <c r="B604" t="s">
        <v>200</v>
      </c>
      <c r="C604" t="s">
        <v>90</v>
      </c>
      <c r="D604" t="s">
        <v>34</v>
      </c>
      <c r="E604" t="s">
        <v>35</v>
      </c>
      <c r="F604">
        <v>68104</v>
      </c>
      <c r="G604" t="s">
        <v>12</v>
      </c>
      <c r="H604" t="s">
        <v>1383</v>
      </c>
      <c r="I604" s="1">
        <v>42626</v>
      </c>
      <c r="J604" s="1">
        <v>42631</v>
      </c>
      <c r="K604">
        <v>4</v>
      </c>
      <c r="L604" t="s">
        <v>1390</v>
      </c>
      <c r="M604">
        <v>3</v>
      </c>
      <c r="N604">
        <v>0</v>
      </c>
      <c r="O604">
        <v>0</v>
      </c>
      <c r="P604" t="b">
        <v>0</v>
      </c>
    </row>
    <row r="605" spans="1:16" x14ac:dyDescent="0.2">
      <c r="A605" t="s">
        <v>448</v>
      </c>
      <c r="B605" t="s">
        <v>201</v>
      </c>
      <c r="C605" t="s">
        <v>9</v>
      </c>
      <c r="D605" t="s">
        <v>25</v>
      </c>
      <c r="E605" t="s">
        <v>26</v>
      </c>
      <c r="F605">
        <v>10011</v>
      </c>
      <c r="G605" t="s">
        <v>27</v>
      </c>
      <c r="H605" t="s">
        <v>1391</v>
      </c>
      <c r="I605" s="1">
        <v>41843</v>
      </c>
      <c r="J605" s="1">
        <v>41844</v>
      </c>
      <c r="K605">
        <v>2</v>
      </c>
      <c r="L605" t="s">
        <v>749</v>
      </c>
      <c r="M605">
        <v>2</v>
      </c>
      <c r="N605">
        <v>0</v>
      </c>
      <c r="O605">
        <v>0</v>
      </c>
      <c r="P605" t="b">
        <v>0</v>
      </c>
    </row>
    <row r="606" spans="1:16" x14ac:dyDescent="0.2">
      <c r="A606" t="s">
        <v>533</v>
      </c>
      <c r="B606" t="s">
        <v>324</v>
      </c>
      <c r="C606" t="s">
        <v>9</v>
      </c>
      <c r="D606" t="s">
        <v>145</v>
      </c>
      <c r="E606" t="s">
        <v>119</v>
      </c>
      <c r="F606">
        <v>49201</v>
      </c>
      <c r="G606" t="s">
        <v>12</v>
      </c>
      <c r="H606" t="s">
        <v>1392</v>
      </c>
      <c r="I606" s="1">
        <v>42105</v>
      </c>
      <c r="J606" s="1">
        <v>42108</v>
      </c>
      <c r="K606">
        <v>3</v>
      </c>
      <c r="L606" t="s">
        <v>1393</v>
      </c>
      <c r="M606">
        <v>4</v>
      </c>
      <c r="N606">
        <v>1</v>
      </c>
      <c r="O606">
        <v>0.2</v>
      </c>
      <c r="P606" t="b">
        <v>0</v>
      </c>
    </row>
    <row r="607" spans="1:16" x14ac:dyDescent="0.2">
      <c r="A607" t="s">
        <v>533</v>
      </c>
      <c r="B607" t="s">
        <v>324</v>
      </c>
      <c r="C607" t="s">
        <v>9</v>
      </c>
      <c r="D607" t="s">
        <v>145</v>
      </c>
      <c r="E607" t="s">
        <v>119</v>
      </c>
      <c r="F607">
        <v>49201</v>
      </c>
      <c r="G607" t="s">
        <v>12</v>
      </c>
      <c r="H607" t="s">
        <v>1392</v>
      </c>
      <c r="I607" s="1">
        <v>42105</v>
      </c>
      <c r="J607" s="1">
        <v>42108</v>
      </c>
      <c r="K607">
        <v>3</v>
      </c>
      <c r="L607" t="s">
        <v>1394</v>
      </c>
      <c r="M607">
        <v>2</v>
      </c>
      <c r="N607">
        <v>0</v>
      </c>
      <c r="O607">
        <v>0</v>
      </c>
      <c r="P607" t="b">
        <v>0</v>
      </c>
    </row>
    <row r="608" spans="1:16" x14ac:dyDescent="0.2">
      <c r="A608" t="s">
        <v>498</v>
      </c>
      <c r="B608" t="s">
        <v>272</v>
      </c>
      <c r="C608" t="s">
        <v>150</v>
      </c>
      <c r="D608" t="s">
        <v>118</v>
      </c>
      <c r="E608" t="s">
        <v>119</v>
      </c>
      <c r="F608">
        <v>48205</v>
      </c>
      <c r="G608" t="s">
        <v>12</v>
      </c>
      <c r="H608" t="s">
        <v>1395</v>
      </c>
      <c r="I608" s="1">
        <v>42509</v>
      </c>
      <c r="J608" s="1">
        <v>42513</v>
      </c>
      <c r="K608">
        <v>4</v>
      </c>
      <c r="L608" t="s">
        <v>1396</v>
      </c>
      <c r="M608">
        <v>8</v>
      </c>
      <c r="N608">
        <v>0</v>
      </c>
      <c r="O608">
        <v>0</v>
      </c>
      <c r="P608" t="b">
        <v>0</v>
      </c>
    </row>
    <row r="609" spans="1:16" x14ac:dyDescent="0.2">
      <c r="A609" t="s">
        <v>23</v>
      </c>
      <c r="B609" t="s">
        <v>24</v>
      </c>
      <c r="C609" t="s">
        <v>9</v>
      </c>
      <c r="D609" t="s">
        <v>25</v>
      </c>
      <c r="E609" t="s">
        <v>26</v>
      </c>
      <c r="F609">
        <v>10011</v>
      </c>
      <c r="G609" t="s">
        <v>27</v>
      </c>
      <c r="H609" t="s">
        <v>1397</v>
      </c>
      <c r="I609" s="1">
        <v>41897</v>
      </c>
      <c r="J609" s="1">
        <v>41902</v>
      </c>
      <c r="K609">
        <v>4</v>
      </c>
      <c r="L609" t="s">
        <v>1398</v>
      </c>
      <c r="M609">
        <v>3</v>
      </c>
      <c r="N609">
        <v>0</v>
      </c>
      <c r="O609">
        <v>0</v>
      </c>
      <c r="P609" t="b">
        <v>0</v>
      </c>
    </row>
    <row r="610" spans="1:16" x14ac:dyDescent="0.2">
      <c r="A610" t="s">
        <v>23</v>
      </c>
      <c r="B610" t="s">
        <v>24</v>
      </c>
      <c r="C610" t="s">
        <v>9</v>
      </c>
      <c r="D610" t="s">
        <v>25</v>
      </c>
      <c r="E610" t="s">
        <v>26</v>
      </c>
      <c r="F610">
        <v>10011</v>
      </c>
      <c r="G610" t="s">
        <v>27</v>
      </c>
      <c r="H610" t="s">
        <v>1397</v>
      </c>
      <c r="I610" s="1">
        <v>41897</v>
      </c>
      <c r="J610" s="1">
        <v>41902</v>
      </c>
      <c r="K610">
        <v>4</v>
      </c>
      <c r="L610" t="s">
        <v>1399</v>
      </c>
      <c r="M610">
        <v>2</v>
      </c>
      <c r="N610">
        <v>0</v>
      </c>
      <c r="O610">
        <v>0</v>
      </c>
      <c r="P610" t="b">
        <v>1</v>
      </c>
    </row>
    <row r="611" spans="1:16" x14ac:dyDescent="0.2">
      <c r="A611" t="s">
        <v>429</v>
      </c>
      <c r="B611" t="s">
        <v>169</v>
      </c>
      <c r="C611" t="s">
        <v>150</v>
      </c>
      <c r="D611" t="s">
        <v>97</v>
      </c>
      <c r="E611" t="s">
        <v>67</v>
      </c>
      <c r="F611">
        <v>19143</v>
      </c>
      <c r="G611" t="s">
        <v>27</v>
      </c>
      <c r="H611" t="s">
        <v>1400</v>
      </c>
      <c r="I611" s="1">
        <v>42262</v>
      </c>
      <c r="J611" s="1">
        <v>42267</v>
      </c>
      <c r="K611">
        <v>4</v>
      </c>
      <c r="L611" t="s">
        <v>1401</v>
      </c>
      <c r="M611">
        <v>4</v>
      </c>
      <c r="N611">
        <v>1</v>
      </c>
      <c r="O611">
        <v>0.7</v>
      </c>
      <c r="P611" t="b">
        <v>0</v>
      </c>
    </row>
    <row r="612" spans="1:16" x14ac:dyDescent="0.2">
      <c r="A612" t="s">
        <v>429</v>
      </c>
      <c r="B612" t="s">
        <v>169</v>
      </c>
      <c r="C612" t="s">
        <v>150</v>
      </c>
      <c r="D612" t="s">
        <v>97</v>
      </c>
      <c r="E612" t="s">
        <v>67</v>
      </c>
      <c r="F612">
        <v>19143</v>
      </c>
      <c r="G612" t="s">
        <v>27</v>
      </c>
      <c r="H612" t="s">
        <v>1400</v>
      </c>
      <c r="I612" s="1">
        <v>42262</v>
      </c>
      <c r="J612" s="1">
        <v>42267</v>
      </c>
      <c r="K612">
        <v>4</v>
      </c>
      <c r="L612" t="s">
        <v>825</v>
      </c>
      <c r="M612">
        <v>2</v>
      </c>
      <c r="N612">
        <v>1</v>
      </c>
      <c r="O612">
        <v>0.2</v>
      </c>
      <c r="P612" t="b">
        <v>0</v>
      </c>
    </row>
    <row r="613" spans="1:16" x14ac:dyDescent="0.2">
      <c r="A613" t="s">
        <v>74</v>
      </c>
      <c r="B613" t="s">
        <v>75</v>
      </c>
      <c r="C613" t="s">
        <v>9</v>
      </c>
      <c r="D613" t="s">
        <v>76</v>
      </c>
      <c r="E613" t="s">
        <v>17</v>
      </c>
      <c r="F613">
        <v>92105</v>
      </c>
      <c r="G613" t="s">
        <v>18</v>
      </c>
      <c r="H613" t="s">
        <v>1402</v>
      </c>
      <c r="I613" s="1">
        <v>43044</v>
      </c>
      <c r="J613" s="1">
        <v>43048</v>
      </c>
      <c r="K613">
        <v>4</v>
      </c>
      <c r="L613" t="s">
        <v>1403</v>
      </c>
      <c r="M613">
        <v>2</v>
      </c>
      <c r="N613">
        <v>0</v>
      </c>
      <c r="O613">
        <v>0</v>
      </c>
      <c r="P613" t="b">
        <v>0</v>
      </c>
    </row>
    <row r="614" spans="1:16" x14ac:dyDescent="0.2">
      <c r="A614" t="s">
        <v>576</v>
      </c>
      <c r="B614" t="s">
        <v>575</v>
      </c>
      <c r="C614" t="s">
        <v>9</v>
      </c>
      <c r="D614" t="s">
        <v>251</v>
      </c>
      <c r="E614" t="s">
        <v>73</v>
      </c>
      <c r="F614">
        <v>40214</v>
      </c>
      <c r="G614" t="s">
        <v>47</v>
      </c>
      <c r="H614" t="s">
        <v>1404</v>
      </c>
      <c r="I614" s="1">
        <v>41769</v>
      </c>
      <c r="J614" s="1">
        <v>41773</v>
      </c>
      <c r="K614">
        <v>3</v>
      </c>
      <c r="L614" t="s">
        <v>1405</v>
      </c>
      <c r="M614">
        <v>7</v>
      </c>
      <c r="N614">
        <v>1</v>
      </c>
      <c r="O614">
        <v>0.5</v>
      </c>
      <c r="P614" t="b">
        <v>0</v>
      </c>
    </row>
    <row r="615" spans="1:16" x14ac:dyDescent="0.2">
      <c r="A615" t="s">
        <v>576</v>
      </c>
      <c r="B615" t="s">
        <v>575</v>
      </c>
      <c r="C615" t="s">
        <v>9</v>
      </c>
      <c r="D615" t="s">
        <v>251</v>
      </c>
      <c r="E615" t="s">
        <v>73</v>
      </c>
      <c r="F615">
        <v>40214</v>
      </c>
      <c r="G615" t="s">
        <v>47</v>
      </c>
      <c r="H615" t="s">
        <v>1404</v>
      </c>
      <c r="I615" s="1">
        <v>41769</v>
      </c>
      <c r="J615" s="1">
        <v>41773</v>
      </c>
      <c r="K615">
        <v>3</v>
      </c>
      <c r="L615" t="s">
        <v>1406</v>
      </c>
      <c r="M615">
        <v>5</v>
      </c>
      <c r="N615">
        <v>1</v>
      </c>
      <c r="O615">
        <v>0.2</v>
      </c>
      <c r="P615" t="b">
        <v>1</v>
      </c>
    </row>
    <row r="616" spans="1:16" x14ac:dyDescent="0.2">
      <c r="A616" t="s">
        <v>559</v>
      </c>
      <c r="B616" t="s">
        <v>364</v>
      </c>
      <c r="C616" t="s">
        <v>90</v>
      </c>
      <c r="D616" t="s">
        <v>365</v>
      </c>
      <c r="E616" t="s">
        <v>191</v>
      </c>
      <c r="F616">
        <v>7960</v>
      </c>
      <c r="G616" t="s">
        <v>27</v>
      </c>
      <c r="H616" t="s">
        <v>1407</v>
      </c>
      <c r="I616" s="1">
        <v>42331</v>
      </c>
      <c r="J616" s="1">
        <v>42335</v>
      </c>
      <c r="K616">
        <v>3</v>
      </c>
      <c r="L616" t="s">
        <v>1408</v>
      </c>
      <c r="M616">
        <v>8</v>
      </c>
      <c r="N616">
        <v>0</v>
      </c>
      <c r="O616">
        <v>0</v>
      </c>
      <c r="P616" t="b">
        <v>0</v>
      </c>
    </row>
    <row r="617" spans="1:16" x14ac:dyDescent="0.2">
      <c r="A617" t="s">
        <v>559</v>
      </c>
      <c r="B617" t="s">
        <v>364</v>
      </c>
      <c r="C617" t="s">
        <v>90</v>
      </c>
      <c r="D617" t="s">
        <v>365</v>
      </c>
      <c r="E617" t="s">
        <v>191</v>
      </c>
      <c r="F617">
        <v>7960</v>
      </c>
      <c r="G617" t="s">
        <v>27</v>
      </c>
      <c r="H617" t="s">
        <v>1407</v>
      </c>
      <c r="I617" s="1">
        <v>42331</v>
      </c>
      <c r="J617" s="1">
        <v>42335</v>
      </c>
      <c r="K617">
        <v>3</v>
      </c>
      <c r="L617" t="s">
        <v>1409</v>
      </c>
      <c r="M617">
        <v>3</v>
      </c>
      <c r="N617">
        <v>0</v>
      </c>
      <c r="O617">
        <v>0</v>
      </c>
      <c r="P617" t="b">
        <v>0</v>
      </c>
    </row>
    <row r="618" spans="1:16" x14ac:dyDescent="0.2">
      <c r="A618" t="s">
        <v>502</v>
      </c>
      <c r="B618" t="s">
        <v>277</v>
      </c>
      <c r="C618" t="s">
        <v>9</v>
      </c>
      <c r="D618" t="s">
        <v>258</v>
      </c>
      <c r="E618" t="s">
        <v>17</v>
      </c>
      <c r="F618">
        <v>94513</v>
      </c>
      <c r="G618" t="s">
        <v>18</v>
      </c>
      <c r="H618" t="s">
        <v>1410</v>
      </c>
      <c r="I618" s="1">
        <v>42002</v>
      </c>
      <c r="J618" s="1">
        <v>42007</v>
      </c>
      <c r="K618">
        <v>1</v>
      </c>
      <c r="L618" t="s">
        <v>1411</v>
      </c>
      <c r="M618">
        <v>6</v>
      </c>
      <c r="N618">
        <v>0</v>
      </c>
      <c r="O618">
        <v>0</v>
      </c>
      <c r="P618" t="b">
        <v>0</v>
      </c>
    </row>
    <row r="619" spans="1:16" x14ac:dyDescent="0.2">
      <c r="A619" t="s">
        <v>502</v>
      </c>
      <c r="B619" t="s">
        <v>277</v>
      </c>
      <c r="C619" t="s">
        <v>9</v>
      </c>
      <c r="D619" t="s">
        <v>258</v>
      </c>
      <c r="E619" t="s">
        <v>17</v>
      </c>
      <c r="F619">
        <v>94513</v>
      </c>
      <c r="G619" t="s">
        <v>18</v>
      </c>
      <c r="H619" t="s">
        <v>1410</v>
      </c>
      <c r="I619" s="1">
        <v>42002</v>
      </c>
      <c r="J619" s="1">
        <v>42007</v>
      </c>
      <c r="K619">
        <v>1</v>
      </c>
      <c r="L619" t="s">
        <v>1412</v>
      </c>
      <c r="M619">
        <v>4</v>
      </c>
      <c r="N619">
        <v>1</v>
      </c>
      <c r="O619">
        <v>0.2</v>
      </c>
      <c r="P619" t="b">
        <v>0</v>
      </c>
    </row>
    <row r="620" spans="1:16" x14ac:dyDescent="0.2">
      <c r="A620" t="s">
        <v>482</v>
      </c>
      <c r="B620" t="s">
        <v>249</v>
      </c>
      <c r="C620" t="s">
        <v>90</v>
      </c>
      <c r="D620" t="s">
        <v>132</v>
      </c>
      <c r="E620" t="s">
        <v>22</v>
      </c>
      <c r="F620">
        <v>75217</v>
      </c>
      <c r="G620" t="s">
        <v>12</v>
      </c>
      <c r="H620" t="s">
        <v>1413</v>
      </c>
      <c r="I620" s="1">
        <v>42918</v>
      </c>
      <c r="J620" s="1">
        <v>42921</v>
      </c>
      <c r="K620">
        <v>4</v>
      </c>
      <c r="L620" t="s">
        <v>1414</v>
      </c>
      <c r="M620">
        <v>5</v>
      </c>
      <c r="N620">
        <v>1</v>
      </c>
      <c r="O620">
        <v>0.2</v>
      </c>
      <c r="P620" t="b">
        <v>0</v>
      </c>
    </row>
    <row r="621" spans="1:16" x14ac:dyDescent="0.2">
      <c r="A621" t="s">
        <v>482</v>
      </c>
      <c r="B621" t="s">
        <v>249</v>
      </c>
      <c r="C621" t="s">
        <v>90</v>
      </c>
      <c r="D621" t="s">
        <v>132</v>
      </c>
      <c r="E621" t="s">
        <v>22</v>
      </c>
      <c r="F621">
        <v>75217</v>
      </c>
      <c r="G621" t="s">
        <v>12</v>
      </c>
      <c r="H621" t="s">
        <v>1413</v>
      </c>
      <c r="I621" s="1">
        <v>42918</v>
      </c>
      <c r="J621" s="1">
        <v>42921</v>
      </c>
      <c r="K621">
        <v>4</v>
      </c>
      <c r="L621" t="s">
        <v>1415</v>
      </c>
      <c r="M621">
        <v>4</v>
      </c>
      <c r="N621">
        <v>1</v>
      </c>
      <c r="O621">
        <v>0.8</v>
      </c>
      <c r="P621" t="b">
        <v>1</v>
      </c>
    </row>
    <row r="622" spans="1:16" x14ac:dyDescent="0.2">
      <c r="A622" t="s">
        <v>28</v>
      </c>
      <c r="B622" t="s">
        <v>29</v>
      </c>
      <c r="C622" t="s">
        <v>9</v>
      </c>
      <c r="D622" t="s">
        <v>30</v>
      </c>
      <c r="E622" t="s">
        <v>31</v>
      </c>
      <c r="F622">
        <v>85204</v>
      </c>
      <c r="G622" t="s">
        <v>18</v>
      </c>
      <c r="H622" t="s">
        <v>1416</v>
      </c>
      <c r="I622" s="1">
        <v>42608</v>
      </c>
      <c r="J622" s="1">
        <v>42615</v>
      </c>
      <c r="K622">
        <v>4</v>
      </c>
      <c r="L622" t="s">
        <v>1417</v>
      </c>
      <c r="M622">
        <v>2</v>
      </c>
      <c r="N622">
        <v>0</v>
      </c>
      <c r="O622">
        <v>0</v>
      </c>
      <c r="P622" t="b">
        <v>0</v>
      </c>
    </row>
    <row r="623" spans="1:16" x14ac:dyDescent="0.2">
      <c r="A623" t="s">
        <v>28</v>
      </c>
      <c r="B623" t="s">
        <v>29</v>
      </c>
      <c r="C623" t="s">
        <v>9</v>
      </c>
      <c r="D623" t="s">
        <v>30</v>
      </c>
      <c r="E623" t="s">
        <v>31</v>
      </c>
      <c r="F623">
        <v>85204</v>
      </c>
      <c r="G623" t="s">
        <v>18</v>
      </c>
      <c r="H623" t="s">
        <v>1416</v>
      </c>
      <c r="I623" s="1">
        <v>42608</v>
      </c>
      <c r="J623" s="1">
        <v>42615</v>
      </c>
      <c r="K623">
        <v>4</v>
      </c>
      <c r="L623" t="s">
        <v>1382</v>
      </c>
      <c r="M623">
        <v>3</v>
      </c>
      <c r="N623">
        <v>0</v>
      </c>
      <c r="O623">
        <v>0</v>
      </c>
      <c r="P623" t="b">
        <v>0</v>
      </c>
    </row>
    <row r="624" spans="1:16" x14ac:dyDescent="0.2">
      <c r="A624" t="s">
        <v>60</v>
      </c>
      <c r="B624" t="s">
        <v>61</v>
      </c>
      <c r="C624" t="s">
        <v>9</v>
      </c>
      <c r="D624" t="s">
        <v>62</v>
      </c>
      <c r="E624" t="s">
        <v>63</v>
      </c>
      <c r="F624">
        <v>28027</v>
      </c>
      <c r="G624" t="s">
        <v>47</v>
      </c>
      <c r="H624" t="s">
        <v>1416</v>
      </c>
      <c r="I624" s="1">
        <v>42608</v>
      </c>
      <c r="J624" s="1">
        <v>42615</v>
      </c>
      <c r="K624">
        <v>4</v>
      </c>
      <c r="L624" t="s">
        <v>1418</v>
      </c>
      <c r="M624">
        <v>4</v>
      </c>
      <c r="N624">
        <v>0</v>
      </c>
      <c r="O624">
        <v>0</v>
      </c>
      <c r="P624" t="b">
        <v>0</v>
      </c>
    </row>
    <row r="625" spans="1:16" x14ac:dyDescent="0.2">
      <c r="A625" t="s">
        <v>60</v>
      </c>
      <c r="B625" t="s">
        <v>61</v>
      </c>
      <c r="C625" t="s">
        <v>9</v>
      </c>
      <c r="D625" t="s">
        <v>62</v>
      </c>
      <c r="E625" t="s">
        <v>63</v>
      </c>
      <c r="F625">
        <v>28027</v>
      </c>
      <c r="G625" t="s">
        <v>47</v>
      </c>
      <c r="H625" t="s">
        <v>1416</v>
      </c>
      <c r="I625" s="1">
        <v>42608</v>
      </c>
      <c r="J625" s="1">
        <v>42615</v>
      </c>
      <c r="K625">
        <v>4</v>
      </c>
      <c r="L625" t="s">
        <v>626</v>
      </c>
      <c r="M625">
        <v>3</v>
      </c>
      <c r="N625">
        <v>0</v>
      </c>
      <c r="O625">
        <v>0</v>
      </c>
      <c r="P625" t="b">
        <v>0</v>
      </c>
    </row>
    <row r="626" spans="1:16" x14ac:dyDescent="0.2">
      <c r="A626" t="s">
        <v>60</v>
      </c>
      <c r="B626" t="s">
        <v>61</v>
      </c>
      <c r="C626" t="s">
        <v>9</v>
      </c>
      <c r="D626" t="s">
        <v>62</v>
      </c>
      <c r="E626" t="s">
        <v>63</v>
      </c>
      <c r="F626">
        <v>28027</v>
      </c>
      <c r="G626" t="s">
        <v>47</v>
      </c>
      <c r="H626" t="s">
        <v>1416</v>
      </c>
      <c r="I626" s="1">
        <v>42608</v>
      </c>
      <c r="J626" s="1">
        <v>42615</v>
      </c>
      <c r="K626">
        <v>4</v>
      </c>
      <c r="L626" t="s">
        <v>1419</v>
      </c>
      <c r="M626">
        <v>3</v>
      </c>
      <c r="N626">
        <v>0</v>
      </c>
      <c r="O626">
        <v>0</v>
      </c>
      <c r="P626" t="b">
        <v>0</v>
      </c>
    </row>
    <row r="627" spans="1:16" x14ac:dyDescent="0.2">
      <c r="A627" t="s">
        <v>530</v>
      </c>
      <c r="B627" t="s">
        <v>320</v>
      </c>
      <c r="C627" t="s">
        <v>150</v>
      </c>
      <c r="D627" t="s">
        <v>97</v>
      </c>
      <c r="E627" t="s">
        <v>67</v>
      </c>
      <c r="F627">
        <v>19143</v>
      </c>
      <c r="G627" t="s">
        <v>27</v>
      </c>
      <c r="H627" t="s">
        <v>1420</v>
      </c>
      <c r="I627" s="1">
        <v>42257</v>
      </c>
      <c r="J627" s="1">
        <v>42261</v>
      </c>
      <c r="K627">
        <v>3</v>
      </c>
      <c r="L627" t="s">
        <v>1421</v>
      </c>
      <c r="M627">
        <v>1</v>
      </c>
      <c r="N627">
        <v>1</v>
      </c>
      <c r="O627">
        <v>0.3</v>
      </c>
      <c r="P627" t="b">
        <v>0</v>
      </c>
    </row>
    <row r="628" spans="1:16" x14ac:dyDescent="0.2">
      <c r="A628" t="s">
        <v>579</v>
      </c>
      <c r="B628" t="s">
        <v>577</v>
      </c>
      <c r="C628" t="s">
        <v>9</v>
      </c>
      <c r="D628" t="s">
        <v>578</v>
      </c>
      <c r="E628" t="s">
        <v>17</v>
      </c>
      <c r="F628">
        <v>95207</v>
      </c>
      <c r="G628" t="s">
        <v>18</v>
      </c>
      <c r="H628" t="s">
        <v>1422</v>
      </c>
      <c r="I628" s="1">
        <v>43087</v>
      </c>
      <c r="J628" s="1">
        <v>43089</v>
      </c>
      <c r="K628">
        <v>2</v>
      </c>
      <c r="L628" t="s">
        <v>1423</v>
      </c>
      <c r="M628">
        <v>9</v>
      </c>
      <c r="N628">
        <v>1</v>
      </c>
      <c r="O628">
        <v>0.2</v>
      </c>
      <c r="P628" t="b">
        <v>0</v>
      </c>
    </row>
    <row r="629" spans="1:16" x14ac:dyDescent="0.2">
      <c r="A629" t="s">
        <v>420</v>
      </c>
      <c r="B629" t="s">
        <v>155</v>
      </c>
      <c r="C629" t="s">
        <v>150</v>
      </c>
      <c r="D629" t="s">
        <v>156</v>
      </c>
      <c r="E629" t="s">
        <v>63</v>
      </c>
      <c r="F629">
        <v>28540</v>
      </c>
      <c r="G629" t="s">
        <v>47</v>
      </c>
      <c r="H629" t="s">
        <v>1424</v>
      </c>
      <c r="I629" s="1">
        <v>42338</v>
      </c>
      <c r="J629" s="1">
        <v>42341</v>
      </c>
      <c r="K629">
        <v>2</v>
      </c>
      <c r="L629" t="s">
        <v>1425</v>
      </c>
      <c r="M629">
        <v>2</v>
      </c>
      <c r="N629">
        <v>1</v>
      </c>
      <c r="O629">
        <v>0.2</v>
      </c>
      <c r="P629" t="b">
        <v>0</v>
      </c>
    </row>
    <row r="630" spans="1:16" x14ac:dyDescent="0.2">
      <c r="A630" t="s">
        <v>477</v>
      </c>
      <c r="B630" t="s">
        <v>243</v>
      </c>
      <c r="C630" t="s">
        <v>150</v>
      </c>
      <c r="D630" t="s">
        <v>66</v>
      </c>
      <c r="E630" t="s">
        <v>67</v>
      </c>
      <c r="F630">
        <v>19013</v>
      </c>
      <c r="G630" t="s">
        <v>27</v>
      </c>
      <c r="H630" t="s">
        <v>1426</v>
      </c>
      <c r="I630" s="1">
        <v>42359</v>
      </c>
      <c r="J630" s="1">
        <v>42361</v>
      </c>
      <c r="K630">
        <v>2</v>
      </c>
      <c r="L630" t="s">
        <v>1006</v>
      </c>
      <c r="M630">
        <v>2</v>
      </c>
      <c r="N630">
        <v>1</v>
      </c>
      <c r="O630">
        <v>0.2</v>
      </c>
      <c r="P630" t="b">
        <v>0</v>
      </c>
    </row>
    <row r="631" spans="1:16" x14ac:dyDescent="0.2">
      <c r="A631" t="s">
        <v>558</v>
      </c>
      <c r="B631" t="s">
        <v>363</v>
      </c>
      <c r="C631" t="s">
        <v>9</v>
      </c>
      <c r="D631" t="s">
        <v>25</v>
      </c>
      <c r="E631" t="s">
        <v>26</v>
      </c>
      <c r="F631">
        <v>10009</v>
      </c>
      <c r="G631" t="s">
        <v>27</v>
      </c>
      <c r="H631" t="s">
        <v>1427</v>
      </c>
      <c r="I631" s="1">
        <v>42568</v>
      </c>
      <c r="J631" s="1">
        <v>42573</v>
      </c>
      <c r="K631">
        <v>4</v>
      </c>
      <c r="L631" t="s">
        <v>1428</v>
      </c>
      <c r="M631">
        <v>2</v>
      </c>
      <c r="N631">
        <v>0</v>
      </c>
      <c r="O631">
        <v>0</v>
      </c>
      <c r="P631" t="b">
        <v>0</v>
      </c>
    </row>
    <row r="632" spans="1:16" x14ac:dyDescent="0.2">
      <c r="A632" t="s">
        <v>451</v>
      </c>
      <c r="B632" t="s">
        <v>204</v>
      </c>
      <c r="C632" t="s">
        <v>9</v>
      </c>
      <c r="D632" t="s">
        <v>205</v>
      </c>
      <c r="E632" t="s">
        <v>137</v>
      </c>
      <c r="F632">
        <v>45231</v>
      </c>
      <c r="G632" t="s">
        <v>27</v>
      </c>
      <c r="H632" t="s">
        <v>1429</v>
      </c>
      <c r="I632" s="1">
        <v>41748</v>
      </c>
      <c r="J632" s="1">
        <v>41752</v>
      </c>
      <c r="K632">
        <v>3</v>
      </c>
      <c r="L632" t="s">
        <v>1430</v>
      </c>
      <c r="M632">
        <v>3</v>
      </c>
      <c r="N632">
        <v>0</v>
      </c>
      <c r="O632">
        <v>0</v>
      </c>
      <c r="P632" t="b">
        <v>0</v>
      </c>
    </row>
    <row r="633" spans="1:16" x14ac:dyDescent="0.2">
      <c r="A633" t="s">
        <v>451</v>
      </c>
      <c r="B633" t="s">
        <v>204</v>
      </c>
      <c r="C633" t="s">
        <v>9</v>
      </c>
      <c r="D633" t="s">
        <v>205</v>
      </c>
      <c r="E633" t="s">
        <v>137</v>
      </c>
      <c r="F633">
        <v>45231</v>
      </c>
      <c r="G633" t="s">
        <v>27</v>
      </c>
      <c r="H633" t="s">
        <v>1429</v>
      </c>
      <c r="I633" s="1">
        <v>41748</v>
      </c>
      <c r="J633" s="1">
        <v>41752</v>
      </c>
      <c r="K633">
        <v>3</v>
      </c>
      <c r="L633" t="s">
        <v>1431</v>
      </c>
      <c r="M633">
        <v>11</v>
      </c>
      <c r="N633">
        <v>0</v>
      </c>
      <c r="O633">
        <v>0</v>
      </c>
      <c r="P633" t="b">
        <v>0</v>
      </c>
    </row>
    <row r="634" spans="1:16" x14ac:dyDescent="0.2">
      <c r="A634" t="s">
        <v>543</v>
      </c>
      <c r="B634" t="s">
        <v>338</v>
      </c>
      <c r="C634" t="s">
        <v>9</v>
      </c>
      <c r="D634" t="s">
        <v>339</v>
      </c>
      <c r="E634" t="s">
        <v>22</v>
      </c>
      <c r="F634">
        <v>75061</v>
      </c>
      <c r="G634" t="s">
        <v>12</v>
      </c>
      <c r="H634" t="s">
        <v>1432</v>
      </c>
      <c r="I634" s="1">
        <v>42492</v>
      </c>
      <c r="J634" s="1">
        <v>42496</v>
      </c>
      <c r="K634">
        <v>4</v>
      </c>
      <c r="L634" t="s">
        <v>1348</v>
      </c>
      <c r="M634">
        <v>3</v>
      </c>
      <c r="N634">
        <v>1</v>
      </c>
      <c r="O634">
        <v>0.2</v>
      </c>
      <c r="P634" t="b">
        <v>0</v>
      </c>
    </row>
    <row r="635" spans="1:16" x14ac:dyDescent="0.2">
      <c r="A635" t="s">
        <v>543</v>
      </c>
      <c r="B635" t="s">
        <v>338</v>
      </c>
      <c r="C635" t="s">
        <v>9</v>
      </c>
      <c r="D635" t="s">
        <v>339</v>
      </c>
      <c r="E635" t="s">
        <v>22</v>
      </c>
      <c r="F635">
        <v>75061</v>
      </c>
      <c r="G635" t="s">
        <v>12</v>
      </c>
      <c r="H635" t="s">
        <v>1432</v>
      </c>
      <c r="I635" s="1">
        <v>42492</v>
      </c>
      <c r="J635" s="1">
        <v>42496</v>
      </c>
      <c r="K635">
        <v>4</v>
      </c>
      <c r="L635" t="s">
        <v>1216</v>
      </c>
      <c r="M635">
        <v>3</v>
      </c>
      <c r="N635">
        <v>1</v>
      </c>
      <c r="O635">
        <v>0.2</v>
      </c>
      <c r="P635" t="b">
        <v>0</v>
      </c>
    </row>
    <row r="636" spans="1:16" x14ac:dyDescent="0.2">
      <c r="A636" t="s">
        <v>543</v>
      </c>
      <c r="B636" t="s">
        <v>338</v>
      </c>
      <c r="C636" t="s">
        <v>9</v>
      </c>
      <c r="D636" t="s">
        <v>339</v>
      </c>
      <c r="E636" t="s">
        <v>22</v>
      </c>
      <c r="F636">
        <v>75061</v>
      </c>
      <c r="G636" t="s">
        <v>12</v>
      </c>
      <c r="H636" t="s">
        <v>1432</v>
      </c>
      <c r="I636" s="1">
        <v>42492</v>
      </c>
      <c r="J636" s="1">
        <v>42496</v>
      </c>
      <c r="K636">
        <v>4</v>
      </c>
      <c r="L636" t="s">
        <v>1433</v>
      </c>
      <c r="M636">
        <v>2</v>
      </c>
      <c r="N636">
        <v>1</v>
      </c>
      <c r="O636">
        <v>0.2</v>
      </c>
      <c r="P636" t="b">
        <v>0</v>
      </c>
    </row>
    <row r="637" spans="1:16" x14ac:dyDescent="0.2">
      <c r="A637" t="s">
        <v>77</v>
      </c>
      <c r="B637" t="s">
        <v>65</v>
      </c>
      <c r="C637" t="s">
        <v>9</v>
      </c>
      <c r="D637" t="s">
        <v>78</v>
      </c>
      <c r="E637" t="s">
        <v>79</v>
      </c>
      <c r="F637">
        <v>1852</v>
      </c>
      <c r="G637" t="s">
        <v>27</v>
      </c>
      <c r="H637" t="s">
        <v>1434</v>
      </c>
      <c r="I637" s="1">
        <v>41974</v>
      </c>
      <c r="J637" s="1">
        <v>41976</v>
      </c>
      <c r="K637">
        <v>2</v>
      </c>
      <c r="L637" t="s">
        <v>1435</v>
      </c>
      <c r="M637">
        <v>2</v>
      </c>
      <c r="N637">
        <v>0</v>
      </c>
      <c r="O637">
        <v>0</v>
      </c>
      <c r="P637" t="b">
        <v>0</v>
      </c>
    </row>
    <row r="638" spans="1:16" x14ac:dyDescent="0.2">
      <c r="A638" t="s">
        <v>77</v>
      </c>
      <c r="B638" t="s">
        <v>65</v>
      </c>
      <c r="C638" t="s">
        <v>9</v>
      </c>
      <c r="D638" t="s">
        <v>78</v>
      </c>
      <c r="E638" t="s">
        <v>79</v>
      </c>
      <c r="F638">
        <v>1852</v>
      </c>
      <c r="G638" t="s">
        <v>27</v>
      </c>
      <c r="H638" t="s">
        <v>1434</v>
      </c>
      <c r="I638" s="1">
        <v>41974</v>
      </c>
      <c r="J638" s="1">
        <v>41976</v>
      </c>
      <c r="K638">
        <v>2</v>
      </c>
      <c r="L638" t="s">
        <v>1436</v>
      </c>
      <c r="M638">
        <v>3</v>
      </c>
      <c r="N638">
        <v>0</v>
      </c>
      <c r="O638">
        <v>0</v>
      </c>
      <c r="P638" t="b">
        <v>0</v>
      </c>
    </row>
    <row r="639" spans="1:16" x14ac:dyDescent="0.2">
      <c r="A639" t="s">
        <v>77</v>
      </c>
      <c r="B639" t="s">
        <v>65</v>
      </c>
      <c r="C639" t="s">
        <v>9</v>
      </c>
      <c r="D639" t="s">
        <v>78</v>
      </c>
      <c r="E639" t="s">
        <v>79</v>
      </c>
      <c r="F639">
        <v>1852</v>
      </c>
      <c r="G639" t="s">
        <v>27</v>
      </c>
      <c r="H639" t="s">
        <v>1434</v>
      </c>
      <c r="I639" s="1">
        <v>41974</v>
      </c>
      <c r="J639" s="1">
        <v>41976</v>
      </c>
      <c r="K639">
        <v>2</v>
      </c>
      <c r="L639" t="s">
        <v>1437</v>
      </c>
      <c r="M639">
        <v>2</v>
      </c>
      <c r="N639">
        <v>0</v>
      </c>
      <c r="O639">
        <v>0</v>
      </c>
      <c r="P639" t="b">
        <v>0</v>
      </c>
    </row>
    <row r="640" spans="1:16" x14ac:dyDescent="0.2">
      <c r="A640" t="s">
        <v>80</v>
      </c>
      <c r="B640" t="s">
        <v>81</v>
      </c>
      <c r="C640" t="s">
        <v>9</v>
      </c>
      <c r="D640" t="s">
        <v>82</v>
      </c>
      <c r="E640" t="s">
        <v>83</v>
      </c>
      <c r="F640">
        <v>73120</v>
      </c>
      <c r="G640" t="s">
        <v>12</v>
      </c>
      <c r="H640" t="s">
        <v>1438</v>
      </c>
      <c r="I640" s="1">
        <v>42325</v>
      </c>
      <c r="J640" s="1">
        <v>42332</v>
      </c>
      <c r="K640">
        <v>4</v>
      </c>
      <c r="L640" t="s">
        <v>1439</v>
      </c>
      <c r="M640">
        <v>4</v>
      </c>
      <c r="N640">
        <v>0</v>
      </c>
      <c r="O640">
        <v>0</v>
      </c>
      <c r="P640" t="b">
        <v>0</v>
      </c>
    </row>
    <row r="641" spans="1:16" x14ac:dyDescent="0.2">
      <c r="A641" t="s">
        <v>80</v>
      </c>
      <c r="B641" t="s">
        <v>81</v>
      </c>
      <c r="C641" t="s">
        <v>9</v>
      </c>
      <c r="D641" t="s">
        <v>82</v>
      </c>
      <c r="E641" t="s">
        <v>83</v>
      </c>
      <c r="F641">
        <v>73120</v>
      </c>
      <c r="G641" t="s">
        <v>12</v>
      </c>
      <c r="H641" t="s">
        <v>1438</v>
      </c>
      <c r="I641" s="1">
        <v>42325</v>
      </c>
      <c r="J641" s="1">
        <v>42332</v>
      </c>
      <c r="K641">
        <v>4</v>
      </c>
      <c r="L641" t="s">
        <v>971</v>
      </c>
      <c r="M641">
        <v>3</v>
      </c>
      <c r="N641">
        <v>0</v>
      </c>
      <c r="O641">
        <v>0</v>
      </c>
      <c r="P641" t="b">
        <v>0</v>
      </c>
    </row>
    <row r="642" spans="1:16" x14ac:dyDescent="0.2">
      <c r="A642" t="s">
        <v>80</v>
      </c>
      <c r="B642" t="s">
        <v>81</v>
      </c>
      <c r="C642" t="s">
        <v>9</v>
      </c>
      <c r="D642" t="s">
        <v>82</v>
      </c>
      <c r="E642" t="s">
        <v>83</v>
      </c>
      <c r="F642">
        <v>73120</v>
      </c>
      <c r="G642" t="s">
        <v>12</v>
      </c>
      <c r="H642" t="s">
        <v>1438</v>
      </c>
      <c r="I642" s="1">
        <v>42325</v>
      </c>
      <c r="J642" s="1">
        <v>42332</v>
      </c>
      <c r="K642">
        <v>4</v>
      </c>
      <c r="L642" t="s">
        <v>1340</v>
      </c>
      <c r="M642">
        <v>5</v>
      </c>
      <c r="N642">
        <v>0</v>
      </c>
      <c r="O642">
        <v>0</v>
      </c>
      <c r="P642" t="b">
        <v>0</v>
      </c>
    </row>
    <row r="643" spans="1:16" x14ac:dyDescent="0.2">
      <c r="A643" t="s">
        <v>449</v>
      </c>
      <c r="B643" t="s">
        <v>202</v>
      </c>
      <c r="C643" t="s">
        <v>9</v>
      </c>
      <c r="D643" t="s">
        <v>176</v>
      </c>
      <c r="E643" t="s">
        <v>79</v>
      </c>
      <c r="F643">
        <v>1841</v>
      </c>
      <c r="G643" t="s">
        <v>27</v>
      </c>
      <c r="H643" t="s">
        <v>1440</v>
      </c>
      <c r="I643" s="1">
        <v>42267</v>
      </c>
      <c r="J643" s="1">
        <v>42269</v>
      </c>
      <c r="K643">
        <v>2</v>
      </c>
      <c r="L643" t="s">
        <v>1441</v>
      </c>
      <c r="M643">
        <v>6</v>
      </c>
      <c r="N643">
        <v>0</v>
      </c>
      <c r="O643">
        <v>0</v>
      </c>
      <c r="P643" t="b">
        <v>0</v>
      </c>
    </row>
    <row r="644" spans="1:16" x14ac:dyDescent="0.2">
      <c r="A644" t="s">
        <v>554</v>
      </c>
      <c r="B644" t="s">
        <v>357</v>
      </c>
      <c r="C644" t="s">
        <v>90</v>
      </c>
      <c r="D644" t="s">
        <v>358</v>
      </c>
      <c r="E644" t="s">
        <v>166</v>
      </c>
      <c r="F644">
        <v>33437</v>
      </c>
      <c r="G644" t="s">
        <v>47</v>
      </c>
      <c r="H644" t="s">
        <v>1442</v>
      </c>
      <c r="I644" s="1">
        <v>41980</v>
      </c>
      <c r="J644" s="1">
        <v>41986</v>
      </c>
      <c r="K644">
        <v>4</v>
      </c>
      <c r="L644" t="s">
        <v>1443</v>
      </c>
      <c r="M644">
        <v>7</v>
      </c>
      <c r="N644">
        <v>0</v>
      </c>
      <c r="O644">
        <v>0</v>
      </c>
      <c r="P644" t="b">
        <v>0</v>
      </c>
    </row>
    <row r="645" spans="1:16" x14ac:dyDescent="0.2">
      <c r="A645" t="s">
        <v>570</v>
      </c>
      <c r="B645" t="s">
        <v>382</v>
      </c>
      <c r="C645" t="s">
        <v>9</v>
      </c>
      <c r="D645" t="s">
        <v>76</v>
      </c>
      <c r="E645" t="s">
        <v>17</v>
      </c>
      <c r="F645">
        <v>92037</v>
      </c>
      <c r="G645" t="s">
        <v>18</v>
      </c>
      <c r="H645" t="s">
        <v>1444</v>
      </c>
      <c r="I645" s="1">
        <v>42405</v>
      </c>
      <c r="J645" s="1">
        <v>42410</v>
      </c>
      <c r="K645">
        <v>4</v>
      </c>
      <c r="L645" t="s">
        <v>1445</v>
      </c>
      <c r="M645">
        <v>3</v>
      </c>
      <c r="N645">
        <v>0</v>
      </c>
      <c r="O645">
        <v>0</v>
      </c>
      <c r="P645" t="b">
        <v>0</v>
      </c>
    </row>
    <row r="646" spans="1:16" x14ac:dyDescent="0.2">
      <c r="A646" t="s">
        <v>570</v>
      </c>
      <c r="B646" t="s">
        <v>382</v>
      </c>
      <c r="C646" t="s">
        <v>9</v>
      </c>
      <c r="D646" t="s">
        <v>76</v>
      </c>
      <c r="E646" t="s">
        <v>17</v>
      </c>
      <c r="F646">
        <v>92037</v>
      </c>
      <c r="G646" t="s">
        <v>18</v>
      </c>
      <c r="H646" t="s">
        <v>1444</v>
      </c>
      <c r="I646" s="1">
        <v>42405</v>
      </c>
      <c r="J646" s="1">
        <v>42410</v>
      </c>
      <c r="K646">
        <v>4</v>
      </c>
      <c r="L646" t="s">
        <v>719</v>
      </c>
      <c r="M646">
        <v>3</v>
      </c>
      <c r="N646">
        <v>0</v>
      </c>
      <c r="O646">
        <v>0</v>
      </c>
      <c r="P646" t="b">
        <v>0</v>
      </c>
    </row>
    <row r="647" spans="1:16" x14ac:dyDescent="0.2">
      <c r="A647" t="s">
        <v>570</v>
      </c>
      <c r="B647" t="s">
        <v>382</v>
      </c>
      <c r="C647" t="s">
        <v>9</v>
      </c>
      <c r="D647" t="s">
        <v>76</v>
      </c>
      <c r="E647" t="s">
        <v>17</v>
      </c>
      <c r="F647">
        <v>92037</v>
      </c>
      <c r="G647" t="s">
        <v>18</v>
      </c>
      <c r="H647" t="s">
        <v>1444</v>
      </c>
      <c r="I647" s="1">
        <v>42405</v>
      </c>
      <c r="J647" s="1">
        <v>42410</v>
      </c>
      <c r="K647">
        <v>4</v>
      </c>
      <c r="L647" t="s">
        <v>931</v>
      </c>
      <c r="M647">
        <v>4</v>
      </c>
      <c r="N647">
        <v>1</v>
      </c>
      <c r="O647">
        <v>0.2</v>
      </c>
      <c r="P647" t="b">
        <v>0</v>
      </c>
    </row>
    <row r="648" spans="1:16" x14ac:dyDescent="0.2">
      <c r="A648" t="s">
        <v>570</v>
      </c>
      <c r="B648" t="s">
        <v>382</v>
      </c>
      <c r="C648" t="s">
        <v>9</v>
      </c>
      <c r="D648" t="s">
        <v>76</v>
      </c>
      <c r="E648" t="s">
        <v>17</v>
      </c>
      <c r="F648">
        <v>92037</v>
      </c>
      <c r="G648" t="s">
        <v>18</v>
      </c>
      <c r="H648" t="s">
        <v>1444</v>
      </c>
      <c r="I648" s="1">
        <v>42405</v>
      </c>
      <c r="J648" s="1">
        <v>42410</v>
      </c>
      <c r="K648">
        <v>4</v>
      </c>
      <c r="L648" t="s">
        <v>1446</v>
      </c>
      <c r="M648">
        <v>4</v>
      </c>
      <c r="N648">
        <v>1</v>
      </c>
      <c r="O648">
        <v>0.2</v>
      </c>
      <c r="P648" t="b">
        <v>0</v>
      </c>
    </row>
    <row r="649" spans="1:16" x14ac:dyDescent="0.2">
      <c r="A649" t="s">
        <v>461</v>
      </c>
      <c r="B649" t="s">
        <v>219</v>
      </c>
      <c r="C649" t="s">
        <v>9</v>
      </c>
      <c r="D649" t="s">
        <v>41</v>
      </c>
      <c r="E649" t="s">
        <v>95</v>
      </c>
      <c r="F649">
        <v>24153</v>
      </c>
      <c r="G649" t="s">
        <v>47</v>
      </c>
      <c r="H649" t="s">
        <v>1447</v>
      </c>
      <c r="I649" s="1">
        <v>42895</v>
      </c>
      <c r="J649" s="1">
        <v>42900</v>
      </c>
      <c r="K649">
        <v>4</v>
      </c>
      <c r="L649" t="s">
        <v>1448</v>
      </c>
      <c r="M649">
        <v>4</v>
      </c>
      <c r="N649">
        <v>0</v>
      </c>
      <c r="O649">
        <v>0</v>
      </c>
      <c r="P649" t="b">
        <v>0</v>
      </c>
    </row>
    <row r="650" spans="1:16" x14ac:dyDescent="0.2">
      <c r="A650" t="s">
        <v>498</v>
      </c>
      <c r="B650" t="s">
        <v>272</v>
      </c>
      <c r="C650" t="s">
        <v>150</v>
      </c>
      <c r="D650" t="s">
        <v>118</v>
      </c>
      <c r="E650" t="s">
        <v>119</v>
      </c>
      <c r="F650">
        <v>48205</v>
      </c>
      <c r="G650" t="s">
        <v>12</v>
      </c>
      <c r="H650" t="s">
        <v>1449</v>
      </c>
      <c r="I650" s="1">
        <v>42582</v>
      </c>
      <c r="J650" s="1">
        <v>42587</v>
      </c>
      <c r="K650">
        <v>4</v>
      </c>
      <c r="L650" t="s">
        <v>1450</v>
      </c>
      <c r="M650">
        <v>7</v>
      </c>
      <c r="N650">
        <v>1</v>
      </c>
      <c r="O650">
        <v>0.2</v>
      </c>
      <c r="P650" t="b">
        <v>0</v>
      </c>
    </row>
    <row r="651" spans="1:16" x14ac:dyDescent="0.2">
      <c r="A651" t="s">
        <v>393</v>
      </c>
      <c r="B651" t="s">
        <v>101</v>
      </c>
      <c r="C651" t="s">
        <v>90</v>
      </c>
      <c r="D651" t="s">
        <v>85</v>
      </c>
      <c r="E651" t="s">
        <v>86</v>
      </c>
      <c r="F651">
        <v>98105</v>
      </c>
      <c r="G651" t="s">
        <v>18</v>
      </c>
      <c r="H651" t="s">
        <v>1451</v>
      </c>
      <c r="I651" s="1">
        <v>43045</v>
      </c>
      <c r="J651" s="1">
        <v>43052</v>
      </c>
      <c r="K651">
        <v>4</v>
      </c>
      <c r="L651" t="s">
        <v>618</v>
      </c>
      <c r="M651">
        <v>7</v>
      </c>
      <c r="N651">
        <v>0</v>
      </c>
      <c r="O651">
        <v>0</v>
      </c>
      <c r="P651" t="b">
        <v>1</v>
      </c>
    </row>
    <row r="652" spans="1:16" x14ac:dyDescent="0.2">
      <c r="A652" t="s">
        <v>393</v>
      </c>
      <c r="B652" t="s">
        <v>101</v>
      </c>
      <c r="C652" t="s">
        <v>90</v>
      </c>
      <c r="D652" t="s">
        <v>85</v>
      </c>
      <c r="E652" t="s">
        <v>86</v>
      </c>
      <c r="F652">
        <v>98105</v>
      </c>
      <c r="G652" t="s">
        <v>18</v>
      </c>
      <c r="H652" t="s">
        <v>1451</v>
      </c>
      <c r="I652" s="1">
        <v>43045</v>
      </c>
      <c r="J652" s="1">
        <v>43052</v>
      </c>
      <c r="K652">
        <v>4</v>
      </c>
      <c r="L652" t="s">
        <v>751</v>
      </c>
      <c r="M652">
        <v>2</v>
      </c>
      <c r="N652">
        <v>1</v>
      </c>
      <c r="O652">
        <v>0.2</v>
      </c>
      <c r="P652" t="b">
        <v>0</v>
      </c>
    </row>
    <row r="653" spans="1:16" x14ac:dyDescent="0.2">
      <c r="A653" t="s">
        <v>393</v>
      </c>
      <c r="B653" t="s">
        <v>101</v>
      </c>
      <c r="C653" t="s">
        <v>90</v>
      </c>
      <c r="D653" t="s">
        <v>85</v>
      </c>
      <c r="E653" t="s">
        <v>86</v>
      </c>
      <c r="F653">
        <v>98105</v>
      </c>
      <c r="G653" t="s">
        <v>18</v>
      </c>
      <c r="H653" t="s">
        <v>1451</v>
      </c>
      <c r="I653" s="1">
        <v>43045</v>
      </c>
      <c r="J653" s="1">
        <v>43052</v>
      </c>
      <c r="K653">
        <v>4</v>
      </c>
      <c r="L653" t="s">
        <v>1452</v>
      </c>
      <c r="M653">
        <v>3</v>
      </c>
      <c r="N653">
        <v>0</v>
      </c>
      <c r="O653">
        <v>0</v>
      </c>
      <c r="P653" t="b">
        <v>0</v>
      </c>
    </row>
    <row r="654" spans="1:16" x14ac:dyDescent="0.2">
      <c r="A654" t="s">
        <v>468</v>
      </c>
      <c r="B654" t="s">
        <v>228</v>
      </c>
      <c r="C654" t="s">
        <v>150</v>
      </c>
      <c r="D654" t="s">
        <v>229</v>
      </c>
      <c r="E654" t="s">
        <v>230</v>
      </c>
      <c r="F654">
        <v>89115</v>
      </c>
      <c r="G654" t="s">
        <v>18</v>
      </c>
      <c r="H654" t="s">
        <v>1453</v>
      </c>
      <c r="I654" s="1">
        <v>42260</v>
      </c>
      <c r="J654" s="1">
        <v>42264</v>
      </c>
      <c r="K654">
        <v>3</v>
      </c>
      <c r="L654" t="s">
        <v>1454</v>
      </c>
      <c r="M654">
        <v>1</v>
      </c>
      <c r="N654">
        <v>1</v>
      </c>
      <c r="O654">
        <v>0.2</v>
      </c>
      <c r="P654" t="b">
        <v>0</v>
      </c>
    </row>
    <row r="655" spans="1:16" x14ac:dyDescent="0.2">
      <c r="A655" t="s">
        <v>468</v>
      </c>
      <c r="B655" t="s">
        <v>228</v>
      </c>
      <c r="C655" t="s">
        <v>150</v>
      </c>
      <c r="D655" t="s">
        <v>229</v>
      </c>
      <c r="E655" t="s">
        <v>230</v>
      </c>
      <c r="F655">
        <v>89115</v>
      </c>
      <c r="G655" t="s">
        <v>18</v>
      </c>
      <c r="H655" t="s">
        <v>1453</v>
      </c>
      <c r="I655" s="1">
        <v>42260</v>
      </c>
      <c r="J655" s="1">
        <v>42264</v>
      </c>
      <c r="K655">
        <v>3</v>
      </c>
      <c r="L655" t="s">
        <v>925</v>
      </c>
      <c r="M655">
        <v>4</v>
      </c>
      <c r="N655">
        <v>1</v>
      </c>
      <c r="O655">
        <v>0.3</v>
      </c>
      <c r="P655" t="b">
        <v>0</v>
      </c>
    </row>
    <row r="656" spans="1:16" x14ac:dyDescent="0.2">
      <c r="A656" t="s">
        <v>445</v>
      </c>
      <c r="B656" t="s">
        <v>196</v>
      </c>
      <c r="C656" t="s">
        <v>9</v>
      </c>
      <c r="D656" t="s">
        <v>153</v>
      </c>
      <c r="E656" t="s">
        <v>124</v>
      </c>
      <c r="F656">
        <v>60610</v>
      </c>
      <c r="G656" t="s">
        <v>12</v>
      </c>
      <c r="H656" t="s">
        <v>1455</v>
      </c>
      <c r="I656" s="1">
        <v>42849</v>
      </c>
      <c r="J656" s="1">
        <v>42855</v>
      </c>
      <c r="K656">
        <v>4</v>
      </c>
      <c r="L656" t="s">
        <v>1343</v>
      </c>
      <c r="M656">
        <v>5</v>
      </c>
      <c r="N656">
        <v>1</v>
      </c>
      <c r="O656">
        <v>0.8</v>
      </c>
      <c r="P656" t="b">
        <v>0</v>
      </c>
    </row>
    <row r="657" spans="1:16" x14ac:dyDescent="0.2">
      <c r="A657" t="s">
        <v>445</v>
      </c>
      <c r="B657" t="s">
        <v>196</v>
      </c>
      <c r="C657" t="s">
        <v>9</v>
      </c>
      <c r="D657" t="s">
        <v>153</v>
      </c>
      <c r="E657" t="s">
        <v>124</v>
      </c>
      <c r="F657">
        <v>60610</v>
      </c>
      <c r="G657" t="s">
        <v>12</v>
      </c>
      <c r="H657" t="s">
        <v>1455</v>
      </c>
      <c r="I657" s="1">
        <v>42849</v>
      </c>
      <c r="J657" s="1">
        <v>42855</v>
      </c>
      <c r="K657">
        <v>4</v>
      </c>
      <c r="L657" t="s">
        <v>1456</v>
      </c>
      <c r="M657">
        <v>1</v>
      </c>
      <c r="N657">
        <v>1</v>
      </c>
      <c r="O657">
        <v>0.2</v>
      </c>
      <c r="P657" t="b">
        <v>0</v>
      </c>
    </row>
    <row r="658" spans="1:16" x14ac:dyDescent="0.2">
      <c r="A658" t="s">
        <v>385</v>
      </c>
      <c r="B658" t="s">
        <v>84</v>
      </c>
      <c r="C658" t="s">
        <v>9</v>
      </c>
      <c r="D658" t="s">
        <v>87</v>
      </c>
      <c r="E658" t="s">
        <v>22</v>
      </c>
      <c r="F658">
        <v>76017</v>
      </c>
      <c r="G658" t="s">
        <v>12</v>
      </c>
      <c r="H658" t="s">
        <v>1457</v>
      </c>
      <c r="I658" s="1">
        <v>41688</v>
      </c>
      <c r="J658" s="1">
        <v>41694</v>
      </c>
      <c r="K658">
        <v>4</v>
      </c>
      <c r="L658" t="s">
        <v>1348</v>
      </c>
      <c r="M658">
        <v>2</v>
      </c>
      <c r="N658">
        <v>1</v>
      </c>
      <c r="O658">
        <v>0.2</v>
      </c>
      <c r="P658" t="b">
        <v>0</v>
      </c>
    </row>
    <row r="659" spans="1:16" x14ac:dyDescent="0.2">
      <c r="A659" t="s">
        <v>517</v>
      </c>
      <c r="B659" t="s">
        <v>301</v>
      </c>
      <c r="C659" t="s">
        <v>9</v>
      </c>
      <c r="D659" t="s">
        <v>302</v>
      </c>
      <c r="E659" t="s">
        <v>124</v>
      </c>
      <c r="F659">
        <v>60016</v>
      </c>
      <c r="G659" t="s">
        <v>12</v>
      </c>
      <c r="H659" t="s">
        <v>1458</v>
      </c>
      <c r="I659" s="1">
        <v>42260</v>
      </c>
      <c r="J659" s="1">
        <v>42264</v>
      </c>
      <c r="K659">
        <v>4</v>
      </c>
      <c r="L659" t="s">
        <v>1459</v>
      </c>
      <c r="M659">
        <v>4</v>
      </c>
      <c r="N659">
        <v>1</v>
      </c>
      <c r="O659">
        <v>0.7</v>
      </c>
      <c r="P659" t="b">
        <v>0</v>
      </c>
    </row>
    <row r="660" spans="1:16" x14ac:dyDescent="0.2">
      <c r="A660" t="s">
        <v>512</v>
      </c>
      <c r="B660" t="s">
        <v>292</v>
      </c>
      <c r="C660" t="s">
        <v>9</v>
      </c>
      <c r="D660" t="s">
        <v>293</v>
      </c>
      <c r="E660" t="s">
        <v>26</v>
      </c>
      <c r="F660">
        <v>14609</v>
      </c>
      <c r="G660" t="s">
        <v>27</v>
      </c>
      <c r="H660" t="s">
        <v>1460</v>
      </c>
      <c r="I660" s="1">
        <v>42003</v>
      </c>
      <c r="J660" s="1">
        <v>42008</v>
      </c>
      <c r="K660">
        <v>4</v>
      </c>
      <c r="L660" t="s">
        <v>1461</v>
      </c>
      <c r="M660">
        <v>3</v>
      </c>
      <c r="N660">
        <v>0</v>
      </c>
      <c r="O660">
        <v>0</v>
      </c>
      <c r="P660" t="b">
        <v>1</v>
      </c>
    </row>
    <row r="661" spans="1:16" x14ac:dyDescent="0.2">
      <c r="A661" t="s">
        <v>512</v>
      </c>
      <c r="B661" t="s">
        <v>292</v>
      </c>
      <c r="C661" t="s">
        <v>9</v>
      </c>
      <c r="D661" t="s">
        <v>293</v>
      </c>
      <c r="E661" t="s">
        <v>26</v>
      </c>
      <c r="F661">
        <v>14609</v>
      </c>
      <c r="G661" t="s">
        <v>27</v>
      </c>
      <c r="H661" t="s">
        <v>1460</v>
      </c>
      <c r="I661" s="1">
        <v>42003</v>
      </c>
      <c r="J661" s="1">
        <v>42008</v>
      </c>
      <c r="K661">
        <v>4</v>
      </c>
      <c r="L661" t="s">
        <v>726</v>
      </c>
      <c r="M661">
        <v>7</v>
      </c>
      <c r="N661">
        <v>1</v>
      </c>
      <c r="O661">
        <v>0.2</v>
      </c>
      <c r="P661" t="b">
        <v>0</v>
      </c>
    </row>
    <row r="662" spans="1:16" x14ac:dyDescent="0.2">
      <c r="A662" t="s">
        <v>432</v>
      </c>
      <c r="B662" t="s">
        <v>174</v>
      </c>
      <c r="C662" t="s">
        <v>9</v>
      </c>
      <c r="D662" t="s">
        <v>16</v>
      </c>
      <c r="E662" t="s">
        <v>17</v>
      </c>
      <c r="F662">
        <v>94109</v>
      </c>
      <c r="G662" t="s">
        <v>18</v>
      </c>
      <c r="H662" t="s">
        <v>1462</v>
      </c>
      <c r="I662" s="1">
        <v>42446</v>
      </c>
      <c r="J662" s="1">
        <v>42448</v>
      </c>
      <c r="K662">
        <v>3</v>
      </c>
      <c r="L662" t="s">
        <v>1463</v>
      </c>
      <c r="M662">
        <v>2</v>
      </c>
      <c r="N662">
        <v>1</v>
      </c>
      <c r="O662">
        <v>0.2</v>
      </c>
      <c r="P662" t="b">
        <v>0</v>
      </c>
    </row>
    <row r="663" spans="1:16" x14ac:dyDescent="0.2">
      <c r="A663" t="s">
        <v>478</v>
      </c>
      <c r="B663" t="s">
        <v>244</v>
      </c>
      <c r="C663" t="s">
        <v>150</v>
      </c>
      <c r="D663" t="s">
        <v>87</v>
      </c>
      <c r="E663" t="s">
        <v>22</v>
      </c>
      <c r="F663">
        <v>76017</v>
      </c>
      <c r="G663" t="s">
        <v>12</v>
      </c>
      <c r="H663" t="s">
        <v>1464</v>
      </c>
      <c r="I663" s="1">
        <v>42721</v>
      </c>
      <c r="J663" s="1">
        <v>42725</v>
      </c>
      <c r="K663">
        <v>4</v>
      </c>
      <c r="L663" t="s">
        <v>1120</v>
      </c>
      <c r="M663">
        <v>10</v>
      </c>
      <c r="N663">
        <v>1</v>
      </c>
      <c r="O663">
        <v>0.2</v>
      </c>
      <c r="P663" t="b">
        <v>0</v>
      </c>
    </row>
    <row r="664" spans="1:16" x14ac:dyDescent="0.2">
      <c r="A664" t="s">
        <v>478</v>
      </c>
      <c r="B664" t="s">
        <v>244</v>
      </c>
      <c r="C664" t="s">
        <v>150</v>
      </c>
      <c r="D664" t="s">
        <v>87</v>
      </c>
      <c r="E664" t="s">
        <v>22</v>
      </c>
      <c r="F664">
        <v>76017</v>
      </c>
      <c r="G664" t="s">
        <v>12</v>
      </c>
      <c r="H664" t="s">
        <v>1464</v>
      </c>
      <c r="I664" s="1">
        <v>42721</v>
      </c>
      <c r="J664" s="1">
        <v>42725</v>
      </c>
      <c r="K664">
        <v>4</v>
      </c>
      <c r="L664" t="s">
        <v>1465</v>
      </c>
      <c r="M664">
        <v>3</v>
      </c>
      <c r="N664">
        <v>1</v>
      </c>
      <c r="O664">
        <v>0.2</v>
      </c>
      <c r="P664" t="b">
        <v>0</v>
      </c>
    </row>
    <row r="665" spans="1:16" x14ac:dyDescent="0.2">
      <c r="A665" t="s">
        <v>517</v>
      </c>
      <c r="B665" t="s">
        <v>301</v>
      </c>
      <c r="C665" t="s">
        <v>9</v>
      </c>
      <c r="D665" t="s">
        <v>302</v>
      </c>
      <c r="E665" t="s">
        <v>124</v>
      </c>
      <c r="F665">
        <v>60016</v>
      </c>
      <c r="G665" t="s">
        <v>12</v>
      </c>
      <c r="H665" t="s">
        <v>1466</v>
      </c>
      <c r="I665" s="1">
        <v>42267</v>
      </c>
      <c r="J665" s="1">
        <v>42273</v>
      </c>
      <c r="K665">
        <v>4</v>
      </c>
      <c r="L665" t="s">
        <v>1467</v>
      </c>
      <c r="M665">
        <v>11</v>
      </c>
      <c r="N665">
        <v>1</v>
      </c>
      <c r="O665">
        <v>0.2</v>
      </c>
      <c r="P665" t="b">
        <v>0</v>
      </c>
    </row>
    <row r="666" spans="1:16" x14ac:dyDescent="0.2">
      <c r="A666" t="s">
        <v>501</v>
      </c>
      <c r="B666" t="s">
        <v>275</v>
      </c>
      <c r="C666" t="s">
        <v>9</v>
      </c>
      <c r="D666" t="s">
        <v>276</v>
      </c>
      <c r="E666" t="s">
        <v>31</v>
      </c>
      <c r="F666">
        <v>85301</v>
      </c>
      <c r="G666" t="s">
        <v>18</v>
      </c>
      <c r="H666" t="s">
        <v>1468</v>
      </c>
      <c r="I666" s="1">
        <v>41757</v>
      </c>
      <c r="J666" s="1">
        <v>41759</v>
      </c>
      <c r="K666">
        <v>4</v>
      </c>
      <c r="L666" t="s">
        <v>1469</v>
      </c>
      <c r="M666">
        <v>5</v>
      </c>
      <c r="N666">
        <v>1</v>
      </c>
      <c r="O666">
        <v>0.2</v>
      </c>
      <c r="P666" t="b">
        <v>0</v>
      </c>
    </row>
    <row r="667" spans="1:16" x14ac:dyDescent="0.2">
      <c r="A667" t="s">
        <v>560</v>
      </c>
      <c r="B667" t="s">
        <v>366</v>
      </c>
      <c r="C667" t="s">
        <v>9</v>
      </c>
      <c r="D667" t="s">
        <v>367</v>
      </c>
      <c r="E667" t="s">
        <v>184</v>
      </c>
      <c r="F667">
        <v>6010</v>
      </c>
      <c r="G667" t="s">
        <v>27</v>
      </c>
      <c r="H667" t="s">
        <v>1470</v>
      </c>
      <c r="I667" s="1">
        <v>41881</v>
      </c>
      <c r="J667" s="1">
        <v>41886</v>
      </c>
      <c r="K667">
        <v>1</v>
      </c>
      <c r="L667" t="s">
        <v>1471</v>
      </c>
      <c r="M667">
        <v>5</v>
      </c>
      <c r="N667">
        <v>0</v>
      </c>
      <c r="O667">
        <v>0</v>
      </c>
      <c r="P667" t="b">
        <v>0</v>
      </c>
    </row>
    <row r="668" spans="1:16" x14ac:dyDescent="0.2">
      <c r="A668" t="s">
        <v>560</v>
      </c>
      <c r="B668" t="s">
        <v>366</v>
      </c>
      <c r="C668" t="s">
        <v>9</v>
      </c>
      <c r="D668" t="s">
        <v>367</v>
      </c>
      <c r="E668" t="s">
        <v>184</v>
      </c>
      <c r="F668">
        <v>6010</v>
      </c>
      <c r="G668" t="s">
        <v>27</v>
      </c>
      <c r="H668" t="s">
        <v>1470</v>
      </c>
      <c r="I668" s="1">
        <v>41881</v>
      </c>
      <c r="J668" s="1">
        <v>41886</v>
      </c>
      <c r="K668">
        <v>1</v>
      </c>
      <c r="L668" t="s">
        <v>801</v>
      </c>
      <c r="M668">
        <v>3</v>
      </c>
      <c r="N668">
        <v>0</v>
      </c>
      <c r="O668">
        <v>0</v>
      </c>
      <c r="P668" t="b">
        <v>0</v>
      </c>
    </row>
    <row r="669" spans="1:16" x14ac:dyDescent="0.2">
      <c r="A669" t="s">
        <v>574</v>
      </c>
      <c r="B669" t="s">
        <v>573</v>
      </c>
      <c r="C669" t="s">
        <v>9</v>
      </c>
      <c r="D669" t="s">
        <v>38</v>
      </c>
      <c r="E669" t="s">
        <v>17</v>
      </c>
      <c r="F669">
        <v>90036</v>
      </c>
      <c r="G669" t="s">
        <v>18</v>
      </c>
      <c r="H669" t="s">
        <v>1472</v>
      </c>
      <c r="I669" s="1">
        <v>42134</v>
      </c>
      <c r="J669" s="1">
        <v>42139</v>
      </c>
      <c r="K669">
        <v>4</v>
      </c>
      <c r="L669" t="s">
        <v>1241</v>
      </c>
      <c r="M669">
        <v>4</v>
      </c>
      <c r="N669">
        <v>1</v>
      </c>
      <c r="O669">
        <v>0.2</v>
      </c>
      <c r="P669" t="b">
        <v>0</v>
      </c>
    </row>
    <row r="670" spans="1:16" x14ac:dyDescent="0.2">
      <c r="A670" t="s">
        <v>552</v>
      </c>
      <c r="B670" t="s">
        <v>353</v>
      </c>
      <c r="C670" t="s">
        <v>150</v>
      </c>
      <c r="D670" t="s">
        <v>354</v>
      </c>
      <c r="E670" t="s">
        <v>104</v>
      </c>
      <c r="F670">
        <v>46060</v>
      </c>
      <c r="G670" t="s">
        <v>12</v>
      </c>
      <c r="H670" t="s">
        <v>1473</v>
      </c>
      <c r="I670" s="1">
        <v>42685</v>
      </c>
      <c r="J670" s="1">
        <v>42691</v>
      </c>
      <c r="K670">
        <v>4</v>
      </c>
      <c r="L670" t="s">
        <v>1474</v>
      </c>
      <c r="M670">
        <v>6</v>
      </c>
      <c r="N670">
        <v>0</v>
      </c>
      <c r="O670">
        <v>0</v>
      </c>
      <c r="P670" t="b">
        <v>0</v>
      </c>
    </row>
    <row r="671" spans="1:16" x14ac:dyDescent="0.2">
      <c r="A671" t="s">
        <v>559</v>
      </c>
      <c r="B671" t="s">
        <v>364</v>
      </c>
      <c r="C671" t="s">
        <v>90</v>
      </c>
      <c r="D671" t="s">
        <v>365</v>
      </c>
      <c r="E671" t="s">
        <v>191</v>
      </c>
      <c r="F671">
        <v>7960</v>
      </c>
      <c r="G671" t="s">
        <v>27</v>
      </c>
      <c r="H671" t="s">
        <v>1475</v>
      </c>
      <c r="I671" s="1">
        <v>42923</v>
      </c>
      <c r="J671" s="1">
        <v>42927</v>
      </c>
      <c r="K671">
        <v>3</v>
      </c>
      <c r="L671" t="s">
        <v>1476</v>
      </c>
      <c r="M671">
        <v>3</v>
      </c>
      <c r="N671">
        <v>0</v>
      </c>
      <c r="O671">
        <v>0</v>
      </c>
      <c r="P671" t="b">
        <v>0</v>
      </c>
    </row>
    <row r="672" spans="1:16" x14ac:dyDescent="0.2">
      <c r="A672" t="s">
        <v>546</v>
      </c>
      <c r="B672" t="s">
        <v>342</v>
      </c>
      <c r="C672" t="s">
        <v>150</v>
      </c>
      <c r="D672" t="s">
        <v>343</v>
      </c>
      <c r="E672" t="s">
        <v>299</v>
      </c>
      <c r="F672">
        <v>36116</v>
      </c>
      <c r="G672" t="s">
        <v>47</v>
      </c>
      <c r="H672" t="s">
        <v>1477</v>
      </c>
      <c r="I672" s="1">
        <v>42706</v>
      </c>
      <c r="J672" s="1">
        <v>42712</v>
      </c>
      <c r="K672">
        <v>3</v>
      </c>
      <c r="L672" t="s">
        <v>1465</v>
      </c>
      <c r="M672">
        <v>3</v>
      </c>
      <c r="N672">
        <v>1</v>
      </c>
      <c r="O672">
        <v>0.2</v>
      </c>
      <c r="P672" t="b">
        <v>0</v>
      </c>
    </row>
    <row r="673" spans="1:16" x14ac:dyDescent="0.2">
      <c r="A673" t="s">
        <v>409</v>
      </c>
      <c r="B673" t="s">
        <v>133</v>
      </c>
      <c r="C673" t="s">
        <v>9</v>
      </c>
      <c r="D673" t="s">
        <v>134</v>
      </c>
      <c r="E673" t="s">
        <v>26</v>
      </c>
      <c r="F673">
        <v>10701</v>
      </c>
      <c r="G673" t="s">
        <v>27</v>
      </c>
      <c r="H673" t="s">
        <v>1478</v>
      </c>
      <c r="I673" s="1">
        <v>41703</v>
      </c>
      <c r="J673" s="1">
        <v>41706</v>
      </c>
      <c r="K673">
        <v>3</v>
      </c>
      <c r="L673" t="s">
        <v>1479</v>
      </c>
      <c r="M673">
        <v>3</v>
      </c>
      <c r="N673">
        <v>0</v>
      </c>
      <c r="O673">
        <v>0</v>
      </c>
      <c r="P673" t="b">
        <v>0</v>
      </c>
    </row>
    <row r="674" spans="1:16" x14ac:dyDescent="0.2">
      <c r="A674" t="s">
        <v>409</v>
      </c>
      <c r="B674" t="s">
        <v>133</v>
      </c>
      <c r="C674" t="s">
        <v>9</v>
      </c>
      <c r="D674" t="s">
        <v>134</v>
      </c>
      <c r="E674" t="s">
        <v>26</v>
      </c>
      <c r="F674">
        <v>10701</v>
      </c>
      <c r="G674" t="s">
        <v>27</v>
      </c>
      <c r="H674" t="s">
        <v>1478</v>
      </c>
      <c r="I674" s="1">
        <v>41703</v>
      </c>
      <c r="J674" s="1">
        <v>41706</v>
      </c>
      <c r="K674">
        <v>3</v>
      </c>
      <c r="L674" t="s">
        <v>1480</v>
      </c>
      <c r="M674">
        <v>3</v>
      </c>
      <c r="N674">
        <v>0</v>
      </c>
      <c r="O674">
        <v>0</v>
      </c>
      <c r="P674" t="b">
        <v>0</v>
      </c>
    </row>
    <row r="675" spans="1:16" x14ac:dyDescent="0.2">
      <c r="A675" t="s">
        <v>409</v>
      </c>
      <c r="B675" t="s">
        <v>133</v>
      </c>
      <c r="C675" t="s">
        <v>9</v>
      </c>
      <c r="D675" t="s">
        <v>134</v>
      </c>
      <c r="E675" t="s">
        <v>26</v>
      </c>
      <c r="F675">
        <v>10701</v>
      </c>
      <c r="G675" t="s">
        <v>27</v>
      </c>
      <c r="H675" t="s">
        <v>1478</v>
      </c>
      <c r="I675" s="1">
        <v>41703</v>
      </c>
      <c r="J675" s="1">
        <v>41706</v>
      </c>
      <c r="K675">
        <v>3</v>
      </c>
      <c r="L675" t="s">
        <v>730</v>
      </c>
      <c r="M675">
        <v>2</v>
      </c>
      <c r="N675">
        <v>0</v>
      </c>
      <c r="O675">
        <v>0</v>
      </c>
      <c r="P675" t="b">
        <v>0</v>
      </c>
    </row>
    <row r="676" spans="1:16" x14ac:dyDescent="0.2">
      <c r="A676" t="s">
        <v>409</v>
      </c>
      <c r="B676" t="s">
        <v>133</v>
      </c>
      <c r="C676" t="s">
        <v>9</v>
      </c>
      <c r="D676" t="s">
        <v>134</v>
      </c>
      <c r="E676" t="s">
        <v>26</v>
      </c>
      <c r="F676">
        <v>10701</v>
      </c>
      <c r="G676" t="s">
        <v>27</v>
      </c>
      <c r="H676" t="s">
        <v>1478</v>
      </c>
      <c r="I676" s="1">
        <v>41703</v>
      </c>
      <c r="J676" s="1">
        <v>41706</v>
      </c>
      <c r="K676">
        <v>3</v>
      </c>
      <c r="L676" t="s">
        <v>968</v>
      </c>
      <c r="M676">
        <v>6</v>
      </c>
      <c r="N676">
        <v>1</v>
      </c>
      <c r="O676">
        <v>0.2</v>
      </c>
      <c r="P676" t="b">
        <v>0</v>
      </c>
    </row>
    <row r="677" spans="1:16" x14ac:dyDescent="0.2">
      <c r="A677" t="s">
        <v>409</v>
      </c>
      <c r="B677" t="s">
        <v>133</v>
      </c>
      <c r="C677" t="s">
        <v>9</v>
      </c>
      <c r="D677" t="s">
        <v>134</v>
      </c>
      <c r="E677" t="s">
        <v>26</v>
      </c>
      <c r="F677">
        <v>10701</v>
      </c>
      <c r="G677" t="s">
        <v>27</v>
      </c>
      <c r="H677" t="s">
        <v>1478</v>
      </c>
      <c r="I677" s="1">
        <v>41703</v>
      </c>
      <c r="J677" s="1">
        <v>41706</v>
      </c>
      <c r="K677">
        <v>3</v>
      </c>
      <c r="L677" t="s">
        <v>1098</v>
      </c>
      <c r="M677">
        <v>2</v>
      </c>
      <c r="N677">
        <v>0</v>
      </c>
      <c r="O677">
        <v>0</v>
      </c>
      <c r="P677" t="b">
        <v>0</v>
      </c>
    </row>
    <row r="678" spans="1:16" x14ac:dyDescent="0.2">
      <c r="A678" t="s">
        <v>572</v>
      </c>
      <c r="B678" t="s">
        <v>571</v>
      </c>
      <c r="C678" t="s">
        <v>150</v>
      </c>
      <c r="D678" t="s">
        <v>212</v>
      </c>
      <c r="E678" t="s">
        <v>166</v>
      </c>
      <c r="F678">
        <v>33710</v>
      </c>
      <c r="G678" t="s">
        <v>47</v>
      </c>
      <c r="H678" t="s">
        <v>1481</v>
      </c>
      <c r="I678" s="1">
        <v>42254</v>
      </c>
      <c r="J678" s="1">
        <v>42259</v>
      </c>
      <c r="K678">
        <v>4</v>
      </c>
      <c r="L678" t="s">
        <v>1482</v>
      </c>
      <c r="M678">
        <v>3</v>
      </c>
      <c r="N678">
        <v>0</v>
      </c>
      <c r="O678">
        <v>0</v>
      </c>
      <c r="P678" t="b">
        <v>0</v>
      </c>
    </row>
    <row r="679" spans="1:16" x14ac:dyDescent="0.2">
      <c r="A679" t="s">
        <v>572</v>
      </c>
      <c r="B679" t="s">
        <v>571</v>
      </c>
      <c r="C679" t="s">
        <v>150</v>
      </c>
      <c r="D679" t="s">
        <v>121</v>
      </c>
      <c r="E679" t="s">
        <v>22</v>
      </c>
      <c r="F679">
        <v>77095</v>
      </c>
      <c r="G679" t="s">
        <v>12</v>
      </c>
      <c r="H679" t="s">
        <v>1481</v>
      </c>
      <c r="I679" s="1">
        <v>42254</v>
      </c>
      <c r="J679" s="1">
        <v>42259</v>
      </c>
      <c r="K679">
        <v>4</v>
      </c>
      <c r="L679" t="s">
        <v>1482</v>
      </c>
      <c r="M679">
        <v>3</v>
      </c>
      <c r="N679">
        <v>0</v>
      </c>
      <c r="O679">
        <v>0</v>
      </c>
      <c r="P679" t="b">
        <v>0</v>
      </c>
    </row>
    <row r="680" spans="1:16" x14ac:dyDescent="0.2">
      <c r="A680" t="s">
        <v>572</v>
      </c>
      <c r="B680" t="s">
        <v>571</v>
      </c>
      <c r="C680" t="s">
        <v>150</v>
      </c>
      <c r="D680" t="s">
        <v>212</v>
      </c>
      <c r="E680" t="s">
        <v>166</v>
      </c>
      <c r="F680">
        <v>33710</v>
      </c>
      <c r="G680" t="s">
        <v>47</v>
      </c>
      <c r="H680" t="s">
        <v>1481</v>
      </c>
      <c r="I680" s="1">
        <v>42254</v>
      </c>
      <c r="J680" s="1">
        <v>42259</v>
      </c>
      <c r="K680">
        <v>4</v>
      </c>
      <c r="L680" t="s">
        <v>1483</v>
      </c>
      <c r="M680">
        <v>5</v>
      </c>
      <c r="N680">
        <v>0</v>
      </c>
      <c r="O680">
        <v>0</v>
      </c>
      <c r="P680" t="b">
        <v>0</v>
      </c>
    </row>
    <row r="681" spans="1:16" x14ac:dyDescent="0.2">
      <c r="A681" t="s">
        <v>572</v>
      </c>
      <c r="B681" t="s">
        <v>571</v>
      </c>
      <c r="C681" t="s">
        <v>150</v>
      </c>
      <c r="D681" t="s">
        <v>121</v>
      </c>
      <c r="E681" t="s">
        <v>22</v>
      </c>
      <c r="F681">
        <v>77095</v>
      </c>
      <c r="G681" t="s">
        <v>12</v>
      </c>
      <c r="H681" t="s">
        <v>1481</v>
      </c>
      <c r="I681" s="1">
        <v>42254</v>
      </c>
      <c r="J681" s="1">
        <v>42259</v>
      </c>
      <c r="K681">
        <v>4</v>
      </c>
      <c r="L681" t="s">
        <v>1483</v>
      </c>
      <c r="M681">
        <v>5</v>
      </c>
      <c r="N681">
        <v>0</v>
      </c>
      <c r="O681">
        <v>0</v>
      </c>
      <c r="P681" t="b">
        <v>0</v>
      </c>
    </row>
    <row r="682" spans="1:16" x14ac:dyDescent="0.2">
      <c r="A682" t="s">
        <v>572</v>
      </c>
      <c r="B682" t="s">
        <v>571</v>
      </c>
      <c r="C682" t="s">
        <v>150</v>
      </c>
      <c r="D682" t="s">
        <v>212</v>
      </c>
      <c r="E682" t="s">
        <v>166</v>
      </c>
      <c r="F682">
        <v>33710</v>
      </c>
      <c r="G682" t="s">
        <v>47</v>
      </c>
      <c r="H682" t="s">
        <v>1481</v>
      </c>
      <c r="I682" s="1">
        <v>42254</v>
      </c>
      <c r="J682" s="1">
        <v>42259</v>
      </c>
      <c r="K682">
        <v>4</v>
      </c>
      <c r="L682" t="s">
        <v>1484</v>
      </c>
      <c r="M682">
        <v>2</v>
      </c>
      <c r="N682">
        <v>1</v>
      </c>
      <c r="O682">
        <v>0.2</v>
      </c>
      <c r="P682" t="b">
        <v>0</v>
      </c>
    </row>
    <row r="683" spans="1:16" x14ac:dyDescent="0.2">
      <c r="A683" t="s">
        <v>572</v>
      </c>
      <c r="B683" t="s">
        <v>571</v>
      </c>
      <c r="C683" t="s">
        <v>150</v>
      </c>
      <c r="D683" t="s">
        <v>121</v>
      </c>
      <c r="E683" t="s">
        <v>22</v>
      </c>
      <c r="F683">
        <v>77095</v>
      </c>
      <c r="G683" t="s">
        <v>12</v>
      </c>
      <c r="H683" t="s">
        <v>1481</v>
      </c>
      <c r="I683" s="1">
        <v>42254</v>
      </c>
      <c r="J683" s="1">
        <v>42259</v>
      </c>
      <c r="K683">
        <v>4</v>
      </c>
      <c r="L683" t="s">
        <v>1484</v>
      </c>
      <c r="M683">
        <v>2</v>
      </c>
      <c r="N683">
        <v>1</v>
      </c>
      <c r="O683">
        <v>0.2</v>
      </c>
      <c r="P683" t="b">
        <v>0</v>
      </c>
    </row>
    <row r="684" spans="1:16" x14ac:dyDescent="0.2">
      <c r="A684" t="s">
        <v>572</v>
      </c>
      <c r="B684" t="s">
        <v>571</v>
      </c>
      <c r="C684" t="s">
        <v>150</v>
      </c>
      <c r="D684" t="s">
        <v>212</v>
      </c>
      <c r="E684" t="s">
        <v>166</v>
      </c>
      <c r="F684">
        <v>33710</v>
      </c>
      <c r="G684" t="s">
        <v>47</v>
      </c>
      <c r="H684" t="s">
        <v>1481</v>
      </c>
      <c r="I684" s="1">
        <v>42254</v>
      </c>
      <c r="J684" s="1">
        <v>42259</v>
      </c>
      <c r="K684">
        <v>4</v>
      </c>
      <c r="L684" t="s">
        <v>1485</v>
      </c>
      <c r="M684">
        <v>2</v>
      </c>
      <c r="N684">
        <v>1</v>
      </c>
      <c r="O684">
        <v>0.4</v>
      </c>
      <c r="P684" t="b">
        <v>0</v>
      </c>
    </row>
    <row r="685" spans="1:16" x14ac:dyDescent="0.2">
      <c r="A685" t="s">
        <v>572</v>
      </c>
      <c r="B685" t="s">
        <v>571</v>
      </c>
      <c r="C685" t="s">
        <v>150</v>
      </c>
      <c r="D685" t="s">
        <v>121</v>
      </c>
      <c r="E685" t="s">
        <v>22</v>
      </c>
      <c r="F685">
        <v>77095</v>
      </c>
      <c r="G685" t="s">
        <v>12</v>
      </c>
      <c r="H685" t="s">
        <v>1481</v>
      </c>
      <c r="I685" s="1">
        <v>42254</v>
      </c>
      <c r="J685" s="1">
        <v>42259</v>
      </c>
      <c r="K685">
        <v>4</v>
      </c>
      <c r="L685" t="s">
        <v>1485</v>
      </c>
      <c r="M685">
        <v>2</v>
      </c>
      <c r="N685">
        <v>1</v>
      </c>
      <c r="O685">
        <v>0.4</v>
      </c>
      <c r="P685" t="b">
        <v>0</v>
      </c>
    </row>
    <row r="686" spans="1:16" x14ac:dyDescent="0.2">
      <c r="A686" t="s">
        <v>572</v>
      </c>
      <c r="B686" t="s">
        <v>571</v>
      </c>
      <c r="C686" t="s">
        <v>150</v>
      </c>
      <c r="D686" t="s">
        <v>212</v>
      </c>
      <c r="E686" t="s">
        <v>166</v>
      </c>
      <c r="F686">
        <v>33710</v>
      </c>
      <c r="G686" t="s">
        <v>47</v>
      </c>
      <c r="H686" t="s">
        <v>1481</v>
      </c>
      <c r="I686" s="1">
        <v>42254</v>
      </c>
      <c r="J686" s="1">
        <v>42259</v>
      </c>
      <c r="K686">
        <v>4</v>
      </c>
      <c r="L686" t="s">
        <v>1486</v>
      </c>
      <c r="M686">
        <v>4</v>
      </c>
      <c r="N686">
        <v>0</v>
      </c>
      <c r="O686">
        <v>0</v>
      </c>
      <c r="P686" t="b">
        <v>0</v>
      </c>
    </row>
    <row r="687" spans="1:16" x14ac:dyDescent="0.2">
      <c r="A687" t="s">
        <v>572</v>
      </c>
      <c r="B687" t="s">
        <v>571</v>
      </c>
      <c r="C687" t="s">
        <v>150</v>
      </c>
      <c r="D687" t="s">
        <v>121</v>
      </c>
      <c r="E687" t="s">
        <v>22</v>
      </c>
      <c r="F687">
        <v>77095</v>
      </c>
      <c r="G687" t="s">
        <v>12</v>
      </c>
      <c r="H687" t="s">
        <v>1481</v>
      </c>
      <c r="I687" s="1">
        <v>42254</v>
      </c>
      <c r="J687" s="1">
        <v>42259</v>
      </c>
      <c r="K687">
        <v>4</v>
      </c>
      <c r="L687" t="s">
        <v>1486</v>
      </c>
      <c r="M687">
        <v>4</v>
      </c>
      <c r="N687">
        <v>0</v>
      </c>
      <c r="O687">
        <v>0</v>
      </c>
      <c r="P687" t="b">
        <v>0</v>
      </c>
    </row>
    <row r="688" spans="1:16" x14ac:dyDescent="0.2">
      <c r="A688" t="s">
        <v>574</v>
      </c>
      <c r="B688" t="s">
        <v>573</v>
      </c>
      <c r="C688" t="s">
        <v>9</v>
      </c>
      <c r="D688" t="s">
        <v>38</v>
      </c>
      <c r="E688" t="s">
        <v>17</v>
      </c>
      <c r="F688">
        <v>90036</v>
      </c>
      <c r="G688" t="s">
        <v>18</v>
      </c>
      <c r="H688" t="s">
        <v>1487</v>
      </c>
      <c r="I688" s="1">
        <v>42824</v>
      </c>
      <c r="J688" s="1">
        <v>42826</v>
      </c>
      <c r="K688">
        <v>3</v>
      </c>
      <c r="L688" t="s">
        <v>1488</v>
      </c>
      <c r="M688">
        <v>5</v>
      </c>
      <c r="N688">
        <v>0</v>
      </c>
      <c r="O688">
        <v>0</v>
      </c>
      <c r="P688" t="b">
        <v>0</v>
      </c>
    </row>
    <row r="689" spans="1:16" x14ac:dyDescent="0.2">
      <c r="A689" t="s">
        <v>501</v>
      </c>
      <c r="B689" t="s">
        <v>275</v>
      </c>
      <c r="C689" t="s">
        <v>9</v>
      </c>
      <c r="D689" t="s">
        <v>276</v>
      </c>
      <c r="E689" t="s">
        <v>31</v>
      </c>
      <c r="F689">
        <v>85301</v>
      </c>
      <c r="G689" t="s">
        <v>18</v>
      </c>
      <c r="H689" t="s">
        <v>1489</v>
      </c>
      <c r="I689" s="1">
        <v>42358</v>
      </c>
      <c r="J689" s="1">
        <v>42363</v>
      </c>
      <c r="K689">
        <v>4</v>
      </c>
      <c r="L689" t="s">
        <v>1490</v>
      </c>
      <c r="M689">
        <v>4</v>
      </c>
      <c r="N689">
        <v>0</v>
      </c>
      <c r="O689">
        <v>0</v>
      </c>
      <c r="P689" t="b">
        <v>0</v>
      </c>
    </row>
    <row r="690" spans="1:16" x14ac:dyDescent="0.2">
      <c r="A690" t="s">
        <v>475</v>
      </c>
      <c r="B690" t="s">
        <v>240</v>
      </c>
      <c r="C690" t="s">
        <v>150</v>
      </c>
      <c r="D690" t="s">
        <v>108</v>
      </c>
      <c r="E690" t="s">
        <v>230</v>
      </c>
      <c r="F690">
        <v>89015</v>
      </c>
      <c r="G690" t="s">
        <v>18</v>
      </c>
      <c r="H690" t="s">
        <v>1491</v>
      </c>
      <c r="I690" s="1">
        <v>42547</v>
      </c>
      <c r="J690" s="1">
        <v>42547</v>
      </c>
      <c r="K690">
        <v>2</v>
      </c>
      <c r="L690" t="s">
        <v>1327</v>
      </c>
      <c r="M690">
        <v>2</v>
      </c>
      <c r="N690">
        <v>0</v>
      </c>
      <c r="O690">
        <v>0</v>
      </c>
      <c r="P690" t="b">
        <v>0</v>
      </c>
    </row>
    <row r="691" spans="1:16" x14ac:dyDescent="0.2">
      <c r="A691" t="s">
        <v>475</v>
      </c>
      <c r="B691" t="s">
        <v>240</v>
      </c>
      <c r="C691" t="s">
        <v>150</v>
      </c>
      <c r="D691" t="s">
        <v>108</v>
      </c>
      <c r="E691" t="s">
        <v>230</v>
      </c>
      <c r="F691">
        <v>89015</v>
      </c>
      <c r="G691" t="s">
        <v>18</v>
      </c>
      <c r="H691" t="s">
        <v>1491</v>
      </c>
      <c r="I691" s="1">
        <v>42547</v>
      </c>
      <c r="J691" s="1">
        <v>42547</v>
      </c>
      <c r="K691">
        <v>2</v>
      </c>
      <c r="L691" t="s">
        <v>1492</v>
      </c>
      <c r="M691">
        <v>5</v>
      </c>
      <c r="N691">
        <v>0</v>
      </c>
      <c r="O691">
        <v>0</v>
      </c>
      <c r="P691" t="b">
        <v>0</v>
      </c>
    </row>
    <row r="692" spans="1:16" x14ac:dyDescent="0.2">
      <c r="A692" t="s">
        <v>475</v>
      </c>
      <c r="B692" t="s">
        <v>240</v>
      </c>
      <c r="C692" t="s">
        <v>150</v>
      </c>
      <c r="D692" t="s">
        <v>108</v>
      </c>
      <c r="E692" t="s">
        <v>230</v>
      </c>
      <c r="F692">
        <v>89015</v>
      </c>
      <c r="G692" t="s">
        <v>18</v>
      </c>
      <c r="H692" t="s">
        <v>1491</v>
      </c>
      <c r="I692" s="1">
        <v>42547</v>
      </c>
      <c r="J692" s="1">
        <v>42547</v>
      </c>
      <c r="K692">
        <v>2</v>
      </c>
      <c r="L692" t="s">
        <v>1493</v>
      </c>
      <c r="M692">
        <v>2</v>
      </c>
      <c r="N692">
        <v>0</v>
      </c>
      <c r="O692">
        <v>0</v>
      </c>
      <c r="P692" t="b">
        <v>0</v>
      </c>
    </row>
    <row r="693" spans="1:16" x14ac:dyDescent="0.2">
      <c r="A693" t="s">
        <v>567</v>
      </c>
      <c r="B693" t="s">
        <v>378</v>
      </c>
      <c r="C693" t="s">
        <v>150</v>
      </c>
      <c r="D693" t="s">
        <v>97</v>
      </c>
      <c r="E693" t="s">
        <v>67</v>
      </c>
      <c r="F693">
        <v>19140</v>
      </c>
      <c r="G693" t="s">
        <v>27</v>
      </c>
      <c r="H693" t="s">
        <v>1494</v>
      </c>
      <c r="I693" s="1">
        <v>41999</v>
      </c>
      <c r="J693" s="1">
        <v>42003</v>
      </c>
      <c r="K693">
        <v>2</v>
      </c>
      <c r="L693" t="s">
        <v>1495</v>
      </c>
      <c r="M693">
        <v>3</v>
      </c>
      <c r="N693">
        <v>1</v>
      </c>
      <c r="O693">
        <v>0.2</v>
      </c>
      <c r="P693" t="b">
        <v>0</v>
      </c>
    </row>
    <row r="694" spans="1:16" x14ac:dyDescent="0.2">
      <c r="A694" t="s">
        <v>565</v>
      </c>
      <c r="B694" t="s">
        <v>375</v>
      </c>
      <c r="C694" t="s">
        <v>90</v>
      </c>
      <c r="D694" t="s">
        <v>121</v>
      </c>
      <c r="E694" t="s">
        <v>22</v>
      </c>
      <c r="F694">
        <v>77070</v>
      </c>
      <c r="G694" t="s">
        <v>12</v>
      </c>
      <c r="H694" t="s">
        <v>1496</v>
      </c>
      <c r="I694" s="1">
        <v>42533</v>
      </c>
      <c r="J694" s="1">
        <v>42537</v>
      </c>
      <c r="K694">
        <v>3</v>
      </c>
      <c r="L694" t="s">
        <v>1497</v>
      </c>
      <c r="M694">
        <v>4</v>
      </c>
      <c r="N694">
        <v>1</v>
      </c>
      <c r="O694">
        <v>0.8</v>
      </c>
      <c r="P694" t="b">
        <v>0</v>
      </c>
    </row>
    <row r="695" spans="1:16" x14ac:dyDescent="0.2">
      <c r="A695" t="s">
        <v>565</v>
      </c>
      <c r="B695" t="s">
        <v>375</v>
      </c>
      <c r="C695" t="s">
        <v>90</v>
      </c>
      <c r="D695" t="s">
        <v>121</v>
      </c>
      <c r="E695" t="s">
        <v>22</v>
      </c>
      <c r="F695">
        <v>77070</v>
      </c>
      <c r="G695" t="s">
        <v>12</v>
      </c>
      <c r="H695" t="s">
        <v>1496</v>
      </c>
      <c r="I695" s="1">
        <v>42533</v>
      </c>
      <c r="J695" s="1">
        <v>42537</v>
      </c>
      <c r="K695">
        <v>3</v>
      </c>
      <c r="L695" t="s">
        <v>1498</v>
      </c>
      <c r="M695">
        <v>2</v>
      </c>
      <c r="N695">
        <v>1</v>
      </c>
      <c r="O695">
        <v>0.6</v>
      </c>
      <c r="P695" t="b">
        <v>1</v>
      </c>
    </row>
    <row r="696" spans="1:16" x14ac:dyDescent="0.2">
      <c r="A696" t="s">
        <v>565</v>
      </c>
      <c r="B696" t="s">
        <v>375</v>
      </c>
      <c r="C696" t="s">
        <v>90</v>
      </c>
      <c r="D696" t="s">
        <v>121</v>
      </c>
      <c r="E696" t="s">
        <v>22</v>
      </c>
      <c r="F696">
        <v>77070</v>
      </c>
      <c r="G696" t="s">
        <v>12</v>
      </c>
      <c r="H696" t="s">
        <v>1496</v>
      </c>
      <c r="I696" s="1">
        <v>42533</v>
      </c>
      <c r="J696" s="1">
        <v>42537</v>
      </c>
      <c r="K696">
        <v>3</v>
      </c>
      <c r="L696" t="s">
        <v>1259</v>
      </c>
      <c r="M696">
        <v>8</v>
      </c>
      <c r="N696">
        <v>1</v>
      </c>
      <c r="O696">
        <v>0.2</v>
      </c>
      <c r="P696" t="b">
        <v>0</v>
      </c>
    </row>
    <row r="697" spans="1:16" x14ac:dyDescent="0.2">
      <c r="A697" t="s">
        <v>565</v>
      </c>
      <c r="B697" t="s">
        <v>375</v>
      </c>
      <c r="C697" t="s">
        <v>90</v>
      </c>
      <c r="D697" t="s">
        <v>121</v>
      </c>
      <c r="E697" t="s">
        <v>22</v>
      </c>
      <c r="F697">
        <v>77070</v>
      </c>
      <c r="G697" t="s">
        <v>12</v>
      </c>
      <c r="H697" t="s">
        <v>1496</v>
      </c>
      <c r="I697" s="1">
        <v>42533</v>
      </c>
      <c r="J697" s="1">
        <v>42537</v>
      </c>
      <c r="K697">
        <v>3</v>
      </c>
      <c r="L697" t="s">
        <v>1499</v>
      </c>
      <c r="M697">
        <v>3</v>
      </c>
      <c r="N697">
        <v>1</v>
      </c>
      <c r="O697">
        <v>0.2</v>
      </c>
      <c r="P697" t="b">
        <v>0</v>
      </c>
    </row>
    <row r="698" spans="1:16" x14ac:dyDescent="0.2">
      <c r="A698" t="s">
        <v>565</v>
      </c>
      <c r="B698" t="s">
        <v>375</v>
      </c>
      <c r="C698" t="s">
        <v>90</v>
      </c>
      <c r="D698" t="s">
        <v>121</v>
      </c>
      <c r="E698" t="s">
        <v>22</v>
      </c>
      <c r="F698">
        <v>77070</v>
      </c>
      <c r="G698" t="s">
        <v>12</v>
      </c>
      <c r="H698" t="s">
        <v>1496</v>
      </c>
      <c r="I698" s="1">
        <v>42533</v>
      </c>
      <c r="J698" s="1">
        <v>42537</v>
      </c>
      <c r="K698">
        <v>3</v>
      </c>
      <c r="L698" t="s">
        <v>1500</v>
      </c>
      <c r="M698">
        <v>2</v>
      </c>
      <c r="N698">
        <v>1</v>
      </c>
      <c r="O698">
        <v>0.3</v>
      </c>
      <c r="P698" t="b">
        <v>0</v>
      </c>
    </row>
    <row r="699" spans="1:16" x14ac:dyDescent="0.2">
      <c r="A699" t="s">
        <v>565</v>
      </c>
      <c r="B699" t="s">
        <v>375</v>
      </c>
      <c r="C699" t="s">
        <v>90</v>
      </c>
      <c r="D699" t="s">
        <v>121</v>
      </c>
      <c r="E699" t="s">
        <v>22</v>
      </c>
      <c r="F699">
        <v>77070</v>
      </c>
      <c r="G699" t="s">
        <v>12</v>
      </c>
      <c r="H699" t="s">
        <v>1496</v>
      </c>
      <c r="I699" s="1">
        <v>42533</v>
      </c>
      <c r="J699" s="1">
        <v>42537</v>
      </c>
      <c r="K699">
        <v>3</v>
      </c>
      <c r="L699" t="s">
        <v>1501</v>
      </c>
      <c r="M699">
        <v>9</v>
      </c>
      <c r="N699">
        <v>1</v>
      </c>
      <c r="O699">
        <v>0.2</v>
      </c>
      <c r="P699" t="b">
        <v>0</v>
      </c>
    </row>
    <row r="700" spans="1:16" x14ac:dyDescent="0.2">
      <c r="A700" t="s">
        <v>565</v>
      </c>
      <c r="B700" t="s">
        <v>375</v>
      </c>
      <c r="C700" t="s">
        <v>90</v>
      </c>
      <c r="D700" t="s">
        <v>121</v>
      </c>
      <c r="E700" t="s">
        <v>22</v>
      </c>
      <c r="F700">
        <v>77070</v>
      </c>
      <c r="G700" t="s">
        <v>12</v>
      </c>
      <c r="H700" t="s">
        <v>1496</v>
      </c>
      <c r="I700" s="1">
        <v>42533</v>
      </c>
      <c r="J700" s="1">
        <v>42537</v>
      </c>
      <c r="K700">
        <v>3</v>
      </c>
      <c r="L700" t="s">
        <v>900</v>
      </c>
      <c r="M700">
        <v>2</v>
      </c>
      <c r="N700">
        <v>1</v>
      </c>
      <c r="O700">
        <v>0.8</v>
      </c>
      <c r="P700" t="b">
        <v>0</v>
      </c>
    </row>
    <row r="701" spans="1:16" x14ac:dyDescent="0.2">
      <c r="A701" t="s">
        <v>464</v>
      </c>
      <c r="B701" t="s">
        <v>223</v>
      </c>
      <c r="C701" t="s">
        <v>90</v>
      </c>
      <c r="D701" t="s">
        <v>153</v>
      </c>
      <c r="E701" t="s">
        <v>124</v>
      </c>
      <c r="F701">
        <v>60623</v>
      </c>
      <c r="G701" t="s">
        <v>12</v>
      </c>
      <c r="H701" t="s">
        <v>1502</v>
      </c>
      <c r="I701" s="1">
        <v>42317</v>
      </c>
      <c r="J701" s="1">
        <v>42317</v>
      </c>
      <c r="K701">
        <v>1</v>
      </c>
      <c r="L701" t="s">
        <v>1503</v>
      </c>
      <c r="M701">
        <v>3</v>
      </c>
      <c r="N701">
        <v>0</v>
      </c>
      <c r="O701">
        <v>0</v>
      </c>
      <c r="P701" t="b">
        <v>0</v>
      </c>
    </row>
    <row r="702" spans="1:16" x14ac:dyDescent="0.2">
      <c r="A702" t="s">
        <v>555</v>
      </c>
      <c r="B702" t="s">
        <v>359</v>
      </c>
      <c r="C702" t="s">
        <v>90</v>
      </c>
      <c r="D702" t="s">
        <v>242</v>
      </c>
      <c r="E702" t="s">
        <v>53</v>
      </c>
      <c r="F702">
        <v>37918</v>
      </c>
      <c r="G702" t="s">
        <v>47</v>
      </c>
      <c r="H702" t="s">
        <v>1504</v>
      </c>
      <c r="I702" s="1">
        <v>42811</v>
      </c>
      <c r="J702" s="1">
        <v>42817</v>
      </c>
      <c r="K702">
        <v>4</v>
      </c>
      <c r="L702" t="s">
        <v>810</v>
      </c>
      <c r="M702">
        <v>2</v>
      </c>
      <c r="N702">
        <v>1</v>
      </c>
      <c r="O702">
        <v>0.2</v>
      </c>
      <c r="P702" t="b">
        <v>0</v>
      </c>
    </row>
    <row r="703" spans="1:16" x14ac:dyDescent="0.2">
      <c r="A703" t="s">
        <v>572</v>
      </c>
      <c r="B703" t="s">
        <v>571</v>
      </c>
      <c r="C703" t="s">
        <v>150</v>
      </c>
      <c r="D703" t="s">
        <v>212</v>
      </c>
      <c r="E703" t="s">
        <v>166</v>
      </c>
      <c r="F703">
        <v>33710</v>
      </c>
      <c r="G703" t="s">
        <v>47</v>
      </c>
      <c r="H703" t="s">
        <v>1505</v>
      </c>
      <c r="I703" s="1">
        <v>42253</v>
      </c>
      <c r="J703" s="1">
        <v>42259</v>
      </c>
      <c r="K703">
        <v>4</v>
      </c>
      <c r="L703" t="s">
        <v>997</v>
      </c>
      <c r="M703">
        <v>9</v>
      </c>
      <c r="N703">
        <v>0</v>
      </c>
      <c r="O703">
        <v>0</v>
      </c>
      <c r="P703" t="b">
        <v>0</v>
      </c>
    </row>
    <row r="704" spans="1:16" x14ac:dyDescent="0.2">
      <c r="A704" t="s">
        <v>572</v>
      </c>
      <c r="B704" t="s">
        <v>571</v>
      </c>
      <c r="C704" t="s">
        <v>150</v>
      </c>
      <c r="D704" t="s">
        <v>121</v>
      </c>
      <c r="E704" t="s">
        <v>22</v>
      </c>
      <c r="F704">
        <v>77095</v>
      </c>
      <c r="G704" t="s">
        <v>12</v>
      </c>
      <c r="H704" t="s">
        <v>1505</v>
      </c>
      <c r="I704" s="1">
        <v>42253</v>
      </c>
      <c r="J704" s="1">
        <v>42259</v>
      </c>
      <c r="K704">
        <v>4</v>
      </c>
      <c r="L704" t="s">
        <v>997</v>
      </c>
      <c r="M704">
        <v>9</v>
      </c>
      <c r="N704">
        <v>0</v>
      </c>
      <c r="O704">
        <v>0</v>
      </c>
      <c r="P704" t="b">
        <v>0</v>
      </c>
    </row>
    <row r="705" spans="1:16" x14ac:dyDescent="0.2">
      <c r="A705" t="s">
        <v>386</v>
      </c>
      <c r="B705" t="s">
        <v>88</v>
      </c>
      <c r="C705" t="s">
        <v>9</v>
      </c>
      <c r="D705" t="s">
        <v>82</v>
      </c>
      <c r="E705" t="s">
        <v>83</v>
      </c>
      <c r="F705">
        <v>73120</v>
      </c>
      <c r="G705" t="s">
        <v>12</v>
      </c>
      <c r="H705" t="s">
        <v>1506</v>
      </c>
      <c r="I705" s="1">
        <v>42684</v>
      </c>
      <c r="J705" s="1">
        <v>42686</v>
      </c>
      <c r="K705">
        <v>2</v>
      </c>
      <c r="L705" t="s">
        <v>1507</v>
      </c>
      <c r="M705">
        <v>2</v>
      </c>
      <c r="N705">
        <v>0</v>
      </c>
      <c r="O705">
        <v>0</v>
      </c>
      <c r="P705" t="b">
        <v>0</v>
      </c>
    </row>
    <row r="706" spans="1:16" x14ac:dyDescent="0.2">
      <c r="A706" t="s">
        <v>386</v>
      </c>
      <c r="B706" t="s">
        <v>88</v>
      </c>
      <c r="C706" t="s">
        <v>9</v>
      </c>
      <c r="D706" t="s">
        <v>82</v>
      </c>
      <c r="E706" t="s">
        <v>83</v>
      </c>
      <c r="F706">
        <v>73120</v>
      </c>
      <c r="G706" t="s">
        <v>12</v>
      </c>
      <c r="H706" t="s">
        <v>1506</v>
      </c>
      <c r="I706" s="1">
        <v>42684</v>
      </c>
      <c r="J706" s="1">
        <v>42686</v>
      </c>
      <c r="K706">
        <v>2</v>
      </c>
      <c r="L706" t="s">
        <v>1508</v>
      </c>
      <c r="M706">
        <v>2</v>
      </c>
      <c r="N706">
        <v>0</v>
      </c>
      <c r="O706">
        <v>0</v>
      </c>
      <c r="P706" t="b">
        <v>0</v>
      </c>
    </row>
    <row r="707" spans="1:16" x14ac:dyDescent="0.2">
      <c r="A707" t="s">
        <v>473</v>
      </c>
      <c r="B707" t="s">
        <v>238</v>
      </c>
      <c r="C707" t="s">
        <v>150</v>
      </c>
      <c r="D707" t="s">
        <v>25</v>
      </c>
      <c r="E707" t="s">
        <v>26</v>
      </c>
      <c r="F707">
        <v>10035</v>
      </c>
      <c r="G707" t="s">
        <v>27</v>
      </c>
      <c r="H707" t="s">
        <v>1509</v>
      </c>
      <c r="I707" s="1">
        <v>42004</v>
      </c>
      <c r="J707" s="1">
        <v>42005</v>
      </c>
      <c r="K707">
        <v>2</v>
      </c>
      <c r="L707" t="s">
        <v>1510</v>
      </c>
      <c r="M707">
        <v>3</v>
      </c>
      <c r="N707">
        <v>0</v>
      </c>
      <c r="O707">
        <v>0</v>
      </c>
      <c r="P707" t="b">
        <v>1</v>
      </c>
    </row>
    <row r="708" spans="1:16" x14ac:dyDescent="0.2">
      <c r="A708" t="s">
        <v>473</v>
      </c>
      <c r="B708" t="s">
        <v>238</v>
      </c>
      <c r="C708" t="s">
        <v>150</v>
      </c>
      <c r="D708" t="s">
        <v>25</v>
      </c>
      <c r="E708" t="s">
        <v>26</v>
      </c>
      <c r="F708">
        <v>10035</v>
      </c>
      <c r="G708" t="s">
        <v>27</v>
      </c>
      <c r="H708" t="s">
        <v>1509</v>
      </c>
      <c r="I708" s="1">
        <v>42004</v>
      </c>
      <c r="J708" s="1">
        <v>42005</v>
      </c>
      <c r="K708">
        <v>2</v>
      </c>
      <c r="L708" t="s">
        <v>1511</v>
      </c>
      <c r="M708">
        <v>3</v>
      </c>
      <c r="N708">
        <v>0</v>
      </c>
      <c r="O708">
        <v>0</v>
      </c>
      <c r="P708" t="b">
        <v>0</v>
      </c>
    </row>
    <row r="709" spans="1:16" x14ac:dyDescent="0.2">
      <c r="A709" t="s">
        <v>468</v>
      </c>
      <c r="B709" t="s">
        <v>228</v>
      </c>
      <c r="C709" t="s">
        <v>150</v>
      </c>
      <c r="D709" t="s">
        <v>229</v>
      </c>
      <c r="E709" t="s">
        <v>230</v>
      </c>
      <c r="F709">
        <v>89115</v>
      </c>
      <c r="G709" t="s">
        <v>18</v>
      </c>
      <c r="H709" t="s">
        <v>1512</v>
      </c>
      <c r="I709" s="1">
        <v>42357</v>
      </c>
      <c r="J709" s="1">
        <v>42360</v>
      </c>
      <c r="K709">
        <v>2</v>
      </c>
      <c r="L709" t="s">
        <v>810</v>
      </c>
      <c r="M709">
        <v>3</v>
      </c>
      <c r="N709">
        <v>1</v>
      </c>
      <c r="O709">
        <v>0.2</v>
      </c>
      <c r="P709" t="b">
        <v>0</v>
      </c>
    </row>
    <row r="710" spans="1:16" x14ac:dyDescent="0.2">
      <c r="A710" t="s">
        <v>514</v>
      </c>
      <c r="B710" t="s">
        <v>296</v>
      </c>
      <c r="C710" t="s">
        <v>150</v>
      </c>
      <c r="D710" t="s">
        <v>38</v>
      </c>
      <c r="E710" t="s">
        <v>17</v>
      </c>
      <c r="F710">
        <v>90032</v>
      </c>
      <c r="G710" t="s">
        <v>18</v>
      </c>
      <c r="H710" t="s">
        <v>1513</v>
      </c>
      <c r="I710" s="1">
        <v>42086</v>
      </c>
      <c r="J710" s="1">
        <v>42088</v>
      </c>
      <c r="K710">
        <v>1</v>
      </c>
      <c r="L710" t="s">
        <v>1514</v>
      </c>
      <c r="M710">
        <v>11</v>
      </c>
      <c r="N710">
        <v>0</v>
      </c>
      <c r="O710">
        <v>0</v>
      </c>
      <c r="P710" t="b">
        <v>0</v>
      </c>
    </row>
    <row r="711" spans="1:16" x14ac:dyDescent="0.2">
      <c r="A711" t="s">
        <v>514</v>
      </c>
      <c r="B711" t="s">
        <v>296</v>
      </c>
      <c r="C711" t="s">
        <v>150</v>
      </c>
      <c r="D711" t="s">
        <v>38</v>
      </c>
      <c r="E711" t="s">
        <v>17</v>
      </c>
      <c r="F711">
        <v>90032</v>
      </c>
      <c r="G711" t="s">
        <v>18</v>
      </c>
      <c r="H711" t="s">
        <v>1513</v>
      </c>
      <c r="I711" s="1">
        <v>42086</v>
      </c>
      <c r="J711" s="1">
        <v>42088</v>
      </c>
      <c r="K711">
        <v>1</v>
      </c>
      <c r="L711" t="s">
        <v>1134</v>
      </c>
      <c r="M711">
        <v>3</v>
      </c>
      <c r="N711">
        <v>0</v>
      </c>
      <c r="O711">
        <v>0</v>
      </c>
      <c r="P711" t="b">
        <v>0</v>
      </c>
    </row>
    <row r="712" spans="1:16" x14ac:dyDescent="0.2">
      <c r="A712" t="s">
        <v>483</v>
      </c>
      <c r="B712" t="s">
        <v>250</v>
      </c>
      <c r="C712" t="s">
        <v>90</v>
      </c>
      <c r="D712" t="s">
        <v>251</v>
      </c>
      <c r="E712" t="s">
        <v>73</v>
      </c>
      <c r="F712">
        <v>40214</v>
      </c>
      <c r="G712" t="s">
        <v>47</v>
      </c>
      <c r="H712" t="s">
        <v>1515</v>
      </c>
      <c r="I712" s="1">
        <v>42551</v>
      </c>
      <c r="J712" s="1">
        <v>42554</v>
      </c>
      <c r="K712">
        <v>4</v>
      </c>
      <c r="L712" t="s">
        <v>766</v>
      </c>
      <c r="M712">
        <v>7</v>
      </c>
      <c r="N712">
        <v>1</v>
      </c>
      <c r="O712">
        <v>0.2</v>
      </c>
      <c r="P712" t="b">
        <v>1</v>
      </c>
    </row>
    <row r="713" spans="1:16" x14ac:dyDescent="0.2">
      <c r="A713" t="s">
        <v>567</v>
      </c>
      <c r="B713" t="s">
        <v>378</v>
      </c>
      <c r="C713" t="s">
        <v>150</v>
      </c>
      <c r="D713" t="s">
        <v>97</v>
      </c>
      <c r="E713" t="s">
        <v>67</v>
      </c>
      <c r="F713">
        <v>19140</v>
      </c>
      <c r="G713" t="s">
        <v>27</v>
      </c>
      <c r="H713" t="s">
        <v>1516</v>
      </c>
      <c r="I713" s="1">
        <v>42722</v>
      </c>
      <c r="J713" s="1">
        <v>42724</v>
      </c>
      <c r="K713">
        <v>2</v>
      </c>
      <c r="L713" t="s">
        <v>688</v>
      </c>
      <c r="M713">
        <v>7</v>
      </c>
      <c r="N713">
        <v>1</v>
      </c>
      <c r="O713">
        <v>0.2</v>
      </c>
      <c r="P713" t="b">
        <v>0</v>
      </c>
    </row>
    <row r="714" spans="1:16" x14ac:dyDescent="0.2">
      <c r="A714" t="s">
        <v>494</v>
      </c>
      <c r="B714" t="s">
        <v>266</v>
      </c>
      <c r="C714" t="s">
        <v>150</v>
      </c>
      <c r="D714" t="s">
        <v>267</v>
      </c>
      <c r="E714" t="s">
        <v>166</v>
      </c>
      <c r="F714">
        <v>33317</v>
      </c>
      <c r="G714" t="s">
        <v>47</v>
      </c>
      <c r="H714" t="s">
        <v>1517</v>
      </c>
      <c r="I714" s="1">
        <v>41731</v>
      </c>
      <c r="J714" s="1">
        <v>41737</v>
      </c>
      <c r="K714">
        <v>4</v>
      </c>
      <c r="L714" t="s">
        <v>1518</v>
      </c>
      <c r="M714">
        <v>2</v>
      </c>
      <c r="N714">
        <v>0</v>
      </c>
      <c r="O714">
        <v>0</v>
      </c>
      <c r="P714" t="b">
        <v>0</v>
      </c>
    </row>
    <row r="715" spans="1:16" x14ac:dyDescent="0.2">
      <c r="A715" t="s">
        <v>494</v>
      </c>
      <c r="B715" t="s">
        <v>266</v>
      </c>
      <c r="C715" t="s">
        <v>150</v>
      </c>
      <c r="D715" t="s">
        <v>267</v>
      </c>
      <c r="E715" t="s">
        <v>166</v>
      </c>
      <c r="F715">
        <v>33317</v>
      </c>
      <c r="G715" t="s">
        <v>47</v>
      </c>
      <c r="H715" t="s">
        <v>1519</v>
      </c>
      <c r="I715" s="1">
        <v>42647</v>
      </c>
      <c r="J715" s="1">
        <v>42651</v>
      </c>
      <c r="K715">
        <v>4</v>
      </c>
      <c r="L715" t="s">
        <v>1520</v>
      </c>
      <c r="M715">
        <v>3</v>
      </c>
      <c r="N715">
        <v>1</v>
      </c>
      <c r="O715">
        <v>0.2</v>
      </c>
      <c r="P715" t="b">
        <v>0</v>
      </c>
    </row>
    <row r="716" spans="1:16" x14ac:dyDescent="0.2">
      <c r="A716" t="s">
        <v>494</v>
      </c>
      <c r="B716" t="s">
        <v>266</v>
      </c>
      <c r="C716" t="s">
        <v>150</v>
      </c>
      <c r="D716" t="s">
        <v>267</v>
      </c>
      <c r="E716" t="s">
        <v>166</v>
      </c>
      <c r="F716">
        <v>33317</v>
      </c>
      <c r="G716" t="s">
        <v>47</v>
      </c>
      <c r="H716" t="s">
        <v>1519</v>
      </c>
      <c r="I716" s="1">
        <v>42647</v>
      </c>
      <c r="J716" s="1">
        <v>42651</v>
      </c>
      <c r="K716">
        <v>4</v>
      </c>
      <c r="L716" t="s">
        <v>1076</v>
      </c>
      <c r="M716">
        <v>3</v>
      </c>
      <c r="N716">
        <v>1</v>
      </c>
      <c r="O716">
        <v>0.2</v>
      </c>
      <c r="P716" t="b">
        <v>0</v>
      </c>
    </row>
    <row r="717" spans="1:16" x14ac:dyDescent="0.2">
      <c r="A717" t="s">
        <v>540</v>
      </c>
      <c r="B717" t="s">
        <v>335</v>
      </c>
      <c r="C717" t="s">
        <v>9</v>
      </c>
      <c r="D717" t="s">
        <v>97</v>
      </c>
      <c r="E717" t="s">
        <v>67</v>
      </c>
      <c r="F717">
        <v>19143</v>
      </c>
      <c r="G717" t="s">
        <v>27</v>
      </c>
      <c r="H717" t="s">
        <v>1521</v>
      </c>
      <c r="I717" s="1">
        <v>41997</v>
      </c>
      <c r="J717" s="1">
        <v>41999</v>
      </c>
      <c r="K717">
        <v>2</v>
      </c>
      <c r="L717" t="s">
        <v>1522</v>
      </c>
      <c r="M717">
        <v>1</v>
      </c>
      <c r="N717">
        <v>0</v>
      </c>
      <c r="O717">
        <v>0</v>
      </c>
      <c r="P717" t="b">
        <v>0</v>
      </c>
    </row>
    <row r="718" spans="1:16" x14ac:dyDescent="0.2">
      <c r="A718" t="s">
        <v>402</v>
      </c>
      <c r="B718" t="s">
        <v>117</v>
      </c>
      <c r="C718" t="s">
        <v>9</v>
      </c>
      <c r="D718" t="s">
        <v>118</v>
      </c>
      <c r="E718" t="s">
        <v>119</v>
      </c>
      <c r="F718">
        <v>48205</v>
      </c>
      <c r="G718" t="s">
        <v>12</v>
      </c>
      <c r="H718" t="s">
        <v>1523</v>
      </c>
      <c r="I718" s="1">
        <v>42721</v>
      </c>
      <c r="J718" s="1">
        <v>42725</v>
      </c>
      <c r="K718">
        <v>4</v>
      </c>
      <c r="L718" t="s">
        <v>1524</v>
      </c>
      <c r="M718">
        <v>13</v>
      </c>
      <c r="N718">
        <v>0</v>
      </c>
      <c r="O718">
        <v>0</v>
      </c>
      <c r="P718" t="b">
        <v>1</v>
      </c>
    </row>
    <row r="719" spans="1:16" x14ac:dyDescent="0.2">
      <c r="A719" t="s">
        <v>503</v>
      </c>
      <c r="B719" t="s">
        <v>278</v>
      </c>
      <c r="C719" t="s">
        <v>150</v>
      </c>
      <c r="D719" t="s">
        <v>270</v>
      </c>
      <c r="E719" t="s">
        <v>95</v>
      </c>
      <c r="F719">
        <v>22153</v>
      </c>
      <c r="G719" t="s">
        <v>47</v>
      </c>
      <c r="H719" t="s">
        <v>1525</v>
      </c>
      <c r="I719" s="1">
        <v>42142</v>
      </c>
      <c r="J719" s="1">
        <v>42146</v>
      </c>
      <c r="K719">
        <v>4</v>
      </c>
      <c r="L719" t="s">
        <v>869</v>
      </c>
      <c r="M719">
        <v>2</v>
      </c>
      <c r="N719">
        <v>0</v>
      </c>
      <c r="O719">
        <v>0</v>
      </c>
      <c r="P719" t="b">
        <v>0</v>
      </c>
    </row>
    <row r="720" spans="1:16" x14ac:dyDescent="0.2">
      <c r="A720" t="s">
        <v>535</v>
      </c>
      <c r="B720" t="s">
        <v>326</v>
      </c>
      <c r="C720" t="s">
        <v>150</v>
      </c>
      <c r="D720" t="s">
        <v>327</v>
      </c>
      <c r="E720" t="s">
        <v>86</v>
      </c>
      <c r="F720">
        <v>98661</v>
      </c>
      <c r="G720" t="s">
        <v>18</v>
      </c>
      <c r="H720" t="s">
        <v>1526</v>
      </c>
      <c r="I720" s="1">
        <v>42535</v>
      </c>
      <c r="J720" s="1">
        <v>42539</v>
      </c>
      <c r="K720">
        <v>3</v>
      </c>
      <c r="L720" t="s">
        <v>1527</v>
      </c>
      <c r="M720">
        <v>7</v>
      </c>
      <c r="N720">
        <v>0</v>
      </c>
      <c r="O720">
        <v>0</v>
      </c>
      <c r="P720" t="b">
        <v>0</v>
      </c>
    </row>
    <row r="721" spans="1:16" x14ac:dyDescent="0.2">
      <c r="A721" t="s">
        <v>489</v>
      </c>
      <c r="B721" t="s">
        <v>261</v>
      </c>
      <c r="C721" t="s">
        <v>9</v>
      </c>
      <c r="D721" t="s">
        <v>85</v>
      </c>
      <c r="E721" t="s">
        <v>86</v>
      </c>
      <c r="F721">
        <v>98105</v>
      </c>
      <c r="G721" t="s">
        <v>18</v>
      </c>
      <c r="H721" t="s">
        <v>1528</v>
      </c>
      <c r="I721" s="1">
        <v>43021</v>
      </c>
      <c r="J721" s="1">
        <v>43023</v>
      </c>
      <c r="K721">
        <v>2</v>
      </c>
      <c r="L721" t="s">
        <v>1529</v>
      </c>
      <c r="M721">
        <v>8</v>
      </c>
      <c r="N721">
        <v>0</v>
      </c>
      <c r="O721">
        <v>0</v>
      </c>
      <c r="P721" t="b">
        <v>0</v>
      </c>
    </row>
    <row r="722" spans="1:16" x14ac:dyDescent="0.2">
      <c r="A722" t="s">
        <v>511</v>
      </c>
      <c r="B722" t="s">
        <v>291</v>
      </c>
      <c r="C722" t="s">
        <v>9</v>
      </c>
      <c r="D722" t="s">
        <v>118</v>
      </c>
      <c r="E722" t="s">
        <v>119</v>
      </c>
      <c r="F722">
        <v>48227</v>
      </c>
      <c r="G722" t="s">
        <v>12</v>
      </c>
      <c r="H722" t="s">
        <v>1530</v>
      </c>
      <c r="I722" s="1">
        <v>42156</v>
      </c>
      <c r="J722" s="1">
        <v>42160</v>
      </c>
      <c r="K722">
        <v>4</v>
      </c>
      <c r="L722" t="s">
        <v>1531</v>
      </c>
      <c r="M722">
        <v>2</v>
      </c>
      <c r="N722">
        <v>0</v>
      </c>
      <c r="O722">
        <v>0</v>
      </c>
      <c r="P722" t="b">
        <v>0</v>
      </c>
    </row>
    <row r="723" spans="1:16" x14ac:dyDescent="0.2">
      <c r="A723" t="s">
        <v>511</v>
      </c>
      <c r="B723" t="s">
        <v>291</v>
      </c>
      <c r="C723" t="s">
        <v>9</v>
      </c>
      <c r="D723" t="s">
        <v>118</v>
      </c>
      <c r="E723" t="s">
        <v>119</v>
      </c>
      <c r="F723">
        <v>48227</v>
      </c>
      <c r="G723" t="s">
        <v>12</v>
      </c>
      <c r="H723" t="s">
        <v>1530</v>
      </c>
      <c r="I723" s="1">
        <v>42156</v>
      </c>
      <c r="J723" s="1">
        <v>42160</v>
      </c>
      <c r="K723">
        <v>4</v>
      </c>
      <c r="L723" t="s">
        <v>1229</v>
      </c>
      <c r="M723">
        <v>6</v>
      </c>
      <c r="N723">
        <v>0</v>
      </c>
      <c r="O723">
        <v>0</v>
      </c>
      <c r="P723" t="b">
        <v>0</v>
      </c>
    </row>
    <row r="724" spans="1:16" x14ac:dyDescent="0.2">
      <c r="A724" t="s">
        <v>511</v>
      </c>
      <c r="B724" t="s">
        <v>291</v>
      </c>
      <c r="C724" t="s">
        <v>9</v>
      </c>
      <c r="D724" t="s">
        <v>118</v>
      </c>
      <c r="E724" t="s">
        <v>119</v>
      </c>
      <c r="F724">
        <v>48227</v>
      </c>
      <c r="G724" t="s">
        <v>12</v>
      </c>
      <c r="H724" t="s">
        <v>1530</v>
      </c>
      <c r="I724" s="1">
        <v>42156</v>
      </c>
      <c r="J724" s="1">
        <v>42160</v>
      </c>
      <c r="K724">
        <v>4</v>
      </c>
      <c r="L724" t="s">
        <v>757</v>
      </c>
      <c r="M724">
        <v>2</v>
      </c>
      <c r="N724">
        <v>0</v>
      </c>
      <c r="O724">
        <v>0</v>
      </c>
      <c r="P724" t="b">
        <v>0</v>
      </c>
    </row>
    <row r="725" spans="1:16" x14ac:dyDescent="0.2">
      <c r="A725" t="s">
        <v>511</v>
      </c>
      <c r="B725" t="s">
        <v>291</v>
      </c>
      <c r="C725" t="s">
        <v>9</v>
      </c>
      <c r="D725" t="s">
        <v>118</v>
      </c>
      <c r="E725" t="s">
        <v>119</v>
      </c>
      <c r="F725">
        <v>48227</v>
      </c>
      <c r="G725" t="s">
        <v>12</v>
      </c>
      <c r="H725" t="s">
        <v>1530</v>
      </c>
      <c r="I725" s="1">
        <v>42156</v>
      </c>
      <c r="J725" s="1">
        <v>42160</v>
      </c>
      <c r="K725">
        <v>4</v>
      </c>
      <c r="L725" t="s">
        <v>1532</v>
      </c>
      <c r="M725">
        <v>7</v>
      </c>
      <c r="N725">
        <v>0</v>
      </c>
      <c r="O725">
        <v>0</v>
      </c>
      <c r="P725" t="b">
        <v>0</v>
      </c>
    </row>
    <row r="726" spans="1:16" x14ac:dyDescent="0.2">
      <c r="A726" t="s">
        <v>403</v>
      </c>
      <c r="B726" t="s">
        <v>120</v>
      </c>
      <c r="C726" t="s">
        <v>9</v>
      </c>
      <c r="D726" t="s">
        <v>121</v>
      </c>
      <c r="E726" t="s">
        <v>22</v>
      </c>
      <c r="F726">
        <v>77041</v>
      </c>
      <c r="G726" t="s">
        <v>12</v>
      </c>
      <c r="H726" t="s">
        <v>1533</v>
      </c>
      <c r="I726" s="1">
        <v>42315</v>
      </c>
      <c r="J726" s="1">
        <v>42320</v>
      </c>
      <c r="K726">
        <v>4</v>
      </c>
      <c r="L726" t="s">
        <v>1038</v>
      </c>
      <c r="M726">
        <v>3</v>
      </c>
      <c r="N726">
        <v>1</v>
      </c>
      <c r="O726">
        <v>0.2</v>
      </c>
      <c r="P726" t="b">
        <v>0</v>
      </c>
    </row>
    <row r="727" spans="1:16" x14ac:dyDescent="0.2">
      <c r="A727" t="s">
        <v>403</v>
      </c>
      <c r="B727" t="s">
        <v>120</v>
      </c>
      <c r="C727" t="s">
        <v>9</v>
      </c>
      <c r="D727" t="s">
        <v>121</v>
      </c>
      <c r="E727" t="s">
        <v>22</v>
      </c>
      <c r="F727">
        <v>77041</v>
      </c>
      <c r="G727" t="s">
        <v>12</v>
      </c>
      <c r="H727" t="s">
        <v>1533</v>
      </c>
      <c r="I727" s="1">
        <v>42315</v>
      </c>
      <c r="J727" s="1">
        <v>42320</v>
      </c>
      <c r="K727">
        <v>4</v>
      </c>
      <c r="L727" t="s">
        <v>1534</v>
      </c>
      <c r="M727">
        <v>2</v>
      </c>
      <c r="N727">
        <v>1</v>
      </c>
      <c r="O727">
        <v>0.2</v>
      </c>
      <c r="P727" t="b">
        <v>0</v>
      </c>
    </row>
    <row r="728" spans="1:16" x14ac:dyDescent="0.2">
      <c r="A728" t="s">
        <v>403</v>
      </c>
      <c r="B728" t="s">
        <v>120</v>
      </c>
      <c r="C728" t="s">
        <v>9</v>
      </c>
      <c r="D728" t="s">
        <v>121</v>
      </c>
      <c r="E728" t="s">
        <v>22</v>
      </c>
      <c r="F728">
        <v>77041</v>
      </c>
      <c r="G728" t="s">
        <v>12</v>
      </c>
      <c r="H728" t="s">
        <v>1533</v>
      </c>
      <c r="I728" s="1">
        <v>42315</v>
      </c>
      <c r="J728" s="1">
        <v>42320</v>
      </c>
      <c r="K728">
        <v>4</v>
      </c>
      <c r="L728" t="s">
        <v>1535</v>
      </c>
      <c r="M728">
        <v>5</v>
      </c>
      <c r="N728">
        <v>1</v>
      </c>
      <c r="O728">
        <v>0.6</v>
      </c>
      <c r="P728" t="b">
        <v>0</v>
      </c>
    </row>
    <row r="729" spans="1:16" x14ac:dyDescent="0.2">
      <c r="A729" t="s">
        <v>403</v>
      </c>
      <c r="B729" t="s">
        <v>120</v>
      </c>
      <c r="C729" t="s">
        <v>9</v>
      </c>
      <c r="D729" t="s">
        <v>121</v>
      </c>
      <c r="E729" t="s">
        <v>22</v>
      </c>
      <c r="F729">
        <v>77041</v>
      </c>
      <c r="G729" t="s">
        <v>12</v>
      </c>
      <c r="H729" t="s">
        <v>1533</v>
      </c>
      <c r="I729" s="1">
        <v>42315</v>
      </c>
      <c r="J729" s="1">
        <v>42320</v>
      </c>
      <c r="K729">
        <v>4</v>
      </c>
      <c r="L729" t="s">
        <v>713</v>
      </c>
      <c r="M729">
        <v>10</v>
      </c>
      <c r="N729">
        <v>1</v>
      </c>
      <c r="O729">
        <v>0.8</v>
      </c>
      <c r="P729" t="b">
        <v>0</v>
      </c>
    </row>
    <row r="730" spans="1:16" x14ac:dyDescent="0.2">
      <c r="A730" t="s">
        <v>403</v>
      </c>
      <c r="B730" t="s">
        <v>120</v>
      </c>
      <c r="C730" t="s">
        <v>9</v>
      </c>
      <c r="D730" t="s">
        <v>121</v>
      </c>
      <c r="E730" t="s">
        <v>22</v>
      </c>
      <c r="F730">
        <v>77041</v>
      </c>
      <c r="G730" t="s">
        <v>12</v>
      </c>
      <c r="H730" t="s">
        <v>1533</v>
      </c>
      <c r="I730" s="1">
        <v>42315</v>
      </c>
      <c r="J730" s="1">
        <v>42320</v>
      </c>
      <c r="K730">
        <v>4</v>
      </c>
      <c r="L730" t="s">
        <v>1536</v>
      </c>
      <c r="M730">
        <v>2</v>
      </c>
      <c r="N730">
        <v>1</v>
      </c>
      <c r="O730">
        <v>0.2</v>
      </c>
      <c r="P730" t="b">
        <v>0</v>
      </c>
    </row>
    <row r="731" spans="1:16" x14ac:dyDescent="0.2">
      <c r="A731" t="s">
        <v>403</v>
      </c>
      <c r="B731" t="s">
        <v>120</v>
      </c>
      <c r="C731" t="s">
        <v>9</v>
      </c>
      <c r="D731" t="s">
        <v>121</v>
      </c>
      <c r="E731" t="s">
        <v>22</v>
      </c>
      <c r="F731">
        <v>77041</v>
      </c>
      <c r="G731" t="s">
        <v>12</v>
      </c>
      <c r="H731" t="s">
        <v>1533</v>
      </c>
      <c r="I731" s="1">
        <v>42315</v>
      </c>
      <c r="J731" s="1">
        <v>42320</v>
      </c>
      <c r="K731">
        <v>4</v>
      </c>
      <c r="L731" t="s">
        <v>1537</v>
      </c>
      <c r="M731">
        <v>3</v>
      </c>
      <c r="N731">
        <v>1</v>
      </c>
      <c r="O731">
        <v>0.4</v>
      </c>
      <c r="P731" t="b">
        <v>0</v>
      </c>
    </row>
    <row r="732" spans="1:16" x14ac:dyDescent="0.2">
      <c r="A732" t="s">
        <v>538</v>
      </c>
      <c r="B732" t="s">
        <v>331</v>
      </c>
      <c r="C732" t="s">
        <v>150</v>
      </c>
      <c r="D732" t="s">
        <v>332</v>
      </c>
      <c r="E732" t="s">
        <v>42</v>
      </c>
      <c r="F732">
        <v>97756</v>
      </c>
      <c r="G732" t="s">
        <v>18</v>
      </c>
      <c r="H732" t="s">
        <v>1538</v>
      </c>
      <c r="I732" s="1">
        <v>42982</v>
      </c>
      <c r="J732" s="1">
        <v>42983</v>
      </c>
      <c r="K732">
        <v>2</v>
      </c>
      <c r="L732" t="s">
        <v>1539</v>
      </c>
      <c r="M732">
        <v>7</v>
      </c>
      <c r="N732">
        <v>1</v>
      </c>
      <c r="O732">
        <v>0.7</v>
      </c>
      <c r="P732" t="b">
        <v>0</v>
      </c>
    </row>
    <row r="733" spans="1:16" x14ac:dyDescent="0.2">
      <c r="A733" t="s">
        <v>469</v>
      </c>
      <c r="B733" t="s">
        <v>231</v>
      </c>
      <c r="C733" t="s">
        <v>9</v>
      </c>
      <c r="D733" t="s">
        <v>232</v>
      </c>
      <c r="E733" t="s">
        <v>233</v>
      </c>
      <c r="F733">
        <v>54703</v>
      </c>
      <c r="G733" t="s">
        <v>12</v>
      </c>
      <c r="H733" t="s">
        <v>1540</v>
      </c>
      <c r="I733" s="1">
        <v>42712</v>
      </c>
      <c r="J733" s="1">
        <v>42716</v>
      </c>
      <c r="K733">
        <v>4</v>
      </c>
      <c r="L733" t="s">
        <v>894</v>
      </c>
      <c r="M733">
        <v>7</v>
      </c>
      <c r="N733">
        <v>0</v>
      </c>
      <c r="O733">
        <v>0</v>
      </c>
      <c r="P733" t="b">
        <v>0</v>
      </c>
    </row>
    <row r="734" spans="1:16" x14ac:dyDescent="0.2">
      <c r="A734" t="s">
        <v>469</v>
      </c>
      <c r="B734" t="s">
        <v>231</v>
      </c>
      <c r="C734" t="s">
        <v>9</v>
      </c>
      <c r="D734" t="s">
        <v>232</v>
      </c>
      <c r="E734" t="s">
        <v>233</v>
      </c>
      <c r="F734">
        <v>54703</v>
      </c>
      <c r="G734" t="s">
        <v>12</v>
      </c>
      <c r="H734" t="s">
        <v>1540</v>
      </c>
      <c r="I734" s="1">
        <v>42712</v>
      </c>
      <c r="J734" s="1">
        <v>42716</v>
      </c>
      <c r="K734">
        <v>4</v>
      </c>
      <c r="L734" t="s">
        <v>1541</v>
      </c>
      <c r="M734">
        <v>3</v>
      </c>
      <c r="N734">
        <v>0</v>
      </c>
      <c r="O734">
        <v>0</v>
      </c>
      <c r="P734" t="b">
        <v>0</v>
      </c>
    </row>
    <row r="735" spans="1:16" x14ac:dyDescent="0.2">
      <c r="A735" t="s">
        <v>404</v>
      </c>
      <c r="B735" t="s">
        <v>122</v>
      </c>
      <c r="C735" t="s">
        <v>9</v>
      </c>
      <c r="D735" t="s">
        <v>123</v>
      </c>
      <c r="E735" t="s">
        <v>124</v>
      </c>
      <c r="F735">
        <v>61701</v>
      </c>
      <c r="G735" t="s">
        <v>12</v>
      </c>
      <c r="H735" t="s">
        <v>1542</v>
      </c>
      <c r="I735" s="1">
        <v>42950</v>
      </c>
      <c r="J735" s="1">
        <v>42954</v>
      </c>
      <c r="K735">
        <v>4</v>
      </c>
      <c r="L735" t="s">
        <v>1543</v>
      </c>
      <c r="M735">
        <v>3</v>
      </c>
      <c r="N735">
        <v>1</v>
      </c>
      <c r="O735">
        <v>0.2</v>
      </c>
      <c r="P735" t="b">
        <v>0</v>
      </c>
    </row>
    <row r="736" spans="1:16" x14ac:dyDescent="0.2">
      <c r="A736" t="s">
        <v>502</v>
      </c>
      <c r="B736" t="s">
        <v>277</v>
      </c>
      <c r="C736" t="s">
        <v>9</v>
      </c>
      <c r="D736" t="s">
        <v>258</v>
      </c>
      <c r="E736" t="s">
        <v>17</v>
      </c>
      <c r="F736">
        <v>94513</v>
      </c>
      <c r="G736" t="s">
        <v>18</v>
      </c>
      <c r="H736" t="s">
        <v>1544</v>
      </c>
      <c r="I736" s="1">
        <v>42077</v>
      </c>
      <c r="J736" s="1">
        <v>42082</v>
      </c>
      <c r="K736">
        <v>1</v>
      </c>
      <c r="L736" t="s">
        <v>717</v>
      </c>
      <c r="M736">
        <v>3</v>
      </c>
      <c r="N736">
        <v>0</v>
      </c>
      <c r="O736">
        <v>0</v>
      </c>
      <c r="P736" t="b">
        <v>0</v>
      </c>
    </row>
    <row r="737" spans="1:16" x14ac:dyDescent="0.2">
      <c r="A737" t="s">
        <v>564</v>
      </c>
      <c r="B737" t="s">
        <v>373</v>
      </c>
      <c r="C737" t="s">
        <v>90</v>
      </c>
      <c r="D737" t="s">
        <v>374</v>
      </c>
      <c r="E737" t="s">
        <v>179</v>
      </c>
      <c r="F737">
        <v>59601</v>
      </c>
      <c r="G737" t="s">
        <v>18</v>
      </c>
      <c r="H737" t="s">
        <v>1545</v>
      </c>
      <c r="I737" s="1">
        <v>43053</v>
      </c>
      <c r="J737" s="1">
        <v>43056</v>
      </c>
      <c r="K737">
        <v>4</v>
      </c>
      <c r="L737" t="s">
        <v>1546</v>
      </c>
      <c r="M737">
        <v>2</v>
      </c>
      <c r="N737">
        <v>0</v>
      </c>
      <c r="O737">
        <v>0</v>
      </c>
      <c r="P737" t="b">
        <v>0</v>
      </c>
    </row>
    <row r="738" spans="1:16" x14ac:dyDescent="0.2">
      <c r="A738" t="s">
        <v>489</v>
      </c>
      <c r="B738" t="s">
        <v>261</v>
      </c>
      <c r="C738" t="s">
        <v>9</v>
      </c>
      <c r="D738" t="s">
        <v>85</v>
      </c>
      <c r="E738" t="s">
        <v>86</v>
      </c>
      <c r="F738">
        <v>98105</v>
      </c>
      <c r="G738" t="s">
        <v>18</v>
      </c>
      <c r="H738" t="s">
        <v>1547</v>
      </c>
      <c r="I738" s="1">
        <v>42980</v>
      </c>
      <c r="J738" s="1">
        <v>42984</v>
      </c>
      <c r="K738">
        <v>2</v>
      </c>
      <c r="L738" t="s">
        <v>700</v>
      </c>
      <c r="M738">
        <v>3</v>
      </c>
      <c r="N738">
        <v>0</v>
      </c>
      <c r="O738">
        <v>0</v>
      </c>
      <c r="P738" t="b">
        <v>0</v>
      </c>
    </row>
    <row r="739" spans="1:16" x14ac:dyDescent="0.2">
      <c r="A739" t="s">
        <v>513</v>
      </c>
      <c r="B739" t="s">
        <v>294</v>
      </c>
      <c r="C739" t="s">
        <v>150</v>
      </c>
      <c r="D739" t="s">
        <v>295</v>
      </c>
      <c r="E739" t="s">
        <v>22</v>
      </c>
      <c r="F739">
        <v>75051</v>
      </c>
      <c r="G739" t="s">
        <v>12</v>
      </c>
      <c r="H739" t="s">
        <v>1548</v>
      </c>
      <c r="I739" s="1">
        <v>42883</v>
      </c>
      <c r="J739" s="1">
        <v>42887</v>
      </c>
      <c r="K739">
        <v>4</v>
      </c>
      <c r="L739" t="s">
        <v>1549</v>
      </c>
      <c r="M739">
        <v>3</v>
      </c>
      <c r="N739">
        <v>1</v>
      </c>
      <c r="O739">
        <v>0.2</v>
      </c>
      <c r="P739" t="b">
        <v>0</v>
      </c>
    </row>
    <row r="740" spans="1:16" x14ac:dyDescent="0.2">
      <c r="A740" t="s">
        <v>513</v>
      </c>
      <c r="B740" t="s">
        <v>294</v>
      </c>
      <c r="C740" t="s">
        <v>150</v>
      </c>
      <c r="D740" t="s">
        <v>295</v>
      </c>
      <c r="E740" t="s">
        <v>22</v>
      </c>
      <c r="F740">
        <v>75051</v>
      </c>
      <c r="G740" t="s">
        <v>12</v>
      </c>
      <c r="H740" t="s">
        <v>1548</v>
      </c>
      <c r="I740" s="1">
        <v>42883</v>
      </c>
      <c r="J740" s="1">
        <v>42887</v>
      </c>
      <c r="K740">
        <v>4</v>
      </c>
      <c r="L740" t="s">
        <v>1550</v>
      </c>
      <c r="M740">
        <v>4</v>
      </c>
      <c r="N740">
        <v>1</v>
      </c>
      <c r="O740">
        <v>0.5</v>
      </c>
      <c r="P740" t="b">
        <v>0</v>
      </c>
    </row>
    <row r="741" spans="1:16" x14ac:dyDescent="0.2">
      <c r="A741" t="s">
        <v>455</v>
      </c>
      <c r="B741" t="s">
        <v>210</v>
      </c>
      <c r="C741" t="s">
        <v>150</v>
      </c>
      <c r="D741" t="s">
        <v>118</v>
      </c>
      <c r="E741" t="s">
        <v>119</v>
      </c>
      <c r="F741">
        <v>48234</v>
      </c>
      <c r="G741" t="s">
        <v>12</v>
      </c>
      <c r="H741" t="s">
        <v>1551</v>
      </c>
      <c r="I741" s="1">
        <v>42319</v>
      </c>
      <c r="J741" s="1">
        <v>42319</v>
      </c>
      <c r="K741">
        <v>1</v>
      </c>
      <c r="L741" t="s">
        <v>1552</v>
      </c>
      <c r="M741">
        <v>7</v>
      </c>
      <c r="N741">
        <v>0</v>
      </c>
      <c r="O741">
        <v>0</v>
      </c>
      <c r="P741" t="b">
        <v>0</v>
      </c>
    </row>
    <row r="742" spans="1:16" x14ac:dyDescent="0.2">
      <c r="A742" t="s">
        <v>455</v>
      </c>
      <c r="B742" t="s">
        <v>210</v>
      </c>
      <c r="C742" t="s">
        <v>150</v>
      </c>
      <c r="D742" t="s">
        <v>118</v>
      </c>
      <c r="E742" t="s">
        <v>119</v>
      </c>
      <c r="F742">
        <v>48234</v>
      </c>
      <c r="G742" t="s">
        <v>12</v>
      </c>
      <c r="H742" t="s">
        <v>1551</v>
      </c>
      <c r="I742" s="1">
        <v>42319</v>
      </c>
      <c r="J742" s="1">
        <v>42319</v>
      </c>
      <c r="K742">
        <v>1</v>
      </c>
      <c r="L742" t="s">
        <v>1553</v>
      </c>
      <c r="M742">
        <v>2</v>
      </c>
      <c r="N742">
        <v>1</v>
      </c>
      <c r="O742">
        <v>0.1</v>
      </c>
      <c r="P742" t="b">
        <v>0</v>
      </c>
    </row>
    <row r="743" spans="1:16" x14ac:dyDescent="0.2">
      <c r="A743" t="s">
        <v>536</v>
      </c>
      <c r="B743" t="s">
        <v>328</v>
      </c>
      <c r="C743" t="s">
        <v>150</v>
      </c>
      <c r="D743" t="s">
        <v>329</v>
      </c>
      <c r="E743" t="s">
        <v>22</v>
      </c>
      <c r="F743">
        <v>78745</v>
      </c>
      <c r="G743" t="s">
        <v>12</v>
      </c>
      <c r="H743" t="s">
        <v>1554</v>
      </c>
      <c r="I743" s="1">
        <v>42936</v>
      </c>
      <c r="J743" s="1">
        <v>42941</v>
      </c>
      <c r="K743">
        <v>4</v>
      </c>
      <c r="L743" t="s">
        <v>675</v>
      </c>
      <c r="M743">
        <v>2</v>
      </c>
      <c r="N743">
        <v>0</v>
      </c>
      <c r="O743">
        <v>0</v>
      </c>
      <c r="P743" t="b">
        <v>0</v>
      </c>
    </row>
    <row r="744" spans="1:16" x14ac:dyDescent="0.2">
      <c r="A744" t="s">
        <v>536</v>
      </c>
      <c r="B744" t="s">
        <v>328</v>
      </c>
      <c r="C744" t="s">
        <v>150</v>
      </c>
      <c r="D744" t="s">
        <v>329</v>
      </c>
      <c r="E744" t="s">
        <v>22</v>
      </c>
      <c r="F744">
        <v>78745</v>
      </c>
      <c r="G744" t="s">
        <v>12</v>
      </c>
      <c r="H744" t="s">
        <v>1554</v>
      </c>
      <c r="I744" s="1">
        <v>42936</v>
      </c>
      <c r="J744" s="1">
        <v>42941</v>
      </c>
      <c r="K744">
        <v>4</v>
      </c>
      <c r="L744" t="s">
        <v>1555</v>
      </c>
      <c r="M744">
        <v>2</v>
      </c>
      <c r="N744">
        <v>1</v>
      </c>
      <c r="O744">
        <v>0.1</v>
      </c>
      <c r="P744" t="b">
        <v>0</v>
      </c>
    </row>
    <row r="745" spans="1:16" x14ac:dyDescent="0.2">
      <c r="A745" t="s">
        <v>536</v>
      </c>
      <c r="B745" t="s">
        <v>328</v>
      </c>
      <c r="C745" t="s">
        <v>150</v>
      </c>
      <c r="D745" t="s">
        <v>329</v>
      </c>
      <c r="E745" t="s">
        <v>22</v>
      </c>
      <c r="F745">
        <v>78745</v>
      </c>
      <c r="G745" t="s">
        <v>12</v>
      </c>
      <c r="H745" t="s">
        <v>1554</v>
      </c>
      <c r="I745" s="1">
        <v>42936</v>
      </c>
      <c r="J745" s="1">
        <v>42941</v>
      </c>
      <c r="K745">
        <v>4</v>
      </c>
      <c r="L745" t="s">
        <v>1250</v>
      </c>
      <c r="M745">
        <v>4</v>
      </c>
      <c r="N745">
        <v>0</v>
      </c>
      <c r="O745">
        <v>0</v>
      </c>
      <c r="P745" t="b">
        <v>0</v>
      </c>
    </row>
    <row r="746" spans="1:16" x14ac:dyDescent="0.2">
      <c r="A746" t="s">
        <v>510</v>
      </c>
      <c r="B746" t="s">
        <v>289</v>
      </c>
      <c r="C746" t="s">
        <v>9</v>
      </c>
      <c r="D746" t="s">
        <v>290</v>
      </c>
      <c r="E746" t="s">
        <v>63</v>
      </c>
      <c r="F746">
        <v>28403</v>
      </c>
      <c r="G746" t="s">
        <v>47</v>
      </c>
      <c r="H746" t="s">
        <v>1556</v>
      </c>
      <c r="I746" s="1">
        <v>42336</v>
      </c>
      <c r="J746" s="1">
        <v>42338</v>
      </c>
      <c r="K746">
        <v>3</v>
      </c>
      <c r="L746" t="s">
        <v>1557</v>
      </c>
      <c r="M746">
        <v>4</v>
      </c>
      <c r="N746">
        <v>0</v>
      </c>
      <c r="O746">
        <v>0</v>
      </c>
      <c r="P746" t="b">
        <v>0</v>
      </c>
    </row>
    <row r="747" spans="1:16" x14ac:dyDescent="0.2">
      <c r="A747" t="s">
        <v>469</v>
      </c>
      <c r="B747" t="s">
        <v>231</v>
      </c>
      <c r="C747" t="s">
        <v>9</v>
      </c>
      <c r="D747" t="s">
        <v>232</v>
      </c>
      <c r="E747" t="s">
        <v>233</v>
      </c>
      <c r="F747">
        <v>54703</v>
      </c>
      <c r="G747" t="s">
        <v>12</v>
      </c>
      <c r="H747" t="s">
        <v>1558</v>
      </c>
      <c r="I747" s="1">
        <v>42856</v>
      </c>
      <c r="J747" s="1">
        <v>42857</v>
      </c>
      <c r="K747">
        <v>2</v>
      </c>
      <c r="L747" t="s">
        <v>1559</v>
      </c>
      <c r="M747">
        <v>3</v>
      </c>
      <c r="N747">
        <v>1</v>
      </c>
      <c r="O747">
        <v>0.2</v>
      </c>
      <c r="P747" t="b">
        <v>0</v>
      </c>
    </row>
    <row r="748" spans="1:16" x14ac:dyDescent="0.2">
      <c r="A748" t="s">
        <v>469</v>
      </c>
      <c r="B748" t="s">
        <v>231</v>
      </c>
      <c r="C748" t="s">
        <v>9</v>
      </c>
      <c r="D748" t="s">
        <v>232</v>
      </c>
      <c r="E748" t="s">
        <v>233</v>
      </c>
      <c r="F748">
        <v>54703</v>
      </c>
      <c r="G748" t="s">
        <v>12</v>
      </c>
      <c r="H748" t="s">
        <v>1558</v>
      </c>
      <c r="I748" s="1">
        <v>42856</v>
      </c>
      <c r="J748" s="1">
        <v>42857</v>
      </c>
      <c r="K748">
        <v>2</v>
      </c>
      <c r="L748" t="s">
        <v>1560</v>
      </c>
      <c r="M748">
        <v>2</v>
      </c>
      <c r="N748">
        <v>1</v>
      </c>
      <c r="O748">
        <v>0.2</v>
      </c>
      <c r="P748" t="b">
        <v>1</v>
      </c>
    </row>
    <row r="749" spans="1:16" x14ac:dyDescent="0.2">
      <c r="A749" t="s">
        <v>510</v>
      </c>
      <c r="B749" t="s">
        <v>289</v>
      </c>
      <c r="C749" t="s">
        <v>9</v>
      </c>
      <c r="D749" t="s">
        <v>290</v>
      </c>
      <c r="E749" t="s">
        <v>63</v>
      </c>
      <c r="F749">
        <v>28403</v>
      </c>
      <c r="G749" t="s">
        <v>47</v>
      </c>
      <c r="H749" t="s">
        <v>1561</v>
      </c>
      <c r="I749" s="1">
        <v>42352</v>
      </c>
      <c r="J749" s="1">
        <v>42357</v>
      </c>
      <c r="K749">
        <v>3</v>
      </c>
      <c r="L749" t="s">
        <v>1562</v>
      </c>
      <c r="M749">
        <v>2</v>
      </c>
      <c r="N749">
        <v>0</v>
      </c>
      <c r="O749">
        <v>0</v>
      </c>
      <c r="P749" t="b">
        <v>0</v>
      </c>
    </row>
    <row r="750" spans="1:16" x14ac:dyDescent="0.2">
      <c r="A750" t="s">
        <v>492</v>
      </c>
      <c r="B750" t="s">
        <v>264</v>
      </c>
      <c r="C750" t="s">
        <v>9</v>
      </c>
      <c r="D750" t="s">
        <v>153</v>
      </c>
      <c r="E750" t="s">
        <v>124</v>
      </c>
      <c r="F750">
        <v>60623</v>
      </c>
      <c r="G750" t="s">
        <v>12</v>
      </c>
      <c r="H750" t="s">
        <v>1563</v>
      </c>
      <c r="I750" s="1">
        <v>42628</v>
      </c>
      <c r="J750" s="1">
        <v>42633</v>
      </c>
      <c r="K750">
        <v>4</v>
      </c>
      <c r="L750" t="s">
        <v>1564</v>
      </c>
      <c r="M750">
        <v>5</v>
      </c>
      <c r="N750">
        <v>0</v>
      </c>
      <c r="O750">
        <v>0</v>
      </c>
      <c r="P750" t="b">
        <v>0</v>
      </c>
    </row>
    <row r="751" spans="1:16" x14ac:dyDescent="0.2">
      <c r="A751" t="s">
        <v>433</v>
      </c>
      <c r="B751" t="s">
        <v>175</v>
      </c>
      <c r="C751" t="s">
        <v>9</v>
      </c>
      <c r="D751" t="s">
        <v>176</v>
      </c>
      <c r="E751" t="s">
        <v>104</v>
      </c>
      <c r="F751">
        <v>46226</v>
      </c>
      <c r="G751" t="s">
        <v>12</v>
      </c>
      <c r="H751" t="s">
        <v>1565</v>
      </c>
      <c r="I751" s="1">
        <v>42635</v>
      </c>
      <c r="J751" s="1">
        <v>42641</v>
      </c>
      <c r="K751">
        <v>4</v>
      </c>
      <c r="L751" t="s">
        <v>1334</v>
      </c>
      <c r="M751">
        <v>6</v>
      </c>
      <c r="N751">
        <v>0</v>
      </c>
      <c r="O751">
        <v>0</v>
      </c>
      <c r="P751" t="b">
        <v>0</v>
      </c>
    </row>
    <row r="752" spans="1:16" x14ac:dyDescent="0.2">
      <c r="A752" t="s">
        <v>416</v>
      </c>
      <c r="B752" t="s">
        <v>148</v>
      </c>
      <c r="C752" t="s">
        <v>90</v>
      </c>
      <c r="D752" t="s">
        <v>85</v>
      </c>
      <c r="E752" t="s">
        <v>86</v>
      </c>
      <c r="F752">
        <v>98103</v>
      </c>
      <c r="G752" t="s">
        <v>18</v>
      </c>
      <c r="H752" t="s">
        <v>1566</v>
      </c>
      <c r="I752" s="1">
        <v>41842</v>
      </c>
      <c r="J752" s="1">
        <v>41848</v>
      </c>
      <c r="K752">
        <v>4</v>
      </c>
      <c r="L752" t="s">
        <v>1567</v>
      </c>
      <c r="M752">
        <v>6</v>
      </c>
      <c r="N752">
        <v>0</v>
      </c>
      <c r="O752">
        <v>0</v>
      </c>
      <c r="P752" t="b">
        <v>0</v>
      </c>
    </row>
    <row r="753" spans="1:16" x14ac:dyDescent="0.2">
      <c r="A753" t="s">
        <v>394</v>
      </c>
      <c r="B753" t="s">
        <v>102</v>
      </c>
      <c r="C753" t="s">
        <v>90</v>
      </c>
      <c r="D753" t="s">
        <v>103</v>
      </c>
      <c r="E753" t="s">
        <v>104</v>
      </c>
      <c r="F753">
        <v>46142</v>
      </c>
      <c r="G753" t="s">
        <v>12</v>
      </c>
      <c r="H753" t="s">
        <v>1568</v>
      </c>
      <c r="I753" s="1">
        <v>43044</v>
      </c>
      <c r="J753" s="1">
        <v>43046</v>
      </c>
      <c r="K753">
        <v>2</v>
      </c>
      <c r="L753" t="s">
        <v>1569</v>
      </c>
      <c r="M753">
        <v>1</v>
      </c>
      <c r="N753">
        <v>0</v>
      </c>
      <c r="O753">
        <v>0</v>
      </c>
      <c r="P753" t="b">
        <v>0</v>
      </c>
    </row>
    <row r="754" spans="1:16" x14ac:dyDescent="0.2">
      <c r="A754" t="s">
        <v>394</v>
      </c>
      <c r="B754" t="s">
        <v>102</v>
      </c>
      <c r="C754" t="s">
        <v>90</v>
      </c>
      <c r="D754" t="s">
        <v>103</v>
      </c>
      <c r="E754" t="s">
        <v>104</v>
      </c>
      <c r="F754">
        <v>46142</v>
      </c>
      <c r="G754" t="s">
        <v>12</v>
      </c>
      <c r="H754" t="s">
        <v>1568</v>
      </c>
      <c r="I754" s="1">
        <v>43044</v>
      </c>
      <c r="J754" s="1">
        <v>43046</v>
      </c>
      <c r="K754">
        <v>2</v>
      </c>
      <c r="L754" t="s">
        <v>1570</v>
      </c>
      <c r="M754">
        <v>3</v>
      </c>
      <c r="N754">
        <v>0</v>
      </c>
      <c r="O754">
        <v>0</v>
      </c>
      <c r="P754" t="b">
        <v>0</v>
      </c>
    </row>
    <row r="755" spans="1:16" x14ac:dyDescent="0.2">
      <c r="A755" t="s">
        <v>394</v>
      </c>
      <c r="B755" t="s">
        <v>102</v>
      </c>
      <c r="C755" t="s">
        <v>90</v>
      </c>
      <c r="D755" t="s">
        <v>103</v>
      </c>
      <c r="E755" t="s">
        <v>104</v>
      </c>
      <c r="F755">
        <v>46142</v>
      </c>
      <c r="G755" t="s">
        <v>12</v>
      </c>
      <c r="H755" t="s">
        <v>1568</v>
      </c>
      <c r="I755" s="1">
        <v>43044</v>
      </c>
      <c r="J755" s="1">
        <v>43046</v>
      </c>
      <c r="K755">
        <v>2</v>
      </c>
      <c r="L755" t="s">
        <v>1571</v>
      </c>
      <c r="M755">
        <v>10</v>
      </c>
      <c r="N755">
        <v>0</v>
      </c>
      <c r="O755">
        <v>0</v>
      </c>
      <c r="P755" t="b">
        <v>0</v>
      </c>
    </row>
    <row r="756" spans="1:16" x14ac:dyDescent="0.2">
      <c r="A756" t="s">
        <v>430</v>
      </c>
      <c r="B756" t="s">
        <v>170</v>
      </c>
      <c r="C756" t="s">
        <v>150</v>
      </c>
      <c r="D756" t="s">
        <v>171</v>
      </c>
      <c r="E756" t="s">
        <v>22</v>
      </c>
      <c r="F756">
        <v>77705</v>
      </c>
      <c r="G756" t="s">
        <v>12</v>
      </c>
      <c r="H756" t="s">
        <v>1572</v>
      </c>
      <c r="I756" s="1">
        <v>42818</v>
      </c>
      <c r="J756" s="1">
        <v>42819</v>
      </c>
      <c r="K756">
        <v>1</v>
      </c>
      <c r="L756" t="s">
        <v>1573</v>
      </c>
      <c r="M756">
        <v>2</v>
      </c>
      <c r="N756">
        <v>1</v>
      </c>
      <c r="O756">
        <v>0.2</v>
      </c>
      <c r="P756" t="b">
        <v>0</v>
      </c>
    </row>
    <row r="757" spans="1:16" x14ac:dyDescent="0.2">
      <c r="A757" t="s">
        <v>537</v>
      </c>
      <c r="B757" t="s">
        <v>330</v>
      </c>
      <c r="C757" t="s">
        <v>150</v>
      </c>
      <c r="D757" t="s">
        <v>156</v>
      </c>
      <c r="E757" t="s">
        <v>63</v>
      </c>
      <c r="F757">
        <v>28540</v>
      </c>
      <c r="G757" t="s">
        <v>47</v>
      </c>
      <c r="H757" t="s">
        <v>1574</v>
      </c>
      <c r="I757" s="1">
        <v>42638</v>
      </c>
      <c r="J757" s="1">
        <v>42640</v>
      </c>
      <c r="K757">
        <v>2</v>
      </c>
      <c r="L757" t="s">
        <v>1217</v>
      </c>
      <c r="M757">
        <v>2</v>
      </c>
      <c r="N757">
        <v>1</v>
      </c>
      <c r="O757">
        <v>0.15</v>
      </c>
      <c r="P757" t="b">
        <v>0</v>
      </c>
    </row>
    <row r="758" spans="1:16" x14ac:dyDescent="0.2">
      <c r="A758" t="s">
        <v>56</v>
      </c>
      <c r="B758" t="s">
        <v>57</v>
      </c>
      <c r="C758" t="s">
        <v>9</v>
      </c>
      <c r="D758" t="s">
        <v>58</v>
      </c>
      <c r="E758" t="s">
        <v>59</v>
      </c>
      <c r="F758">
        <v>2908</v>
      </c>
      <c r="G758" t="s">
        <v>27</v>
      </c>
      <c r="H758" t="s">
        <v>1575</v>
      </c>
      <c r="I758" s="1">
        <v>42985</v>
      </c>
      <c r="J758" s="1">
        <v>42987</v>
      </c>
      <c r="K758">
        <v>2</v>
      </c>
      <c r="L758" t="s">
        <v>1576</v>
      </c>
      <c r="M758">
        <v>5</v>
      </c>
      <c r="N758">
        <v>0</v>
      </c>
      <c r="O758">
        <v>0</v>
      </c>
      <c r="P758" t="b">
        <v>0</v>
      </c>
    </row>
    <row r="759" spans="1:16" x14ac:dyDescent="0.2">
      <c r="A759" t="s">
        <v>56</v>
      </c>
      <c r="B759" t="s">
        <v>57</v>
      </c>
      <c r="C759" t="s">
        <v>9</v>
      </c>
      <c r="D759" t="s">
        <v>58</v>
      </c>
      <c r="E759" t="s">
        <v>59</v>
      </c>
      <c r="F759">
        <v>2908</v>
      </c>
      <c r="G759" t="s">
        <v>27</v>
      </c>
      <c r="H759" t="s">
        <v>1575</v>
      </c>
      <c r="I759" s="1">
        <v>42985</v>
      </c>
      <c r="J759" s="1">
        <v>42987</v>
      </c>
      <c r="K759">
        <v>2</v>
      </c>
      <c r="L759" t="s">
        <v>1577</v>
      </c>
      <c r="M759">
        <v>2</v>
      </c>
      <c r="N759">
        <v>0</v>
      </c>
      <c r="O759">
        <v>0</v>
      </c>
      <c r="P759" t="b">
        <v>1</v>
      </c>
    </row>
    <row r="760" spans="1:16" x14ac:dyDescent="0.2">
      <c r="A760" t="s">
        <v>570</v>
      </c>
      <c r="B760" t="s">
        <v>382</v>
      </c>
      <c r="C760" t="s">
        <v>9</v>
      </c>
      <c r="D760" t="s">
        <v>76</v>
      </c>
      <c r="E760" t="s">
        <v>17</v>
      </c>
      <c r="F760">
        <v>92037</v>
      </c>
      <c r="G760" t="s">
        <v>18</v>
      </c>
      <c r="H760" t="s">
        <v>1578</v>
      </c>
      <c r="I760" s="1">
        <v>42939</v>
      </c>
      <c r="J760" s="1">
        <v>42944</v>
      </c>
      <c r="K760">
        <v>4</v>
      </c>
      <c r="L760" t="s">
        <v>1579</v>
      </c>
      <c r="M760">
        <v>4</v>
      </c>
      <c r="N760">
        <v>1</v>
      </c>
      <c r="O760">
        <v>0.2</v>
      </c>
      <c r="P760" t="b">
        <v>0</v>
      </c>
    </row>
    <row r="761" spans="1:16" x14ac:dyDescent="0.2">
      <c r="A761" t="s">
        <v>544</v>
      </c>
      <c r="B761" t="s">
        <v>340</v>
      </c>
      <c r="C761" t="s">
        <v>9</v>
      </c>
      <c r="D761" t="s">
        <v>25</v>
      </c>
      <c r="E761" t="s">
        <v>26</v>
      </c>
      <c r="F761">
        <v>10035</v>
      </c>
      <c r="G761" t="s">
        <v>27</v>
      </c>
      <c r="H761" t="s">
        <v>1580</v>
      </c>
      <c r="I761" s="1">
        <v>41904</v>
      </c>
      <c r="J761" s="1">
        <v>41911</v>
      </c>
      <c r="K761">
        <v>4</v>
      </c>
      <c r="L761" t="s">
        <v>1581</v>
      </c>
      <c r="M761">
        <v>3</v>
      </c>
      <c r="N761">
        <v>0</v>
      </c>
      <c r="O761">
        <v>0</v>
      </c>
      <c r="P761" t="b">
        <v>0</v>
      </c>
    </row>
    <row r="762" spans="1:16" x14ac:dyDescent="0.2">
      <c r="A762" t="s">
        <v>544</v>
      </c>
      <c r="B762" t="s">
        <v>340</v>
      </c>
      <c r="C762" t="s">
        <v>9</v>
      </c>
      <c r="D762" t="s">
        <v>25</v>
      </c>
      <c r="E762" t="s">
        <v>26</v>
      </c>
      <c r="F762">
        <v>10035</v>
      </c>
      <c r="G762" t="s">
        <v>27</v>
      </c>
      <c r="H762" t="s">
        <v>1580</v>
      </c>
      <c r="I762" s="1">
        <v>41904</v>
      </c>
      <c r="J762" s="1">
        <v>41911</v>
      </c>
      <c r="K762">
        <v>4</v>
      </c>
      <c r="L762" t="s">
        <v>1326</v>
      </c>
      <c r="M762">
        <v>1</v>
      </c>
      <c r="N762">
        <v>1</v>
      </c>
      <c r="O762">
        <v>0.2</v>
      </c>
      <c r="P762" t="b">
        <v>0</v>
      </c>
    </row>
    <row r="763" spans="1:16" x14ac:dyDescent="0.2">
      <c r="A763" t="s">
        <v>544</v>
      </c>
      <c r="B763" t="s">
        <v>340</v>
      </c>
      <c r="C763" t="s">
        <v>9</v>
      </c>
      <c r="D763" t="s">
        <v>25</v>
      </c>
      <c r="E763" t="s">
        <v>26</v>
      </c>
      <c r="F763">
        <v>10035</v>
      </c>
      <c r="G763" t="s">
        <v>27</v>
      </c>
      <c r="H763" t="s">
        <v>1580</v>
      </c>
      <c r="I763" s="1">
        <v>41904</v>
      </c>
      <c r="J763" s="1">
        <v>41911</v>
      </c>
      <c r="K763">
        <v>4</v>
      </c>
      <c r="L763" t="s">
        <v>1582</v>
      </c>
      <c r="M763">
        <v>4</v>
      </c>
      <c r="N763">
        <v>0</v>
      </c>
      <c r="O763">
        <v>0</v>
      </c>
      <c r="P763" t="b">
        <v>0</v>
      </c>
    </row>
    <row r="764" spans="1:16" x14ac:dyDescent="0.2">
      <c r="A764" t="s">
        <v>544</v>
      </c>
      <c r="B764" t="s">
        <v>340</v>
      </c>
      <c r="C764" t="s">
        <v>9</v>
      </c>
      <c r="D764" t="s">
        <v>25</v>
      </c>
      <c r="E764" t="s">
        <v>26</v>
      </c>
      <c r="F764">
        <v>10035</v>
      </c>
      <c r="G764" t="s">
        <v>27</v>
      </c>
      <c r="H764" t="s">
        <v>1580</v>
      </c>
      <c r="I764" s="1">
        <v>41904</v>
      </c>
      <c r="J764" s="1">
        <v>41911</v>
      </c>
      <c r="K764">
        <v>4</v>
      </c>
      <c r="L764" t="s">
        <v>1583</v>
      </c>
      <c r="M764">
        <v>4</v>
      </c>
      <c r="N764">
        <v>1</v>
      </c>
      <c r="O764">
        <v>0.1</v>
      </c>
      <c r="P764" t="b">
        <v>1</v>
      </c>
    </row>
    <row r="765" spans="1:16" x14ac:dyDescent="0.2">
      <c r="A765" t="s">
        <v>445</v>
      </c>
      <c r="B765" t="s">
        <v>196</v>
      </c>
      <c r="C765" t="s">
        <v>9</v>
      </c>
      <c r="D765" t="s">
        <v>153</v>
      </c>
      <c r="E765" t="s">
        <v>124</v>
      </c>
      <c r="F765">
        <v>60610</v>
      </c>
      <c r="G765" t="s">
        <v>12</v>
      </c>
      <c r="H765" t="s">
        <v>1584</v>
      </c>
      <c r="I765" s="1">
        <v>42483</v>
      </c>
      <c r="J765" s="1">
        <v>42487</v>
      </c>
      <c r="K765">
        <v>4</v>
      </c>
      <c r="L765" t="s">
        <v>1585</v>
      </c>
      <c r="M765">
        <v>7</v>
      </c>
      <c r="N765">
        <v>1</v>
      </c>
      <c r="O765">
        <v>0.2</v>
      </c>
      <c r="P765" t="b">
        <v>0</v>
      </c>
    </row>
    <row r="766" spans="1:16" x14ac:dyDescent="0.2">
      <c r="A766" t="s">
        <v>445</v>
      </c>
      <c r="B766" t="s">
        <v>196</v>
      </c>
      <c r="C766" t="s">
        <v>9</v>
      </c>
      <c r="D766" t="s">
        <v>153</v>
      </c>
      <c r="E766" t="s">
        <v>124</v>
      </c>
      <c r="F766">
        <v>60610</v>
      </c>
      <c r="G766" t="s">
        <v>12</v>
      </c>
      <c r="H766" t="s">
        <v>1584</v>
      </c>
      <c r="I766" s="1">
        <v>42483</v>
      </c>
      <c r="J766" s="1">
        <v>42487</v>
      </c>
      <c r="K766">
        <v>4</v>
      </c>
      <c r="L766" t="s">
        <v>1284</v>
      </c>
      <c r="M766">
        <v>3</v>
      </c>
      <c r="N766">
        <v>0</v>
      </c>
      <c r="O766">
        <v>0</v>
      </c>
      <c r="P766" t="b">
        <v>0</v>
      </c>
    </row>
    <row r="767" spans="1:16" x14ac:dyDescent="0.2">
      <c r="A767" t="s">
        <v>490</v>
      </c>
      <c r="B767" t="s">
        <v>262</v>
      </c>
      <c r="C767" t="s">
        <v>9</v>
      </c>
      <c r="D767" t="s">
        <v>25</v>
      </c>
      <c r="E767" t="s">
        <v>26</v>
      </c>
      <c r="F767">
        <v>10035</v>
      </c>
      <c r="G767" t="s">
        <v>27</v>
      </c>
      <c r="H767" t="s">
        <v>1586</v>
      </c>
      <c r="I767" s="1">
        <v>42827</v>
      </c>
      <c r="J767" s="1">
        <v>42831</v>
      </c>
      <c r="K767">
        <v>4</v>
      </c>
      <c r="L767" t="s">
        <v>705</v>
      </c>
      <c r="M767">
        <v>3</v>
      </c>
      <c r="N767">
        <v>0</v>
      </c>
      <c r="O767">
        <v>0</v>
      </c>
      <c r="P767" t="b">
        <v>0</v>
      </c>
    </row>
    <row r="768" spans="1:16" x14ac:dyDescent="0.2">
      <c r="A768" t="s">
        <v>473</v>
      </c>
      <c r="B768" t="s">
        <v>238</v>
      </c>
      <c r="C768" t="s">
        <v>150</v>
      </c>
      <c r="D768" t="s">
        <v>25</v>
      </c>
      <c r="E768" t="s">
        <v>26</v>
      </c>
      <c r="F768">
        <v>10035</v>
      </c>
      <c r="G768" t="s">
        <v>27</v>
      </c>
      <c r="H768" t="s">
        <v>1587</v>
      </c>
      <c r="I768" s="1">
        <v>42365</v>
      </c>
      <c r="J768" s="1">
        <v>42369</v>
      </c>
      <c r="K768">
        <v>2</v>
      </c>
      <c r="L768" t="s">
        <v>1588</v>
      </c>
      <c r="M768">
        <v>2</v>
      </c>
      <c r="N768">
        <v>0</v>
      </c>
      <c r="O768">
        <v>0</v>
      </c>
      <c r="P768" t="b">
        <v>0</v>
      </c>
    </row>
    <row r="769" spans="1:16" x14ac:dyDescent="0.2">
      <c r="A769" t="s">
        <v>473</v>
      </c>
      <c r="B769" t="s">
        <v>238</v>
      </c>
      <c r="C769" t="s">
        <v>150</v>
      </c>
      <c r="D769" t="s">
        <v>25</v>
      </c>
      <c r="E769" t="s">
        <v>26</v>
      </c>
      <c r="F769">
        <v>10035</v>
      </c>
      <c r="G769" t="s">
        <v>27</v>
      </c>
      <c r="H769" t="s">
        <v>1587</v>
      </c>
      <c r="I769" s="1">
        <v>42365</v>
      </c>
      <c r="J769" s="1">
        <v>42369</v>
      </c>
      <c r="K769">
        <v>2</v>
      </c>
      <c r="L769" t="s">
        <v>1589</v>
      </c>
      <c r="M769">
        <v>9</v>
      </c>
      <c r="N769">
        <v>1</v>
      </c>
      <c r="O769">
        <v>0.2</v>
      </c>
      <c r="P769" t="b">
        <v>0</v>
      </c>
    </row>
    <row r="770" spans="1:16" x14ac:dyDescent="0.2">
      <c r="A770" t="s">
        <v>559</v>
      </c>
      <c r="B770" t="s">
        <v>364</v>
      </c>
      <c r="C770" t="s">
        <v>90</v>
      </c>
      <c r="D770" t="s">
        <v>365</v>
      </c>
      <c r="E770" t="s">
        <v>191</v>
      </c>
      <c r="F770">
        <v>7960</v>
      </c>
      <c r="G770" t="s">
        <v>27</v>
      </c>
      <c r="H770" t="s">
        <v>1590</v>
      </c>
      <c r="I770" s="1">
        <v>42520</v>
      </c>
      <c r="J770" s="1">
        <v>42521</v>
      </c>
      <c r="K770">
        <v>3</v>
      </c>
      <c r="L770" t="s">
        <v>1591</v>
      </c>
      <c r="M770">
        <v>5</v>
      </c>
      <c r="N770">
        <v>1</v>
      </c>
      <c r="O770">
        <v>0.2</v>
      </c>
      <c r="P770" t="b">
        <v>1</v>
      </c>
    </row>
    <row r="771" spans="1:16" x14ac:dyDescent="0.2">
      <c r="A771" t="s">
        <v>559</v>
      </c>
      <c r="B771" t="s">
        <v>364</v>
      </c>
      <c r="C771" t="s">
        <v>90</v>
      </c>
      <c r="D771" t="s">
        <v>365</v>
      </c>
      <c r="E771" t="s">
        <v>191</v>
      </c>
      <c r="F771">
        <v>7960</v>
      </c>
      <c r="G771" t="s">
        <v>27</v>
      </c>
      <c r="H771" t="s">
        <v>1590</v>
      </c>
      <c r="I771" s="1">
        <v>42520</v>
      </c>
      <c r="J771" s="1">
        <v>42521</v>
      </c>
      <c r="K771">
        <v>3</v>
      </c>
      <c r="L771" t="s">
        <v>822</v>
      </c>
      <c r="M771">
        <v>5</v>
      </c>
      <c r="N771">
        <v>1</v>
      </c>
      <c r="O771">
        <v>0.2</v>
      </c>
      <c r="P771" t="b">
        <v>0</v>
      </c>
    </row>
    <row r="772" spans="1:16" x14ac:dyDescent="0.2">
      <c r="A772" t="s">
        <v>439</v>
      </c>
      <c r="B772" t="s">
        <v>186</v>
      </c>
      <c r="C772" t="s">
        <v>90</v>
      </c>
      <c r="D772" t="s">
        <v>97</v>
      </c>
      <c r="E772" t="s">
        <v>67</v>
      </c>
      <c r="F772">
        <v>19134</v>
      </c>
      <c r="G772" t="s">
        <v>27</v>
      </c>
      <c r="H772" t="s">
        <v>1592</v>
      </c>
      <c r="I772" s="1">
        <v>41962</v>
      </c>
      <c r="J772" s="1">
        <v>41965</v>
      </c>
      <c r="K772">
        <v>3</v>
      </c>
      <c r="L772" t="s">
        <v>1593</v>
      </c>
      <c r="M772">
        <v>1</v>
      </c>
      <c r="N772">
        <v>1</v>
      </c>
      <c r="O772">
        <v>0.2</v>
      </c>
      <c r="P772" t="b">
        <v>0</v>
      </c>
    </row>
    <row r="773" spans="1:16" x14ac:dyDescent="0.2">
      <c r="A773" t="s">
        <v>522</v>
      </c>
      <c r="B773" t="s">
        <v>308</v>
      </c>
      <c r="C773" t="s">
        <v>90</v>
      </c>
      <c r="D773" t="s">
        <v>309</v>
      </c>
      <c r="E773" t="s">
        <v>166</v>
      </c>
      <c r="F773">
        <v>33311</v>
      </c>
      <c r="G773" t="s">
        <v>47</v>
      </c>
      <c r="H773" t="s">
        <v>1594</v>
      </c>
      <c r="I773" s="1">
        <v>42664</v>
      </c>
      <c r="J773" s="1">
        <v>42669</v>
      </c>
      <c r="K773">
        <v>1</v>
      </c>
      <c r="L773" t="s">
        <v>1595</v>
      </c>
      <c r="M773">
        <v>2</v>
      </c>
      <c r="N773">
        <v>1</v>
      </c>
      <c r="O773">
        <v>0.2</v>
      </c>
      <c r="P773" t="b">
        <v>0</v>
      </c>
    </row>
    <row r="774" spans="1:16" x14ac:dyDescent="0.2">
      <c r="A774" t="s">
        <v>522</v>
      </c>
      <c r="B774" t="s">
        <v>308</v>
      </c>
      <c r="C774" t="s">
        <v>90</v>
      </c>
      <c r="D774" t="s">
        <v>309</v>
      </c>
      <c r="E774" t="s">
        <v>166</v>
      </c>
      <c r="F774">
        <v>33311</v>
      </c>
      <c r="G774" t="s">
        <v>47</v>
      </c>
      <c r="H774" t="s">
        <v>1594</v>
      </c>
      <c r="I774" s="1">
        <v>42664</v>
      </c>
      <c r="J774" s="1">
        <v>42669</v>
      </c>
      <c r="K774">
        <v>1</v>
      </c>
      <c r="L774" t="s">
        <v>1596</v>
      </c>
      <c r="M774">
        <v>8</v>
      </c>
      <c r="N774">
        <v>1</v>
      </c>
      <c r="O774">
        <v>0.7</v>
      </c>
      <c r="P774" t="b">
        <v>0</v>
      </c>
    </row>
    <row r="775" spans="1:16" x14ac:dyDescent="0.2">
      <c r="A775" t="s">
        <v>456</v>
      </c>
      <c r="B775" t="s">
        <v>211</v>
      </c>
      <c r="C775" t="s">
        <v>150</v>
      </c>
      <c r="D775" t="s">
        <v>212</v>
      </c>
      <c r="E775" t="s">
        <v>166</v>
      </c>
      <c r="F775">
        <v>33710</v>
      </c>
      <c r="G775" t="s">
        <v>47</v>
      </c>
      <c r="H775" t="s">
        <v>1597</v>
      </c>
      <c r="I775" s="1">
        <v>42163</v>
      </c>
      <c r="J775" s="1">
        <v>42167</v>
      </c>
      <c r="K775">
        <v>4</v>
      </c>
      <c r="L775" t="s">
        <v>1598</v>
      </c>
      <c r="M775">
        <v>7</v>
      </c>
      <c r="N775">
        <v>1</v>
      </c>
      <c r="O775">
        <v>0.2</v>
      </c>
      <c r="P775" t="b">
        <v>0</v>
      </c>
    </row>
    <row r="776" spans="1:16" x14ac:dyDescent="0.2">
      <c r="A776" t="s">
        <v>456</v>
      </c>
      <c r="B776" t="s">
        <v>211</v>
      </c>
      <c r="C776" t="s">
        <v>150</v>
      </c>
      <c r="D776" t="s">
        <v>212</v>
      </c>
      <c r="E776" t="s">
        <v>166</v>
      </c>
      <c r="F776">
        <v>33710</v>
      </c>
      <c r="G776" t="s">
        <v>47</v>
      </c>
      <c r="H776" t="s">
        <v>1597</v>
      </c>
      <c r="I776" s="1">
        <v>42163</v>
      </c>
      <c r="J776" s="1">
        <v>42167</v>
      </c>
      <c r="K776">
        <v>4</v>
      </c>
      <c r="L776" t="s">
        <v>1588</v>
      </c>
      <c r="M776">
        <v>4</v>
      </c>
      <c r="N776">
        <v>1</v>
      </c>
      <c r="O776">
        <v>0.2</v>
      </c>
      <c r="P776" t="b">
        <v>0</v>
      </c>
    </row>
    <row r="777" spans="1:16" x14ac:dyDescent="0.2">
      <c r="A777" t="s">
        <v>456</v>
      </c>
      <c r="B777" t="s">
        <v>211</v>
      </c>
      <c r="C777" t="s">
        <v>150</v>
      </c>
      <c r="D777" t="s">
        <v>212</v>
      </c>
      <c r="E777" t="s">
        <v>166</v>
      </c>
      <c r="F777">
        <v>33710</v>
      </c>
      <c r="G777" t="s">
        <v>47</v>
      </c>
      <c r="H777" t="s">
        <v>1597</v>
      </c>
      <c r="I777" s="1">
        <v>42163</v>
      </c>
      <c r="J777" s="1">
        <v>42167</v>
      </c>
      <c r="K777">
        <v>4</v>
      </c>
      <c r="L777" t="s">
        <v>1599</v>
      </c>
      <c r="M777">
        <v>7</v>
      </c>
      <c r="N777">
        <v>1</v>
      </c>
      <c r="O777">
        <v>0.2</v>
      </c>
      <c r="P777" t="b">
        <v>0</v>
      </c>
    </row>
    <row r="778" spans="1:16" x14ac:dyDescent="0.2">
      <c r="A778" t="s">
        <v>456</v>
      </c>
      <c r="B778" t="s">
        <v>211</v>
      </c>
      <c r="C778" t="s">
        <v>150</v>
      </c>
      <c r="D778" t="s">
        <v>212</v>
      </c>
      <c r="E778" t="s">
        <v>166</v>
      </c>
      <c r="F778">
        <v>33710</v>
      </c>
      <c r="G778" t="s">
        <v>47</v>
      </c>
      <c r="H778" t="s">
        <v>1597</v>
      </c>
      <c r="I778" s="1">
        <v>42163</v>
      </c>
      <c r="J778" s="1">
        <v>42167</v>
      </c>
      <c r="K778">
        <v>4</v>
      </c>
      <c r="L778" t="s">
        <v>1600</v>
      </c>
      <c r="M778">
        <v>2</v>
      </c>
      <c r="N778">
        <v>1</v>
      </c>
      <c r="O778">
        <v>0.2</v>
      </c>
      <c r="P778" t="b">
        <v>0</v>
      </c>
    </row>
    <row r="779" spans="1:16" x14ac:dyDescent="0.2">
      <c r="A779" t="s">
        <v>456</v>
      </c>
      <c r="B779" t="s">
        <v>211</v>
      </c>
      <c r="C779" t="s">
        <v>150</v>
      </c>
      <c r="D779" t="s">
        <v>212</v>
      </c>
      <c r="E779" t="s">
        <v>166</v>
      </c>
      <c r="F779">
        <v>33710</v>
      </c>
      <c r="G779" t="s">
        <v>47</v>
      </c>
      <c r="H779" t="s">
        <v>1597</v>
      </c>
      <c r="I779" s="1">
        <v>42163</v>
      </c>
      <c r="J779" s="1">
        <v>42167</v>
      </c>
      <c r="K779">
        <v>4</v>
      </c>
      <c r="L779" t="s">
        <v>1265</v>
      </c>
      <c r="M779">
        <v>3</v>
      </c>
      <c r="N779">
        <v>1</v>
      </c>
      <c r="O779">
        <v>0.2</v>
      </c>
      <c r="P779" t="b">
        <v>0</v>
      </c>
    </row>
    <row r="780" spans="1:16" x14ac:dyDescent="0.2">
      <c r="A780" t="s">
        <v>456</v>
      </c>
      <c r="B780" t="s">
        <v>211</v>
      </c>
      <c r="C780" t="s">
        <v>150</v>
      </c>
      <c r="D780" t="s">
        <v>212</v>
      </c>
      <c r="E780" t="s">
        <v>166</v>
      </c>
      <c r="F780">
        <v>33710</v>
      </c>
      <c r="G780" t="s">
        <v>47</v>
      </c>
      <c r="H780" t="s">
        <v>1597</v>
      </c>
      <c r="I780" s="1">
        <v>42163</v>
      </c>
      <c r="J780" s="1">
        <v>42167</v>
      </c>
      <c r="K780">
        <v>4</v>
      </c>
      <c r="L780" t="s">
        <v>1601</v>
      </c>
      <c r="M780">
        <v>10</v>
      </c>
      <c r="N780">
        <v>1</v>
      </c>
      <c r="O780">
        <v>0.2</v>
      </c>
      <c r="P780" t="b">
        <v>0</v>
      </c>
    </row>
    <row r="781" spans="1:16" x14ac:dyDescent="0.2">
      <c r="A781" t="s">
        <v>456</v>
      </c>
      <c r="B781" t="s">
        <v>211</v>
      </c>
      <c r="C781" t="s">
        <v>150</v>
      </c>
      <c r="D781" t="s">
        <v>212</v>
      </c>
      <c r="E781" t="s">
        <v>166</v>
      </c>
      <c r="F781">
        <v>33710</v>
      </c>
      <c r="G781" t="s">
        <v>47</v>
      </c>
      <c r="H781" t="s">
        <v>1597</v>
      </c>
      <c r="I781" s="1">
        <v>42163</v>
      </c>
      <c r="J781" s="1">
        <v>42167</v>
      </c>
      <c r="K781">
        <v>4</v>
      </c>
      <c r="L781" t="s">
        <v>960</v>
      </c>
      <c r="M781">
        <v>2</v>
      </c>
      <c r="N781">
        <v>1</v>
      </c>
      <c r="O781">
        <v>0.7</v>
      </c>
      <c r="P781" t="b">
        <v>0</v>
      </c>
    </row>
    <row r="782" spans="1:16" x14ac:dyDescent="0.2">
      <c r="A782" t="s">
        <v>556</v>
      </c>
      <c r="B782" t="s">
        <v>360</v>
      </c>
      <c r="C782" t="s">
        <v>90</v>
      </c>
      <c r="D782" t="s">
        <v>38</v>
      </c>
      <c r="E782" t="s">
        <v>17</v>
      </c>
      <c r="F782">
        <v>90004</v>
      </c>
      <c r="G782" t="s">
        <v>18</v>
      </c>
      <c r="H782" t="s">
        <v>1602</v>
      </c>
      <c r="I782" s="1">
        <v>41967</v>
      </c>
      <c r="J782" s="1">
        <v>41973</v>
      </c>
      <c r="K782">
        <v>3</v>
      </c>
      <c r="L782" t="s">
        <v>1603</v>
      </c>
      <c r="M782">
        <v>3</v>
      </c>
      <c r="N782">
        <v>1</v>
      </c>
      <c r="O782">
        <v>0.7</v>
      </c>
      <c r="P782" t="b">
        <v>0</v>
      </c>
    </row>
    <row r="783" spans="1:16" x14ac:dyDescent="0.2">
      <c r="A783" t="s">
        <v>550</v>
      </c>
      <c r="B783" t="s">
        <v>350</v>
      </c>
      <c r="C783" t="s">
        <v>9</v>
      </c>
      <c r="D783" t="s">
        <v>97</v>
      </c>
      <c r="E783" t="s">
        <v>67</v>
      </c>
      <c r="F783">
        <v>19120</v>
      </c>
      <c r="G783" t="s">
        <v>27</v>
      </c>
      <c r="H783" t="s">
        <v>1604</v>
      </c>
      <c r="I783" s="1">
        <v>42467</v>
      </c>
      <c r="J783" s="1">
        <v>42472</v>
      </c>
      <c r="K783">
        <v>4</v>
      </c>
      <c r="L783" t="s">
        <v>1522</v>
      </c>
      <c r="M783">
        <v>3</v>
      </c>
      <c r="N783">
        <v>1</v>
      </c>
      <c r="O783">
        <v>0.2</v>
      </c>
      <c r="P783" t="b">
        <v>0</v>
      </c>
    </row>
    <row r="784" spans="1:16" x14ac:dyDescent="0.2">
      <c r="A784" t="s">
        <v>550</v>
      </c>
      <c r="B784" t="s">
        <v>350</v>
      </c>
      <c r="C784" t="s">
        <v>9</v>
      </c>
      <c r="D784" t="s">
        <v>97</v>
      </c>
      <c r="E784" t="s">
        <v>67</v>
      </c>
      <c r="F784">
        <v>19120</v>
      </c>
      <c r="G784" t="s">
        <v>27</v>
      </c>
      <c r="H784" t="s">
        <v>1604</v>
      </c>
      <c r="I784" s="1">
        <v>42467</v>
      </c>
      <c r="J784" s="1">
        <v>42472</v>
      </c>
      <c r="K784">
        <v>4</v>
      </c>
      <c r="L784" t="s">
        <v>1605</v>
      </c>
      <c r="M784">
        <v>3</v>
      </c>
      <c r="N784">
        <v>1</v>
      </c>
      <c r="O784">
        <v>0.2</v>
      </c>
      <c r="P784" t="b">
        <v>0</v>
      </c>
    </row>
    <row r="785" spans="1:16" x14ac:dyDescent="0.2">
      <c r="A785" t="s">
        <v>510</v>
      </c>
      <c r="B785" t="s">
        <v>289</v>
      </c>
      <c r="C785" t="s">
        <v>9</v>
      </c>
      <c r="D785" t="s">
        <v>290</v>
      </c>
      <c r="E785" t="s">
        <v>63</v>
      </c>
      <c r="F785">
        <v>28403</v>
      </c>
      <c r="G785" t="s">
        <v>47</v>
      </c>
      <c r="H785" t="s">
        <v>1606</v>
      </c>
      <c r="I785" s="1">
        <v>43014</v>
      </c>
      <c r="J785" s="1">
        <v>43019</v>
      </c>
      <c r="K785">
        <v>3</v>
      </c>
      <c r="L785" t="s">
        <v>1607</v>
      </c>
      <c r="M785">
        <v>2</v>
      </c>
      <c r="N785">
        <v>1</v>
      </c>
      <c r="O785">
        <v>0.2</v>
      </c>
      <c r="P785" t="b">
        <v>0</v>
      </c>
    </row>
    <row r="786" spans="1:16" x14ac:dyDescent="0.2">
      <c r="A786" t="s">
        <v>550</v>
      </c>
      <c r="B786" t="s">
        <v>350</v>
      </c>
      <c r="C786" t="s">
        <v>9</v>
      </c>
      <c r="D786" t="s">
        <v>97</v>
      </c>
      <c r="E786" t="s">
        <v>67</v>
      </c>
      <c r="F786">
        <v>19120</v>
      </c>
      <c r="G786" t="s">
        <v>27</v>
      </c>
      <c r="H786" t="s">
        <v>1608</v>
      </c>
      <c r="I786" s="1">
        <v>42211</v>
      </c>
      <c r="J786" s="1">
        <v>42211</v>
      </c>
      <c r="K786">
        <v>1</v>
      </c>
      <c r="L786" t="s">
        <v>1609</v>
      </c>
      <c r="M786">
        <v>2</v>
      </c>
      <c r="N786">
        <v>1</v>
      </c>
      <c r="O786">
        <v>0.2</v>
      </c>
      <c r="P786" t="b">
        <v>0</v>
      </c>
    </row>
    <row r="787" spans="1:16" x14ac:dyDescent="0.2">
      <c r="A787" t="s">
        <v>523</v>
      </c>
      <c r="B787" t="s">
        <v>310</v>
      </c>
      <c r="C787" t="s">
        <v>90</v>
      </c>
      <c r="D787" t="s">
        <v>38</v>
      </c>
      <c r="E787" t="s">
        <v>17</v>
      </c>
      <c r="F787">
        <v>90032</v>
      </c>
      <c r="G787" t="s">
        <v>18</v>
      </c>
      <c r="H787" t="s">
        <v>1610</v>
      </c>
      <c r="I787" s="1">
        <v>42710</v>
      </c>
      <c r="J787" s="1">
        <v>42714</v>
      </c>
      <c r="K787">
        <v>4</v>
      </c>
      <c r="L787" t="s">
        <v>1611</v>
      </c>
      <c r="M787">
        <v>5</v>
      </c>
      <c r="N787">
        <v>1</v>
      </c>
      <c r="O787">
        <v>0.2</v>
      </c>
      <c r="P787" t="b">
        <v>0</v>
      </c>
    </row>
    <row r="788" spans="1:16" x14ac:dyDescent="0.2">
      <c r="A788" t="s">
        <v>523</v>
      </c>
      <c r="B788" t="s">
        <v>310</v>
      </c>
      <c r="C788" t="s">
        <v>90</v>
      </c>
      <c r="D788" t="s">
        <v>38</v>
      </c>
      <c r="E788" t="s">
        <v>17</v>
      </c>
      <c r="F788">
        <v>90032</v>
      </c>
      <c r="G788" t="s">
        <v>18</v>
      </c>
      <c r="H788" t="s">
        <v>1610</v>
      </c>
      <c r="I788" s="1">
        <v>42710</v>
      </c>
      <c r="J788" s="1">
        <v>42714</v>
      </c>
      <c r="K788">
        <v>4</v>
      </c>
      <c r="L788" t="s">
        <v>1612</v>
      </c>
      <c r="M788">
        <v>7</v>
      </c>
      <c r="N788">
        <v>0</v>
      </c>
      <c r="O788">
        <v>0</v>
      </c>
      <c r="P788" t="b">
        <v>0</v>
      </c>
    </row>
    <row r="789" spans="1:16" x14ac:dyDescent="0.2">
      <c r="A789" t="s">
        <v>523</v>
      </c>
      <c r="B789" t="s">
        <v>310</v>
      </c>
      <c r="C789" t="s">
        <v>90</v>
      </c>
      <c r="D789" t="s">
        <v>38</v>
      </c>
      <c r="E789" t="s">
        <v>17</v>
      </c>
      <c r="F789">
        <v>90032</v>
      </c>
      <c r="G789" t="s">
        <v>18</v>
      </c>
      <c r="H789" t="s">
        <v>1610</v>
      </c>
      <c r="I789" s="1">
        <v>42710</v>
      </c>
      <c r="J789" s="1">
        <v>42714</v>
      </c>
      <c r="K789">
        <v>4</v>
      </c>
      <c r="L789" t="s">
        <v>675</v>
      </c>
      <c r="M789">
        <v>2</v>
      </c>
      <c r="N789">
        <v>0</v>
      </c>
      <c r="O789">
        <v>0</v>
      </c>
      <c r="P789" t="b">
        <v>0</v>
      </c>
    </row>
    <row r="790" spans="1:16" x14ac:dyDescent="0.2">
      <c r="A790" t="s">
        <v>523</v>
      </c>
      <c r="B790" t="s">
        <v>310</v>
      </c>
      <c r="C790" t="s">
        <v>90</v>
      </c>
      <c r="D790" t="s">
        <v>38</v>
      </c>
      <c r="E790" t="s">
        <v>17</v>
      </c>
      <c r="F790">
        <v>90032</v>
      </c>
      <c r="G790" t="s">
        <v>18</v>
      </c>
      <c r="H790" t="s">
        <v>1610</v>
      </c>
      <c r="I790" s="1">
        <v>42710</v>
      </c>
      <c r="J790" s="1">
        <v>42714</v>
      </c>
      <c r="K790">
        <v>4</v>
      </c>
      <c r="L790" t="s">
        <v>1613</v>
      </c>
      <c r="M790">
        <v>2</v>
      </c>
      <c r="N790">
        <v>1</v>
      </c>
      <c r="O790">
        <v>0.2</v>
      </c>
      <c r="P790" t="b">
        <v>0</v>
      </c>
    </row>
    <row r="791" spans="1:16" x14ac:dyDescent="0.2">
      <c r="A791" t="s">
        <v>523</v>
      </c>
      <c r="B791" t="s">
        <v>310</v>
      </c>
      <c r="C791" t="s">
        <v>90</v>
      </c>
      <c r="D791" t="s">
        <v>38</v>
      </c>
      <c r="E791" t="s">
        <v>17</v>
      </c>
      <c r="F791">
        <v>90032</v>
      </c>
      <c r="G791" t="s">
        <v>18</v>
      </c>
      <c r="H791" t="s">
        <v>1610</v>
      </c>
      <c r="I791" s="1">
        <v>42710</v>
      </c>
      <c r="J791" s="1">
        <v>42714</v>
      </c>
      <c r="K791">
        <v>4</v>
      </c>
      <c r="L791" t="s">
        <v>1614</v>
      </c>
      <c r="M791">
        <v>7</v>
      </c>
      <c r="N791">
        <v>0</v>
      </c>
      <c r="O791">
        <v>0</v>
      </c>
      <c r="P791" t="b">
        <v>0</v>
      </c>
    </row>
    <row r="792" spans="1:16" x14ac:dyDescent="0.2">
      <c r="A792" t="s">
        <v>523</v>
      </c>
      <c r="B792" t="s">
        <v>310</v>
      </c>
      <c r="C792" t="s">
        <v>90</v>
      </c>
      <c r="D792" t="s">
        <v>38</v>
      </c>
      <c r="E792" t="s">
        <v>17</v>
      </c>
      <c r="F792">
        <v>90032</v>
      </c>
      <c r="G792" t="s">
        <v>18</v>
      </c>
      <c r="H792" t="s">
        <v>1610</v>
      </c>
      <c r="I792" s="1">
        <v>42710</v>
      </c>
      <c r="J792" s="1">
        <v>42714</v>
      </c>
      <c r="K792">
        <v>4</v>
      </c>
      <c r="L792" t="s">
        <v>1128</v>
      </c>
      <c r="M792">
        <v>4</v>
      </c>
      <c r="N792">
        <v>1</v>
      </c>
      <c r="O792">
        <v>0.2</v>
      </c>
      <c r="P792" t="b">
        <v>0</v>
      </c>
    </row>
    <row r="793" spans="1:16" x14ac:dyDescent="0.2">
      <c r="A793" t="s">
        <v>523</v>
      </c>
      <c r="B793" t="s">
        <v>310</v>
      </c>
      <c r="C793" t="s">
        <v>90</v>
      </c>
      <c r="D793" t="s">
        <v>38</v>
      </c>
      <c r="E793" t="s">
        <v>17</v>
      </c>
      <c r="F793">
        <v>90032</v>
      </c>
      <c r="G793" t="s">
        <v>18</v>
      </c>
      <c r="H793" t="s">
        <v>1610</v>
      </c>
      <c r="I793" s="1">
        <v>42710</v>
      </c>
      <c r="J793" s="1">
        <v>42714</v>
      </c>
      <c r="K793">
        <v>4</v>
      </c>
      <c r="L793" t="s">
        <v>1615</v>
      </c>
      <c r="M793">
        <v>14</v>
      </c>
      <c r="N793">
        <v>1</v>
      </c>
      <c r="O793">
        <v>0.2</v>
      </c>
      <c r="P793"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1BC6-DB37-BA4A-ABFA-04FAFDB935AC}">
  <dimension ref="A1:T395"/>
  <sheetViews>
    <sheetView workbookViewId="0">
      <selection activeCell="R21" sqref="R21"/>
    </sheetView>
  </sheetViews>
  <sheetFormatPr baseColWidth="10" defaultRowHeight="15" x14ac:dyDescent="0.2"/>
  <cols>
    <col min="1" max="1" width="14.1640625" bestFit="1" customWidth="1"/>
    <col min="2" max="2" width="15.5" bestFit="1" customWidth="1"/>
    <col min="3" max="3" width="17.83203125" bestFit="1" customWidth="1"/>
    <col min="4" max="4" width="10.5" bestFit="1" customWidth="1"/>
    <col min="5" max="5" width="16" bestFit="1" customWidth="1"/>
    <col min="6" max="6" width="13" bestFit="1" customWidth="1"/>
    <col min="7" max="7" width="12.6640625" bestFit="1" customWidth="1"/>
    <col min="8" max="8" width="9.33203125" bestFit="1" customWidth="1"/>
    <col min="9" max="9" width="11" bestFit="1" customWidth="1"/>
    <col min="10" max="10" width="12" bestFit="1" customWidth="1"/>
    <col min="11" max="11" width="15.33203125" bestFit="1" customWidth="1"/>
    <col min="12" max="12" width="10.5" bestFit="1" customWidth="1"/>
    <col min="13" max="13" width="14.6640625" bestFit="1" customWidth="1"/>
    <col min="14" max="14" width="17" bestFit="1" customWidth="1"/>
    <col min="15" max="15" width="10.6640625" bestFit="1" customWidth="1"/>
    <col min="16" max="16" width="12.1640625" bestFit="1" customWidth="1"/>
    <col min="17" max="17" width="14.1640625" bestFit="1" customWidth="1"/>
    <col min="18" max="19" width="14.6640625" bestFit="1" customWidth="1"/>
    <col min="20" max="20" width="17.1640625" bestFit="1" customWidth="1"/>
    <col min="21" max="21" width="9.5" bestFit="1" customWidth="1"/>
    <col min="22" max="22" width="14.1640625" bestFit="1" customWidth="1"/>
  </cols>
  <sheetData>
    <row r="1" spans="1:17" x14ac:dyDescent="0.2">
      <c r="A1" t="s">
        <v>581</v>
      </c>
      <c r="B1" t="s">
        <v>383</v>
      </c>
      <c r="C1" t="s">
        <v>0</v>
      </c>
      <c r="D1" t="s">
        <v>1</v>
      </c>
      <c r="E1" t="s">
        <v>2</v>
      </c>
      <c r="F1" t="s">
        <v>3</v>
      </c>
      <c r="G1" t="s">
        <v>4</v>
      </c>
      <c r="H1" t="s">
        <v>2309</v>
      </c>
      <c r="I1" t="s">
        <v>583</v>
      </c>
      <c r="J1" t="s">
        <v>584</v>
      </c>
      <c r="K1" t="s">
        <v>586</v>
      </c>
      <c r="L1" t="s">
        <v>587</v>
      </c>
      <c r="M1" t="s">
        <v>2308</v>
      </c>
      <c r="N1" t="s">
        <v>589</v>
      </c>
      <c r="O1" t="s">
        <v>590</v>
      </c>
      <c r="P1" t="s">
        <v>582</v>
      </c>
      <c r="Q1" t="s">
        <v>2277</v>
      </c>
    </row>
    <row r="2" spans="1:17" x14ac:dyDescent="0.2">
      <c r="A2" t="s">
        <v>720</v>
      </c>
      <c r="B2" t="s">
        <v>7</v>
      </c>
      <c r="C2" t="s">
        <v>8</v>
      </c>
      <c r="D2" t="s">
        <v>9</v>
      </c>
      <c r="E2" t="s">
        <v>10</v>
      </c>
      <c r="F2" t="s">
        <v>11</v>
      </c>
      <c r="G2">
        <v>55407</v>
      </c>
      <c r="H2" t="s">
        <v>12</v>
      </c>
      <c r="I2">
        <v>42920</v>
      </c>
      <c r="J2">
        <v>4</v>
      </c>
      <c r="K2" t="s">
        <v>722</v>
      </c>
      <c r="L2">
        <v>5</v>
      </c>
      <c r="M2">
        <v>0</v>
      </c>
      <c r="N2">
        <v>0</v>
      </c>
      <c r="O2" t="b">
        <v>0</v>
      </c>
      <c r="P2">
        <v>42915</v>
      </c>
      <c r="Q2">
        <v>5</v>
      </c>
    </row>
    <row r="3" spans="1:17" x14ac:dyDescent="0.2">
      <c r="A3" t="s">
        <v>591</v>
      </c>
      <c r="B3" t="s">
        <v>60</v>
      </c>
      <c r="C3" t="s">
        <v>61</v>
      </c>
      <c r="D3" t="s">
        <v>9</v>
      </c>
      <c r="E3" t="s">
        <v>62</v>
      </c>
      <c r="F3" t="s">
        <v>63</v>
      </c>
      <c r="G3">
        <v>28027</v>
      </c>
      <c r="H3" t="s">
        <v>47</v>
      </c>
      <c r="I3">
        <v>42845</v>
      </c>
      <c r="J3">
        <v>4</v>
      </c>
      <c r="K3" t="s">
        <v>592</v>
      </c>
      <c r="L3">
        <v>3</v>
      </c>
      <c r="M3">
        <v>1</v>
      </c>
      <c r="N3">
        <v>0.2</v>
      </c>
      <c r="O3" t="b">
        <v>0</v>
      </c>
      <c r="P3">
        <v>42840</v>
      </c>
      <c r="Q3">
        <v>5</v>
      </c>
    </row>
    <row r="4" spans="1:17" x14ac:dyDescent="0.2">
      <c r="A4" t="s">
        <v>754</v>
      </c>
      <c r="B4" t="s">
        <v>60</v>
      </c>
      <c r="C4" t="s">
        <v>61</v>
      </c>
      <c r="D4" t="s">
        <v>9</v>
      </c>
      <c r="E4" t="s">
        <v>62</v>
      </c>
      <c r="F4" t="s">
        <v>63</v>
      </c>
      <c r="G4">
        <v>28027</v>
      </c>
      <c r="H4" t="s">
        <v>47</v>
      </c>
      <c r="I4">
        <v>41763</v>
      </c>
      <c r="J4">
        <v>1</v>
      </c>
      <c r="K4" t="s">
        <v>755</v>
      </c>
      <c r="L4">
        <v>2</v>
      </c>
      <c r="M4">
        <v>0</v>
      </c>
      <c r="N4">
        <v>0</v>
      </c>
      <c r="O4" t="b">
        <v>0</v>
      </c>
      <c r="P4">
        <v>41763</v>
      </c>
      <c r="Q4">
        <v>0</v>
      </c>
    </row>
    <row r="5" spans="1:17" x14ac:dyDescent="0.2">
      <c r="A5" t="s">
        <v>735</v>
      </c>
      <c r="B5" t="s">
        <v>14</v>
      </c>
      <c r="C5" t="s">
        <v>15</v>
      </c>
      <c r="D5" t="s">
        <v>9</v>
      </c>
      <c r="E5" t="s">
        <v>16</v>
      </c>
      <c r="F5" t="s">
        <v>17</v>
      </c>
      <c r="G5">
        <v>94109</v>
      </c>
      <c r="H5" t="s">
        <v>18</v>
      </c>
      <c r="I5">
        <v>42284</v>
      </c>
      <c r="J5">
        <v>2</v>
      </c>
      <c r="K5" t="s">
        <v>736</v>
      </c>
      <c r="L5">
        <v>2</v>
      </c>
      <c r="M5">
        <v>0</v>
      </c>
      <c r="N5">
        <v>0</v>
      </c>
      <c r="O5" t="b">
        <v>0</v>
      </c>
      <c r="P5">
        <v>42281</v>
      </c>
      <c r="Q5">
        <v>3</v>
      </c>
    </row>
    <row r="6" spans="1:17" x14ac:dyDescent="0.2">
      <c r="A6" t="s">
        <v>857</v>
      </c>
      <c r="B6" t="s">
        <v>14</v>
      </c>
      <c r="C6" t="s">
        <v>15</v>
      </c>
      <c r="D6" t="s">
        <v>9</v>
      </c>
      <c r="E6" t="s">
        <v>16</v>
      </c>
      <c r="F6" t="s">
        <v>17</v>
      </c>
      <c r="G6">
        <v>94109</v>
      </c>
      <c r="H6" t="s">
        <v>18</v>
      </c>
      <c r="I6">
        <v>41734</v>
      </c>
      <c r="J6">
        <v>4</v>
      </c>
      <c r="K6" t="s">
        <v>858</v>
      </c>
      <c r="L6">
        <v>4</v>
      </c>
      <c r="M6">
        <v>1</v>
      </c>
      <c r="N6">
        <v>0.1</v>
      </c>
      <c r="O6" t="b">
        <v>0</v>
      </c>
      <c r="P6">
        <v>41729</v>
      </c>
      <c r="Q6">
        <v>5</v>
      </c>
    </row>
    <row r="7" spans="1:17" x14ac:dyDescent="0.2">
      <c r="A7" t="s">
        <v>593</v>
      </c>
      <c r="B7" t="s">
        <v>446</v>
      </c>
      <c r="C7" t="s">
        <v>197</v>
      </c>
      <c r="D7" t="s">
        <v>9</v>
      </c>
      <c r="E7" t="s">
        <v>198</v>
      </c>
      <c r="F7" t="s">
        <v>199</v>
      </c>
      <c r="G7">
        <v>84084</v>
      </c>
      <c r="H7" t="s">
        <v>18</v>
      </c>
      <c r="I7">
        <v>41774</v>
      </c>
      <c r="J7">
        <v>3</v>
      </c>
      <c r="K7" t="s">
        <v>594</v>
      </c>
      <c r="L7">
        <v>2</v>
      </c>
      <c r="M7">
        <v>0</v>
      </c>
      <c r="N7">
        <v>0</v>
      </c>
      <c r="O7" t="b">
        <v>0</v>
      </c>
      <c r="P7">
        <v>41772</v>
      </c>
      <c r="Q7">
        <v>2</v>
      </c>
    </row>
    <row r="8" spans="1:17" x14ac:dyDescent="0.2">
      <c r="A8" t="s">
        <v>595</v>
      </c>
      <c r="B8" t="s">
        <v>434</v>
      </c>
      <c r="C8" t="s">
        <v>177</v>
      </c>
      <c r="D8" t="s">
        <v>90</v>
      </c>
      <c r="E8" t="s">
        <v>178</v>
      </c>
      <c r="F8" t="s">
        <v>179</v>
      </c>
      <c r="G8">
        <v>59405</v>
      </c>
      <c r="H8" t="s">
        <v>18</v>
      </c>
      <c r="I8">
        <v>42001</v>
      </c>
      <c r="J8">
        <v>3</v>
      </c>
      <c r="K8" t="s">
        <v>596</v>
      </c>
      <c r="L8">
        <v>3</v>
      </c>
      <c r="M8">
        <v>1</v>
      </c>
      <c r="N8">
        <v>0.3</v>
      </c>
      <c r="O8" t="b">
        <v>0</v>
      </c>
      <c r="P8">
        <v>41999</v>
      </c>
      <c r="Q8">
        <v>2</v>
      </c>
    </row>
    <row r="9" spans="1:17" x14ac:dyDescent="0.2">
      <c r="A9" t="s">
        <v>642</v>
      </c>
      <c r="B9" t="s">
        <v>434</v>
      </c>
      <c r="C9" t="s">
        <v>177</v>
      </c>
      <c r="D9" t="s">
        <v>90</v>
      </c>
      <c r="E9" t="s">
        <v>178</v>
      </c>
      <c r="F9" t="s">
        <v>179</v>
      </c>
      <c r="G9">
        <v>59405</v>
      </c>
      <c r="H9" t="s">
        <v>18</v>
      </c>
      <c r="I9">
        <v>42762</v>
      </c>
      <c r="J9">
        <v>4</v>
      </c>
      <c r="K9" t="s">
        <v>643</v>
      </c>
      <c r="L9">
        <v>13</v>
      </c>
      <c r="M9">
        <v>0</v>
      </c>
      <c r="N9">
        <v>0</v>
      </c>
      <c r="O9" t="b">
        <v>1</v>
      </c>
      <c r="P9">
        <v>42757</v>
      </c>
      <c r="Q9">
        <v>5</v>
      </c>
    </row>
    <row r="10" spans="1:17" x14ac:dyDescent="0.2">
      <c r="A10" t="s">
        <v>597</v>
      </c>
      <c r="B10" t="s">
        <v>513</v>
      </c>
      <c r="C10" t="s">
        <v>294</v>
      </c>
      <c r="D10" t="s">
        <v>150</v>
      </c>
      <c r="E10" t="s">
        <v>295</v>
      </c>
      <c r="F10" t="s">
        <v>22</v>
      </c>
      <c r="G10">
        <v>75051</v>
      </c>
      <c r="H10" t="s">
        <v>12</v>
      </c>
      <c r="I10">
        <v>42573</v>
      </c>
      <c r="J10">
        <v>4</v>
      </c>
      <c r="K10" t="s">
        <v>598</v>
      </c>
      <c r="L10">
        <v>6</v>
      </c>
      <c r="M10">
        <v>1</v>
      </c>
      <c r="N10">
        <v>0.2</v>
      </c>
      <c r="O10" t="b">
        <v>0</v>
      </c>
      <c r="P10">
        <v>42567</v>
      </c>
      <c r="Q10">
        <v>6</v>
      </c>
    </row>
    <row r="11" spans="1:17" x14ac:dyDescent="0.2">
      <c r="A11" t="s">
        <v>866</v>
      </c>
      <c r="B11" t="s">
        <v>514</v>
      </c>
      <c r="C11" t="s">
        <v>296</v>
      </c>
      <c r="D11" t="s">
        <v>150</v>
      </c>
      <c r="E11" t="s">
        <v>38</v>
      </c>
      <c r="F11" t="s">
        <v>22</v>
      </c>
      <c r="G11">
        <v>90032</v>
      </c>
      <c r="H11" t="s">
        <v>18</v>
      </c>
      <c r="I11">
        <v>43072</v>
      </c>
      <c r="J11">
        <v>1</v>
      </c>
      <c r="K11" t="s">
        <v>869</v>
      </c>
      <c r="L11">
        <v>19</v>
      </c>
      <c r="M11">
        <v>1</v>
      </c>
      <c r="N11">
        <v>7.9999999999999988E-2</v>
      </c>
      <c r="O11" t="b">
        <v>0</v>
      </c>
      <c r="P11">
        <v>43071</v>
      </c>
      <c r="Q11">
        <v>1</v>
      </c>
    </row>
    <row r="12" spans="1:17" x14ac:dyDescent="0.2">
      <c r="A12" t="s">
        <v>647</v>
      </c>
      <c r="B12" t="s">
        <v>28</v>
      </c>
      <c r="C12" t="s">
        <v>29</v>
      </c>
      <c r="D12" t="s">
        <v>9</v>
      </c>
      <c r="E12" t="s">
        <v>30</v>
      </c>
      <c r="F12" t="s">
        <v>31</v>
      </c>
      <c r="G12">
        <v>85204</v>
      </c>
      <c r="H12" t="s">
        <v>18</v>
      </c>
      <c r="I12">
        <v>42567</v>
      </c>
      <c r="J12">
        <v>4</v>
      </c>
      <c r="K12" t="s">
        <v>648</v>
      </c>
      <c r="L12">
        <v>2</v>
      </c>
      <c r="M12">
        <v>1</v>
      </c>
      <c r="N12">
        <v>0.2</v>
      </c>
      <c r="O12" t="b">
        <v>0</v>
      </c>
      <c r="P12">
        <v>42561</v>
      </c>
      <c r="Q12">
        <v>6</v>
      </c>
    </row>
    <row r="13" spans="1:17" x14ac:dyDescent="0.2">
      <c r="A13" t="s">
        <v>684</v>
      </c>
      <c r="B13" t="s">
        <v>32</v>
      </c>
      <c r="C13" t="s">
        <v>33</v>
      </c>
      <c r="D13" t="s">
        <v>9</v>
      </c>
      <c r="E13" t="s">
        <v>34</v>
      </c>
      <c r="F13" t="s">
        <v>35</v>
      </c>
      <c r="G13">
        <v>68104</v>
      </c>
      <c r="H13" t="s">
        <v>12</v>
      </c>
      <c r="I13">
        <v>42040</v>
      </c>
      <c r="J13">
        <v>2</v>
      </c>
      <c r="K13" t="s">
        <v>686</v>
      </c>
      <c r="L13">
        <v>5</v>
      </c>
      <c r="M13">
        <v>0</v>
      </c>
      <c r="N13">
        <v>0</v>
      </c>
      <c r="O13" t="b">
        <v>0</v>
      </c>
      <c r="P13">
        <v>42038</v>
      </c>
      <c r="Q13">
        <v>2</v>
      </c>
    </row>
    <row r="14" spans="1:17" x14ac:dyDescent="0.2">
      <c r="A14" t="s">
        <v>600</v>
      </c>
      <c r="B14" t="s">
        <v>487</v>
      </c>
      <c r="C14" t="s">
        <v>257</v>
      </c>
      <c r="D14" t="s">
        <v>9</v>
      </c>
      <c r="E14" t="s">
        <v>258</v>
      </c>
      <c r="F14" t="s">
        <v>17</v>
      </c>
      <c r="G14">
        <v>94513</v>
      </c>
      <c r="H14" t="s">
        <v>18</v>
      </c>
      <c r="I14">
        <v>42323</v>
      </c>
      <c r="J14">
        <v>4</v>
      </c>
      <c r="K14" t="s">
        <v>601</v>
      </c>
      <c r="L14">
        <v>2</v>
      </c>
      <c r="M14">
        <v>0</v>
      </c>
      <c r="N14">
        <v>0</v>
      </c>
      <c r="O14" t="b">
        <v>0</v>
      </c>
      <c r="P14">
        <v>42318</v>
      </c>
      <c r="Q14">
        <v>5</v>
      </c>
    </row>
    <row r="15" spans="1:17" x14ac:dyDescent="0.2">
      <c r="A15" t="s">
        <v>889</v>
      </c>
      <c r="B15" t="s">
        <v>487</v>
      </c>
      <c r="C15" t="s">
        <v>257</v>
      </c>
      <c r="D15" t="s">
        <v>9</v>
      </c>
      <c r="E15" t="s">
        <v>258</v>
      </c>
      <c r="F15" t="s">
        <v>17</v>
      </c>
      <c r="G15">
        <v>94513</v>
      </c>
      <c r="H15" t="s">
        <v>18</v>
      </c>
      <c r="I15">
        <v>43100</v>
      </c>
      <c r="J15">
        <v>4</v>
      </c>
      <c r="K15" t="s">
        <v>890</v>
      </c>
      <c r="L15">
        <v>6</v>
      </c>
      <c r="M15">
        <v>0</v>
      </c>
      <c r="N15">
        <v>0</v>
      </c>
      <c r="O15" t="b">
        <v>0</v>
      </c>
      <c r="P15">
        <v>43093</v>
      </c>
      <c r="Q15">
        <v>7</v>
      </c>
    </row>
    <row r="16" spans="1:17" x14ac:dyDescent="0.2">
      <c r="A16" t="s">
        <v>727</v>
      </c>
      <c r="B16" t="s">
        <v>36</v>
      </c>
      <c r="C16" t="s">
        <v>37</v>
      </c>
      <c r="D16" t="s">
        <v>9</v>
      </c>
      <c r="E16" t="s">
        <v>38</v>
      </c>
      <c r="F16" t="s">
        <v>17</v>
      </c>
      <c r="G16">
        <v>90008</v>
      </c>
      <c r="H16" t="s">
        <v>18</v>
      </c>
      <c r="I16">
        <v>41754</v>
      </c>
      <c r="J16">
        <v>4</v>
      </c>
      <c r="K16" t="s">
        <v>728</v>
      </c>
      <c r="L16">
        <v>5</v>
      </c>
      <c r="M16">
        <v>1</v>
      </c>
      <c r="N16">
        <v>0.2</v>
      </c>
      <c r="O16" t="b">
        <v>0</v>
      </c>
      <c r="P16">
        <v>41750</v>
      </c>
      <c r="Q16">
        <v>4</v>
      </c>
    </row>
    <row r="17" spans="1:20" x14ac:dyDescent="0.2">
      <c r="A17" t="s">
        <v>602</v>
      </c>
      <c r="B17" t="s">
        <v>452</v>
      </c>
      <c r="C17" t="s">
        <v>206</v>
      </c>
      <c r="D17" t="s">
        <v>150</v>
      </c>
      <c r="E17" t="s">
        <v>97</v>
      </c>
      <c r="F17" t="s">
        <v>67</v>
      </c>
      <c r="G17">
        <v>19140</v>
      </c>
      <c r="H17" t="s">
        <v>27</v>
      </c>
      <c r="I17">
        <v>43025</v>
      </c>
      <c r="J17">
        <v>4</v>
      </c>
      <c r="K17" t="s">
        <v>605</v>
      </c>
      <c r="L17">
        <v>15</v>
      </c>
      <c r="M17">
        <v>1</v>
      </c>
      <c r="N17">
        <v>0.2</v>
      </c>
      <c r="O17" t="b">
        <v>0</v>
      </c>
      <c r="P17">
        <v>43021</v>
      </c>
      <c r="Q17">
        <v>4</v>
      </c>
    </row>
    <row r="18" spans="1:20" x14ac:dyDescent="0.2">
      <c r="A18" t="s">
        <v>828</v>
      </c>
      <c r="B18" t="s">
        <v>39</v>
      </c>
      <c r="C18" t="s">
        <v>40</v>
      </c>
      <c r="D18" t="s">
        <v>9</v>
      </c>
      <c r="E18" t="s">
        <v>41</v>
      </c>
      <c r="F18" t="s">
        <v>42</v>
      </c>
      <c r="G18">
        <v>97301</v>
      </c>
      <c r="H18" t="s">
        <v>18</v>
      </c>
      <c r="I18">
        <v>42136</v>
      </c>
      <c r="J18">
        <v>4</v>
      </c>
      <c r="K18" t="s">
        <v>829</v>
      </c>
      <c r="L18">
        <v>2</v>
      </c>
      <c r="M18">
        <v>1</v>
      </c>
      <c r="N18">
        <v>0.2</v>
      </c>
      <c r="O18" t="b">
        <v>0</v>
      </c>
      <c r="P18">
        <v>42132</v>
      </c>
      <c r="Q18">
        <v>4</v>
      </c>
    </row>
    <row r="19" spans="1:20" x14ac:dyDescent="0.2">
      <c r="A19" t="s">
        <v>860</v>
      </c>
      <c r="B19" t="s">
        <v>43</v>
      </c>
      <c r="C19" t="s">
        <v>44</v>
      </c>
      <c r="D19" t="s">
        <v>9</v>
      </c>
      <c r="E19" t="s">
        <v>45</v>
      </c>
      <c r="F19" t="s">
        <v>46</v>
      </c>
      <c r="G19">
        <v>30318</v>
      </c>
      <c r="H19" t="s">
        <v>47</v>
      </c>
      <c r="I19">
        <v>42690</v>
      </c>
      <c r="J19">
        <v>3</v>
      </c>
      <c r="K19" t="s">
        <v>861</v>
      </c>
      <c r="L19">
        <v>5</v>
      </c>
      <c r="M19">
        <v>0</v>
      </c>
      <c r="N19">
        <v>0</v>
      </c>
      <c r="O19" t="b">
        <v>0</v>
      </c>
      <c r="P19">
        <v>42688</v>
      </c>
      <c r="Q19">
        <v>2</v>
      </c>
      <c r="S19" t="s">
        <v>584</v>
      </c>
      <c r="T19" t="s">
        <v>2311</v>
      </c>
    </row>
    <row r="20" spans="1:20" x14ac:dyDescent="0.2">
      <c r="A20" t="s">
        <v>607</v>
      </c>
      <c r="B20" t="s">
        <v>484</v>
      </c>
      <c r="C20" t="s">
        <v>252</v>
      </c>
      <c r="D20" t="s">
        <v>150</v>
      </c>
      <c r="E20" t="s">
        <v>253</v>
      </c>
      <c r="F20" t="s">
        <v>166</v>
      </c>
      <c r="G20">
        <v>33319</v>
      </c>
      <c r="H20" t="s">
        <v>47</v>
      </c>
      <c r="I20">
        <v>42724</v>
      </c>
      <c r="J20">
        <v>3</v>
      </c>
      <c r="K20" t="s">
        <v>610</v>
      </c>
      <c r="L20">
        <v>14</v>
      </c>
      <c r="M20">
        <v>1</v>
      </c>
      <c r="N20">
        <v>0.36666666666666664</v>
      </c>
      <c r="O20" t="b">
        <v>0</v>
      </c>
      <c r="P20">
        <v>42722</v>
      </c>
      <c r="Q20">
        <v>2</v>
      </c>
      <c r="S20" t="s">
        <v>2313</v>
      </c>
      <c r="T20">
        <f>AVERAGEIF(CO_Combined[Ship Mode],"1",CO_Combined[OrderLagDays])</f>
        <v>2.1578947368421053</v>
      </c>
    </row>
    <row r="21" spans="1:20" x14ac:dyDescent="0.2">
      <c r="A21" t="s">
        <v>611</v>
      </c>
      <c r="B21" t="s">
        <v>546</v>
      </c>
      <c r="C21" t="s">
        <v>342</v>
      </c>
      <c r="D21" t="s">
        <v>150</v>
      </c>
      <c r="E21" t="s">
        <v>343</v>
      </c>
      <c r="F21" t="s">
        <v>299</v>
      </c>
      <c r="G21">
        <v>36116</v>
      </c>
      <c r="H21" t="s">
        <v>47</v>
      </c>
      <c r="I21">
        <v>42133</v>
      </c>
      <c r="J21">
        <v>3</v>
      </c>
      <c r="K21" t="s">
        <v>612</v>
      </c>
      <c r="L21">
        <v>2</v>
      </c>
      <c r="M21">
        <v>0</v>
      </c>
      <c r="N21">
        <v>0</v>
      </c>
      <c r="O21" t="b">
        <v>0</v>
      </c>
      <c r="P21">
        <v>42128</v>
      </c>
      <c r="Q21">
        <v>5</v>
      </c>
      <c r="S21" t="s">
        <v>2314</v>
      </c>
      <c r="T21">
        <f>AVERAGEIF(CO_Combined[Ship Mode],"2",CO_Combined[OrderLagDays])</f>
        <v>2.5076923076923077</v>
      </c>
    </row>
    <row r="22" spans="1:20" x14ac:dyDescent="0.2">
      <c r="A22" t="s">
        <v>824</v>
      </c>
      <c r="B22" t="s">
        <v>546</v>
      </c>
      <c r="C22" t="s">
        <v>342</v>
      </c>
      <c r="D22" t="s">
        <v>150</v>
      </c>
      <c r="E22" t="s">
        <v>343</v>
      </c>
      <c r="F22" t="s">
        <v>299</v>
      </c>
      <c r="G22">
        <v>36116</v>
      </c>
      <c r="H22" t="s">
        <v>47</v>
      </c>
      <c r="I22">
        <v>41932</v>
      </c>
      <c r="J22">
        <v>3</v>
      </c>
      <c r="K22" t="s">
        <v>826</v>
      </c>
      <c r="L22">
        <v>14</v>
      </c>
      <c r="M22">
        <v>0</v>
      </c>
      <c r="N22">
        <v>0</v>
      </c>
      <c r="O22" t="b">
        <v>0</v>
      </c>
      <c r="P22">
        <v>41930</v>
      </c>
      <c r="Q22">
        <v>2</v>
      </c>
      <c r="S22" t="s">
        <v>2315</v>
      </c>
      <c r="T22">
        <f>AVERAGEIF(CO_Combined[Ship Mode],"3",CO_Combined[OrderLagDays])</f>
        <v>3.4137931034482758</v>
      </c>
    </row>
    <row r="23" spans="1:20" x14ac:dyDescent="0.2">
      <c r="A23" t="s">
        <v>613</v>
      </c>
      <c r="B23" t="s">
        <v>572</v>
      </c>
      <c r="C23" t="s">
        <v>571</v>
      </c>
      <c r="D23" t="s">
        <v>150</v>
      </c>
      <c r="E23" t="s">
        <v>212</v>
      </c>
      <c r="F23" t="s">
        <v>22</v>
      </c>
      <c r="G23">
        <v>77095</v>
      </c>
      <c r="H23" t="s">
        <v>47</v>
      </c>
      <c r="I23">
        <v>41867</v>
      </c>
      <c r="J23">
        <v>4</v>
      </c>
      <c r="K23" t="s">
        <v>614</v>
      </c>
      <c r="L23">
        <v>10</v>
      </c>
      <c r="M23">
        <v>1</v>
      </c>
      <c r="N23">
        <v>0.2</v>
      </c>
      <c r="O23" t="b">
        <v>0</v>
      </c>
      <c r="P23">
        <v>41860</v>
      </c>
      <c r="Q23">
        <v>7</v>
      </c>
      <c r="S23" t="s">
        <v>2312</v>
      </c>
      <c r="T23">
        <f>AVERAGEIF(CO_Combined[Ship Mode],"4",CO_Combined[OrderLagDays])</f>
        <v>4.7578475336322867</v>
      </c>
    </row>
    <row r="24" spans="1:20" x14ac:dyDescent="0.2">
      <c r="A24" t="s">
        <v>616</v>
      </c>
      <c r="B24" t="s">
        <v>421</v>
      </c>
      <c r="C24" t="s">
        <v>157</v>
      </c>
      <c r="D24" t="s">
        <v>150</v>
      </c>
      <c r="E24" t="s">
        <v>16</v>
      </c>
      <c r="F24" t="s">
        <v>17</v>
      </c>
      <c r="G24">
        <v>94122</v>
      </c>
      <c r="H24" t="s">
        <v>18</v>
      </c>
      <c r="I24">
        <v>41837</v>
      </c>
      <c r="J24">
        <v>4</v>
      </c>
      <c r="K24" t="s">
        <v>617</v>
      </c>
      <c r="L24">
        <v>10</v>
      </c>
      <c r="M24">
        <v>1</v>
      </c>
      <c r="N24">
        <v>0.2</v>
      </c>
      <c r="O24" t="b">
        <v>1</v>
      </c>
      <c r="P24">
        <v>41832</v>
      </c>
      <c r="Q24">
        <v>5</v>
      </c>
    </row>
    <row r="25" spans="1:20" x14ac:dyDescent="0.2">
      <c r="A25" t="s">
        <v>800</v>
      </c>
      <c r="B25" t="s">
        <v>421</v>
      </c>
      <c r="C25" t="s">
        <v>157</v>
      </c>
      <c r="D25" t="s">
        <v>150</v>
      </c>
      <c r="E25" t="s">
        <v>16</v>
      </c>
      <c r="F25" t="s">
        <v>17</v>
      </c>
      <c r="G25">
        <v>94122</v>
      </c>
      <c r="H25" t="s">
        <v>18</v>
      </c>
      <c r="I25">
        <v>42870</v>
      </c>
      <c r="J25">
        <v>3</v>
      </c>
      <c r="K25" t="s">
        <v>801</v>
      </c>
      <c r="L25">
        <v>18</v>
      </c>
      <c r="M25">
        <v>1</v>
      </c>
      <c r="N25">
        <v>0.5</v>
      </c>
      <c r="O25" t="b">
        <v>0</v>
      </c>
      <c r="P25">
        <v>42867</v>
      </c>
      <c r="Q25">
        <v>3</v>
      </c>
    </row>
    <row r="26" spans="1:20" x14ac:dyDescent="0.2">
      <c r="A26" t="s">
        <v>619</v>
      </c>
      <c r="B26" t="s">
        <v>387</v>
      </c>
      <c r="C26" t="s">
        <v>89</v>
      </c>
      <c r="D26" t="s">
        <v>90</v>
      </c>
      <c r="E26" t="s">
        <v>25</v>
      </c>
      <c r="F26" t="s">
        <v>26</v>
      </c>
      <c r="G26">
        <v>10009</v>
      </c>
      <c r="H26" t="s">
        <v>27</v>
      </c>
      <c r="I26">
        <v>42616</v>
      </c>
      <c r="J26">
        <v>2</v>
      </c>
      <c r="K26" t="s">
        <v>620</v>
      </c>
      <c r="L26">
        <v>12</v>
      </c>
      <c r="M26">
        <v>1</v>
      </c>
      <c r="N26">
        <v>0.08</v>
      </c>
      <c r="O26" t="b">
        <v>0</v>
      </c>
      <c r="P26">
        <v>42614</v>
      </c>
      <c r="Q26">
        <v>2</v>
      </c>
    </row>
    <row r="27" spans="1:20" x14ac:dyDescent="0.2">
      <c r="A27" t="s">
        <v>624</v>
      </c>
      <c r="B27" t="s">
        <v>465</v>
      </c>
      <c r="C27" t="s">
        <v>224</v>
      </c>
      <c r="D27" t="s">
        <v>9</v>
      </c>
      <c r="E27" t="s">
        <v>151</v>
      </c>
      <c r="F27" t="s">
        <v>31</v>
      </c>
      <c r="G27">
        <v>85705</v>
      </c>
      <c r="H27" t="s">
        <v>18</v>
      </c>
      <c r="I27">
        <v>41847</v>
      </c>
      <c r="J27">
        <v>4</v>
      </c>
      <c r="K27" t="s">
        <v>626</v>
      </c>
      <c r="L27">
        <v>24</v>
      </c>
      <c r="M27">
        <v>1</v>
      </c>
      <c r="N27">
        <v>0.32500000000000001</v>
      </c>
      <c r="O27" t="b">
        <v>0</v>
      </c>
      <c r="P27">
        <v>41843</v>
      </c>
      <c r="Q27">
        <v>4</v>
      </c>
    </row>
    <row r="28" spans="1:20" x14ac:dyDescent="0.2">
      <c r="A28" t="s">
        <v>729</v>
      </c>
      <c r="B28" t="s">
        <v>388</v>
      </c>
      <c r="C28" t="s">
        <v>91</v>
      </c>
      <c r="D28" t="s">
        <v>90</v>
      </c>
      <c r="E28" t="s">
        <v>62</v>
      </c>
      <c r="F28" t="s">
        <v>92</v>
      </c>
      <c r="G28">
        <v>3301</v>
      </c>
      <c r="H28" t="s">
        <v>27</v>
      </c>
      <c r="I28">
        <v>42616</v>
      </c>
      <c r="J28">
        <v>4</v>
      </c>
      <c r="K28" t="s">
        <v>730</v>
      </c>
      <c r="L28">
        <v>3</v>
      </c>
      <c r="M28">
        <v>0</v>
      </c>
      <c r="N28">
        <v>0</v>
      </c>
      <c r="O28" t="b">
        <v>0</v>
      </c>
      <c r="P28">
        <v>42611</v>
      </c>
      <c r="Q28">
        <v>5</v>
      </c>
    </row>
    <row r="29" spans="1:20" x14ac:dyDescent="0.2">
      <c r="A29" t="s">
        <v>871</v>
      </c>
      <c r="B29" t="s">
        <v>389</v>
      </c>
      <c r="C29" t="s">
        <v>93</v>
      </c>
      <c r="D29" t="s">
        <v>90</v>
      </c>
      <c r="E29" t="s">
        <v>94</v>
      </c>
      <c r="F29" t="s">
        <v>95</v>
      </c>
      <c r="G29">
        <v>22980</v>
      </c>
      <c r="H29" t="s">
        <v>47</v>
      </c>
      <c r="I29">
        <v>42447</v>
      </c>
      <c r="J29">
        <v>4</v>
      </c>
      <c r="K29" t="s">
        <v>874</v>
      </c>
      <c r="L29">
        <v>8</v>
      </c>
      <c r="M29">
        <v>0</v>
      </c>
      <c r="N29">
        <v>0</v>
      </c>
      <c r="O29" t="b">
        <v>0</v>
      </c>
      <c r="P29">
        <v>42442</v>
      </c>
      <c r="Q29">
        <v>5</v>
      </c>
    </row>
    <row r="30" spans="1:20" x14ac:dyDescent="0.2">
      <c r="A30" t="s">
        <v>629</v>
      </c>
      <c r="B30" t="s">
        <v>531</v>
      </c>
      <c r="C30" t="s">
        <v>321</v>
      </c>
      <c r="D30" t="s">
        <v>150</v>
      </c>
      <c r="E30" t="s">
        <v>322</v>
      </c>
      <c r="F30" t="s">
        <v>79</v>
      </c>
      <c r="G30">
        <v>2038</v>
      </c>
      <c r="H30" t="s">
        <v>27</v>
      </c>
      <c r="I30">
        <v>42979</v>
      </c>
      <c r="J30">
        <v>4</v>
      </c>
      <c r="K30" t="s">
        <v>630</v>
      </c>
      <c r="L30">
        <v>7</v>
      </c>
      <c r="M30">
        <v>1</v>
      </c>
      <c r="N30">
        <v>0.3</v>
      </c>
      <c r="O30" t="b">
        <v>0</v>
      </c>
      <c r="P30">
        <v>42974</v>
      </c>
      <c r="Q30">
        <v>5</v>
      </c>
    </row>
    <row r="31" spans="1:20" x14ac:dyDescent="0.2">
      <c r="A31" t="s">
        <v>670</v>
      </c>
      <c r="B31" t="s">
        <v>531</v>
      </c>
      <c r="C31" t="s">
        <v>321</v>
      </c>
      <c r="D31" t="s">
        <v>150</v>
      </c>
      <c r="E31" t="s">
        <v>322</v>
      </c>
      <c r="F31" t="s">
        <v>79</v>
      </c>
      <c r="G31">
        <v>2038</v>
      </c>
      <c r="H31" t="s">
        <v>27</v>
      </c>
      <c r="I31">
        <v>42909</v>
      </c>
      <c r="J31">
        <v>4</v>
      </c>
      <c r="K31" t="s">
        <v>672</v>
      </c>
      <c r="L31">
        <v>10</v>
      </c>
      <c r="M31">
        <v>0</v>
      </c>
      <c r="N31">
        <v>0</v>
      </c>
      <c r="O31" t="b">
        <v>0</v>
      </c>
      <c r="P31">
        <v>42905</v>
      </c>
      <c r="Q31">
        <v>4</v>
      </c>
    </row>
    <row r="32" spans="1:20" x14ac:dyDescent="0.2">
      <c r="A32" t="s">
        <v>863</v>
      </c>
      <c r="B32" t="s">
        <v>531</v>
      </c>
      <c r="C32" t="s">
        <v>321</v>
      </c>
      <c r="D32" t="s">
        <v>150</v>
      </c>
      <c r="E32" t="s">
        <v>322</v>
      </c>
      <c r="F32" t="s">
        <v>79</v>
      </c>
      <c r="G32">
        <v>2038</v>
      </c>
      <c r="H32" t="s">
        <v>27</v>
      </c>
      <c r="I32">
        <v>41920</v>
      </c>
      <c r="J32">
        <v>4</v>
      </c>
      <c r="K32" t="s">
        <v>864</v>
      </c>
      <c r="L32">
        <v>4</v>
      </c>
      <c r="M32">
        <v>1</v>
      </c>
      <c r="N32">
        <v>0.2</v>
      </c>
      <c r="O32" t="b">
        <v>0</v>
      </c>
      <c r="P32">
        <v>41915</v>
      </c>
      <c r="Q32">
        <v>5</v>
      </c>
    </row>
    <row r="33" spans="1:17" x14ac:dyDescent="0.2">
      <c r="A33" t="s">
        <v>631</v>
      </c>
      <c r="B33" t="s">
        <v>551</v>
      </c>
      <c r="C33" t="s">
        <v>351</v>
      </c>
      <c r="D33" t="s">
        <v>150</v>
      </c>
      <c r="E33" t="s">
        <v>352</v>
      </c>
      <c r="F33" t="s">
        <v>124</v>
      </c>
      <c r="G33">
        <v>60067</v>
      </c>
      <c r="H33" t="s">
        <v>12</v>
      </c>
      <c r="I33">
        <v>42672</v>
      </c>
      <c r="J33">
        <v>2</v>
      </c>
      <c r="K33" t="s">
        <v>632</v>
      </c>
      <c r="L33">
        <v>10</v>
      </c>
      <c r="M33">
        <v>1</v>
      </c>
      <c r="N33">
        <v>0.1</v>
      </c>
      <c r="O33" t="b">
        <v>1</v>
      </c>
      <c r="P33">
        <v>42671</v>
      </c>
      <c r="Q33">
        <v>1</v>
      </c>
    </row>
    <row r="34" spans="1:17" x14ac:dyDescent="0.2">
      <c r="A34" t="s">
        <v>676</v>
      </c>
      <c r="B34" t="s">
        <v>551</v>
      </c>
      <c r="C34" t="s">
        <v>351</v>
      </c>
      <c r="D34" t="s">
        <v>150</v>
      </c>
      <c r="E34" t="s">
        <v>352</v>
      </c>
      <c r="F34" t="s">
        <v>124</v>
      </c>
      <c r="G34">
        <v>60067</v>
      </c>
      <c r="H34" t="s">
        <v>12</v>
      </c>
      <c r="I34">
        <v>42682</v>
      </c>
      <c r="J34">
        <v>2</v>
      </c>
      <c r="K34" t="s">
        <v>677</v>
      </c>
      <c r="L34">
        <v>3</v>
      </c>
      <c r="M34">
        <v>0</v>
      </c>
      <c r="N34">
        <v>0</v>
      </c>
      <c r="O34" t="b">
        <v>0</v>
      </c>
      <c r="P34">
        <v>42678</v>
      </c>
      <c r="Q34">
        <v>4</v>
      </c>
    </row>
    <row r="35" spans="1:17" x14ac:dyDescent="0.2">
      <c r="A35" t="s">
        <v>634</v>
      </c>
      <c r="B35" t="s">
        <v>457</v>
      </c>
      <c r="C35" t="s">
        <v>213</v>
      </c>
      <c r="D35" t="s">
        <v>9</v>
      </c>
      <c r="E35" t="s">
        <v>121</v>
      </c>
      <c r="F35" t="s">
        <v>22</v>
      </c>
      <c r="G35">
        <v>77036</v>
      </c>
      <c r="H35" t="s">
        <v>12</v>
      </c>
      <c r="I35">
        <v>42623</v>
      </c>
      <c r="J35">
        <v>3</v>
      </c>
      <c r="K35" t="s">
        <v>638</v>
      </c>
      <c r="L35">
        <v>13</v>
      </c>
      <c r="M35">
        <v>1</v>
      </c>
      <c r="N35">
        <v>0.23</v>
      </c>
      <c r="O35" t="b">
        <v>1</v>
      </c>
      <c r="P35">
        <v>42621</v>
      </c>
      <c r="Q35">
        <v>2</v>
      </c>
    </row>
    <row r="36" spans="1:17" x14ac:dyDescent="0.2">
      <c r="A36" t="s">
        <v>752</v>
      </c>
      <c r="B36" t="s">
        <v>395</v>
      </c>
      <c r="C36" t="s">
        <v>105</v>
      </c>
      <c r="D36" t="s">
        <v>9</v>
      </c>
      <c r="E36" t="s">
        <v>106</v>
      </c>
      <c r="F36" t="s">
        <v>31</v>
      </c>
      <c r="G36">
        <v>85023</v>
      </c>
      <c r="H36" t="s">
        <v>18</v>
      </c>
      <c r="I36">
        <v>42643</v>
      </c>
      <c r="J36">
        <v>4</v>
      </c>
      <c r="K36" t="s">
        <v>753</v>
      </c>
      <c r="L36">
        <v>3</v>
      </c>
      <c r="M36">
        <v>1</v>
      </c>
      <c r="N36">
        <v>0.5</v>
      </c>
      <c r="O36" t="b">
        <v>0</v>
      </c>
      <c r="P36">
        <v>42638</v>
      </c>
      <c r="Q36">
        <v>5</v>
      </c>
    </row>
    <row r="37" spans="1:17" x14ac:dyDescent="0.2">
      <c r="A37" t="s">
        <v>639</v>
      </c>
      <c r="B37" t="s">
        <v>512</v>
      </c>
      <c r="C37" t="s">
        <v>292</v>
      </c>
      <c r="D37" t="s">
        <v>9</v>
      </c>
      <c r="E37" t="s">
        <v>293</v>
      </c>
      <c r="F37" t="s">
        <v>26</v>
      </c>
      <c r="G37">
        <v>14609</v>
      </c>
      <c r="H37" t="s">
        <v>27</v>
      </c>
      <c r="I37">
        <v>41901</v>
      </c>
      <c r="J37">
        <v>4</v>
      </c>
      <c r="K37" t="s">
        <v>640</v>
      </c>
      <c r="L37">
        <v>8</v>
      </c>
      <c r="M37">
        <v>0</v>
      </c>
      <c r="N37">
        <v>0</v>
      </c>
      <c r="O37" t="b">
        <v>0</v>
      </c>
      <c r="P37">
        <v>41896</v>
      </c>
      <c r="Q37">
        <v>5</v>
      </c>
    </row>
    <row r="38" spans="1:17" x14ac:dyDescent="0.2">
      <c r="A38" t="s">
        <v>763</v>
      </c>
      <c r="B38" t="s">
        <v>405</v>
      </c>
      <c r="C38" t="s">
        <v>125</v>
      </c>
      <c r="D38" t="s">
        <v>9</v>
      </c>
      <c r="E38" t="s">
        <v>126</v>
      </c>
      <c r="F38" t="s">
        <v>26</v>
      </c>
      <c r="G38">
        <v>11561</v>
      </c>
      <c r="H38" t="s">
        <v>27</v>
      </c>
      <c r="I38">
        <v>42986</v>
      </c>
      <c r="J38">
        <v>4</v>
      </c>
      <c r="K38" t="s">
        <v>764</v>
      </c>
      <c r="L38">
        <v>4</v>
      </c>
      <c r="M38">
        <v>0</v>
      </c>
      <c r="N38">
        <v>0</v>
      </c>
      <c r="O38" t="b">
        <v>0</v>
      </c>
      <c r="P38">
        <v>42982</v>
      </c>
      <c r="Q38">
        <v>4</v>
      </c>
    </row>
    <row r="39" spans="1:17" x14ac:dyDescent="0.2">
      <c r="A39" t="s">
        <v>649</v>
      </c>
      <c r="B39" t="s">
        <v>545</v>
      </c>
      <c r="C39" t="s">
        <v>341</v>
      </c>
      <c r="D39" t="s">
        <v>90</v>
      </c>
      <c r="E39" t="s">
        <v>25</v>
      </c>
      <c r="F39" t="s">
        <v>26</v>
      </c>
      <c r="G39">
        <v>10035</v>
      </c>
      <c r="H39" t="s">
        <v>27</v>
      </c>
      <c r="I39">
        <v>43061</v>
      </c>
      <c r="J39">
        <v>2</v>
      </c>
      <c r="K39" t="s">
        <v>651</v>
      </c>
      <c r="L39">
        <v>8</v>
      </c>
      <c r="M39">
        <v>1</v>
      </c>
      <c r="N39">
        <v>0.1</v>
      </c>
      <c r="O39" t="b">
        <v>0</v>
      </c>
      <c r="P39">
        <v>43058</v>
      </c>
      <c r="Q39">
        <v>3</v>
      </c>
    </row>
    <row r="40" spans="1:17" x14ac:dyDescent="0.2">
      <c r="A40" t="s">
        <v>795</v>
      </c>
      <c r="B40" t="s">
        <v>545</v>
      </c>
      <c r="C40" t="s">
        <v>341</v>
      </c>
      <c r="D40" t="s">
        <v>90</v>
      </c>
      <c r="E40" t="s">
        <v>25</v>
      </c>
      <c r="F40" t="s">
        <v>26</v>
      </c>
      <c r="G40">
        <v>10035</v>
      </c>
      <c r="H40" t="s">
        <v>27</v>
      </c>
      <c r="I40">
        <v>42693</v>
      </c>
      <c r="J40">
        <v>2</v>
      </c>
      <c r="K40" t="s">
        <v>796</v>
      </c>
      <c r="L40">
        <v>1</v>
      </c>
      <c r="M40">
        <v>0</v>
      </c>
      <c r="N40">
        <v>0</v>
      </c>
      <c r="O40" t="b">
        <v>0</v>
      </c>
      <c r="P40">
        <v>42687</v>
      </c>
      <c r="Q40">
        <v>6</v>
      </c>
    </row>
    <row r="41" spans="1:17" x14ac:dyDescent="0.2">
      <c r="A41" t="s">
        <v>772</v>
      </c>
      <c r="B41" t="s">
        <v>406</v>
      </c>
      <c r="C41" t="s">
        <v>127</v>
      </c>
      <c r="D41" t="s">
        <v>9</v>
      </c>
      <c r="E41" t="s">
        <v>128</v>
      </c>
      <c r="F41" t="s">
        <v>22</v>
      </c>
      <c r="G41">
        <v>75007</v>
      </c>
      <c r="H41" t="s">
        <v>12</v>
      </c>
      <c r="I41">
        <v>43060</v>
      </c>
      <c r="J41">
        <v>3</v>
      </c>
      <c r="K41" t="s">
        <v>774</v>
      </c>
      <c r="L41">
        <v>11</v>
      </c>
      <c r="M41">
        <v>1</v>
      </c>
      <c r="N41">
        <v>0.3</v>
      </c>
      <c r="O41" t="b">
        <v>1</v>
      </c>
      <c r="P41">
        <v>43058</v>
      </c>
      <c r="Q41">
        <v>2</v>
      </c>
    </row>
    <row r="42" spans="1:17" x14ac:dyDescent="0.2">
      <c r="A42" t="s">
        <v>652</v>
      </c>
      <c r="B42" t="s">
        <v>510</v>
      </c>
      <c r="C42" t="s">
        <v>289</v>
      </c>
      <c r="D42" t="s">
        <v>9</v>
      </c>
      <c r="E42" t="s">
        <v>290</v>
      </c>
      <c r="F42" t="s">
        <v>63</v>
      </c>
      <c r="G42">
        <v>28403</v>
      </c>
      <c r="H42" t="s">
        <v>47</v>
      </c>
      <c r="I42">
        <v>41705</v>
      </c>
      <c r="J42">
        <v>3</v>
      </c>
      <c r="K42" t="s">
        <v>653</v>
      </c>
      <c r="L42">
        <v>4</v>
      </c>
      <c r="M42">
        <v>1</v>
      </c>
      <c r="N42">
        <v>0.2</v>
      </c>
      <c r="O42" t="b">
        <v>0</v>
      </c>
      <c r="P42">
        <v>41701</v>
      </c>
      <c r="Q42">
        <v>4</v>
      </c>
    </row>
    <row r="43" spans="1:17" x14ac:dyDescent="0.2">
      <c r="A43" t="s">
        <v>654</v>
      </c>
      <c r="B43" t="s">
        <v>548</v>
      </c>
      <c r="C43" t="s">
        <v>346</v>
      </c>
      <c r="D43" t="s">
        <v>9</v>
      </c>
      <c r="E43" t="s">
        <v>347</v>
      </c>
      <c r="F43" t="s">
        <v>166</v>
      </c>
      <c r="G43">
        <v>33614</v>
      </c>
      <c r="H43" t="s">
        <v>47</v>
      </c>
      <c r="I43">
        <v>41717</v>
      </c>
      <c r="J43">
        <v>4</v>
      </c>
      <c r="K43" t="s">
        <v>655</v>
      </c>
      <c r="L43">
        <v>14</v>
      </c>
      <c r="M43">
        <v>1</v>
      </c>
      <c r="N43">
        <v>0.4</v>
      </c>
      <c r="O43" t="b">
        <v>0</v>
      </c>
      <c r="P43">
        <v>41713</v>
      </c>
      <c r="Q43">
        <v>4</v>
      </c>
    </row>
    <row r="44" spans="1:17" x14ac:dyDescent="0.2">
      <c r="A44" t="s">
        <v>673</v>
      </c>
      <c r="B44" t="s">
        <v>574</v>
      </c>
      <c r="C44" t="s">
        <v>573</v>
      </c>
      <c r="D44" t="s">
        <v>9</v>
      </c>
      <c r="E44" t="s">
        <v>38</v>
      </c>
      <c r="F44" t="s">
        <v>17</v>
      </c>
      <c r="G44">
        <v>90036</v>
      </c>
      <c r="H44" t="s">
        <v>18</v>
      </c>
      <c r="I44">
        <v>42096</v>
      </c>
      <c r="J44">
        <v>4</v>
      </c>
      <c r="K44" t="s">
        <v>674</v>
      </c>
      <c r="L44">
        <v>6</v>
      </c>
      <c r="M44">
        <v>0</v>
      </c>
      <c r="N44">
        <v>0</v>
      </c>
      <c r="O44" t="b">
        <v>0</v>
      </c>
      <c r="P44">
        <v>42091</v>
      </c>
      <c r="Q44">
        <v>5</v>
      </c>
    </row>
    <row r="45" spans="1:17" x14ac:dyDescent="0.2">
      <c r="A45" t="s">
        <v>701</v>
      </c>
      <c r="B45" t="s">
        <v>574</v>
      </c>
      <c r="C45" t="s">
        <v>573</v>
      </c>
      <c r="D45" t="s">
        <v>9</v>
      </c>
      <c r="E45" t="s">
        <v>38</v>
      </c>
      <c r="F45" t="s">
        <v>17</v>
      </c>
      <c r="G45">
        <v>90036</v>
      </c>
      <c r="H45" t="s">
        <v>18</v>
      </c>
      <c r="I45">
        <v>42842</v>
      </c>
      <c r="J45">
        <v>2</v>
      </c>
      <c r="K45" t="s">
        <v>703</v>
      </c>
      <c r="L45">
        <v>9</v>
      </c>
      <c r="M45">
        <v>1</v>
      </c>
      <c r="N45">
        <v>0.2</v>
      </c>
      <c r="O45" t="b">
        <v>0</v>
      </c>
      <c r="P45">
        <v>42839</v>
      </c>
      <c r="Q45">
        <v>3</v>
      </c>
    </row>
    <row r="46" spans="1:17" x14ac:dyDescent="0.2">
      <c r="A46" t="s">
        <v>739</v>
      </c>
      <c r="B46" t="s">
        <v>410</v>
      </c>
      <c r="C46" t="s">
        <v>135</v>
      </c>
      <c r="D46" t="s">
        <v>90</v>
      </c>
      <c r="E46" t="s">
        <v>136</v>
      </c>
      <c r="F46" t="s">
        <v>137</v>
      </c>
      <c r="G46">
        <v>44052</v>
      </c>
      <c r="H46" t="s">
        <v>27</v>
      </c>
      <c r="I46">
        <v>42892</v>
      </c>
      <c r="J46">
        <v>4</v>
      </c>
      <c r="K46" t="s">
        <v>740</v>
      </c>
      <c r="L46">
        <v>3</v>
      </c>
      <c r="M46">
        <v>1</v>
      </c>
      <c r="N46">
        <v>0.30000000000000004</v>
      </c>
      <c r="O46" t="b">
        <v>0</v>
      </c>
      <c r="P46">
        <v>42888</v>
      </c>
      <c r="Q46">
        <v>4</v>
      </c>
    </row>
    <row r="47" spans="1:17" x14ac:dyDescent="0.2">
      <c r="A47" t="s">
        <v>782</v>
      </c>
      <c r="B47" t="s">
        <v>411</v>
      </c>
      <c r="C47" t="s">
        <v>138</v>
      </c>
      <c r="D47" t="s">
        <v>90</v>
      </c>
      <c r="E47" t="s">
        <v>139</v>
      </c>
      <c r="F47" t="s">
        <v>22</v>
      </c>
      <c r="G47">
        <v>75023</v>
      </c>
      <c r="H47" t="s">
        <v>12</v>
      </c>
      <c r="I47">
        <v>42550</v>
      </c>
      <c r="J47">
        <v>3</v>
      </c>
      <c r="K47" t="s">
        <v>783</v>
      </c>
      <c r="L47">
        <v>2</v>
      </c>
      <c r="M47">
        <v>1</v>
      </c>
      <c r="N47">
        <v>0.2</v>
      </c>
      <c r="O47" t="b">
        <v>0</v>
      </c>
      <c r="P47">
        <v>42547</v>
      </c>
      <c r="Q47">
        <v>3</v>
      </c>
    </row>
    <row r="48" spans="1:17" x14ac:dyDescent="0.2">
      <c r="A48" t="s">
        <v>660</v>
      </c>
      <c r="B48" t="s">
        <v>532</v>
      </c>
      <c r="C48" t="s">
        <v>323</v>
      </c>
      <c r="D48" t="s">
        <v>9</v>
      </c>
      <c r="E48" t="s">
        <v>97</v>
      </c>
      <c r="F48" t="s">
        <v>67</v>
      </c>
      <c r="G48">
        <v>19134</v>
      </c>
      <c r="H48" t="s">
        <v>27</v>
      </c>
      <c r="I48">
        <v>41786</v>
      </c>
      <c r="J48">
        <v>4</v>
      </c>
      <c r="K48" t="s">
        <v>663</v>
      </c>
      <c r="L48">
        <v>13</v>
      </c>
      <c r="M48">
        <v>1</v>
      </c>
      <c r="N48">
        <v>0.43333333333333335</v>
      </c>
      <c r="O48" t="b">
        <v>0</v>
      </c>
      <c r="P48">
        <v>41782</v>
      </c>
      <c r="Q48">
        <v>4</v>
      </c>
    </row>
    <row r="49" spans="1:17" x14ac:dyDescent="0.2">
      <c r="A49" t="s">
        <v>680</v>
      </c>
      <c r="B49" t="s">
        <v>532</v>
      </c>
      <c r="C49" t="s">
        <v>323</v>
      </c>
      <c r="D49" t="s">
        <v>9</v>
      </c>
      <c r="E49" t="s">
        <v>97</v>
      </c>
      <c r="F49" t="s">
        <v>67</v>
      </c>
      <c r="G49">
        <v>19134</v>
      </c>
      <c r="H49" t="s">
        <v>27</v>
      </c>
      <c r="I49">
        <v>42252</v>
      </c>
      <c r="J49">
        <v>4</v>
      </c>
      <c r="K49" t="s">
        <v>681</v>
      </c>
      <c r="L49">
        <v>9</v>
      </c>
      <c r="M49">
        <v>0</v>
      </c>
      <c r="N49">
        <v>0</v>
      </c>
      <c r="O49" t="b">
        <v>0</v>
      </c>
      <c r="P49">
        <v>42247</v>
      </c>
      <c r="Q49">
        <v>5</v>
      </c>
    </row>
    <row r="50" spans="1:17" x14ac:dyDescent="0.2">
      <c r="A50" t="s">
        <v>664</v>
      </c>
      <c r="B50" t="s">
        <v>557</v>
      </c>
      <c r="C50" t="s">
        <v>361</v>
      </c>
      <c r="D50" t="s">
        <v>9</v>
      </c>
      <c r="E50" t="s">
        <v>362</v>
      </c>
      <c r="F50" t="s">
        <v>53</v>
      </c>
      <c r="G50">
        <v>37211</v>
      </c>
      <c r="H50" t="s">
        <v>47</v>
      </c>
      <c r="I50">
        <v>42878</v>
      </c>
      <c r="J50">
        <v>4</v>
      </c>
      <c r="K50" t="s">
        <v>665</v>
      </c>
      <c r="L50">
        <v>2</v>
      </c>
      <c r="M50">
        <v>0</v>
      </c>
      <c r="N50">
        <v>0</v>
      </c>
      <c r="O50" t="b">
        <v>0</v>
      </c>
      <c r="P50">
        <v>42874</v>
      </c>
      <c r="Q50">
        <v>4</v>
      </c>
    </row>
    <row r="51" spans="1:17" x14ac:dyDescent="0.2">
      <c r="A51" t="s">
        <v>708</v>
      </c>
      <c r="B51" t="s">
        <v>557</v>
      </c>
      <c r="C51" t="s">
        <v>361</v>
      </c>
      <c r="D51" t="s">
        <v>9</v>
      </c>
      <c r="E51" t="s">
        <v>362</v>
      </c>
      <c r="F51" t="s">
        <v>53</v>
      </c>
      <c r="G51">
        <v>37211</v>
      </c>
      <c r="H51" t="s">
        <v>47</v>
      </c>
      <c r="I51">
        <v>42950</v>
      </c>
      <c r="J51">
        <v>4</v>
      </c>
      <c r="K51" t="s">
        <v>709</v>
      </c>
      <c r="L51">
        <v>2</v>
      </c>
      <c r="M51">
        <v>1</v>
      </c>
      <c r="N51">
        <v>0.2</v>
      </c>
      <c r="O51" t="b">
        <v>0</v>
      </c>
      <c r="P51">
        <v>42948</v>
      </c>
      <c r="Q51">
        <v>2</v>
      </c>
    </row>
    <row r="52" spans="1:17" x14ac:dyDescent="0.2">
      <c r="A52" t="s">
        <v>666</v>
      </c>
      <c r="B52" t="s">
        <v>535</v>
      </c>
      <c r="C52" t="s">
        <v>326</v>
      </c>
      <c r="D52" t="s">
        <v>150</v>
      </c>
      <c r="E52" t="s">
        <v>327</v>
      </c>
      <c r="F52" t="s">
        <v>86</v>
      </c>
      <c r="G52">
        <v>98661</v>
      </c>
      <c r="H52" t="s">
        <v>18</v>
      </c>
      <c r="I52">
        <v>42720</v>
      </c>
      <c r="J52">
        <v>3</v>
      </c>
      <c r="K52" t="s">
        <v>668</v>
      </c>
      <c r="L52">
        <v>11</v>
      </c>
      <c r="M52">
        <v>1</v>
      </c>
      <c r="N52">
        <v>6.6666666666666666E-2</v>
      </c>
      <c r="O52" t="b">
        <v>0</v>
      </c>
      <c r="P52">
        <v>42715</v>
      </c>
      <c r="Q52">
        <v>5</v>
      </c>
    </row>
    <row r="53" spans="1:17" x14ac:dyDescent="0.2">
      <c r="A53" t="s">
        <v>746</v>
      </c>
      <c r="B53" t="s">
        <v>417</v>
      </c>
      <c r="C53" t="s">
        <v>149</v>
      </c>
      <c r="D53" t="s">
        <v>150</v>
      </c>
      <c r="E53" t="s">
        <v>151</v>
      </c>
      <c r="F53" t="s">
        <v>31</v>
      </c>
      <c r="G53">
        <v>85705</v>
      </c>
      <c r="H53" t="s">
        <v>18</v>
      </c>
      <c r="I53">
        <v>43050</v>
      </c>
      <c r="J53">
        <v>2</v>
      </c>
      <c r="K53" t="s">
        <v>750</v>
      </c>
      <c r="L53">
        <v>28</v>
      </c>
      <c r="M53">
        <v>1</v>
      </c>
      <c r="N53">
        <v>0.4</v>
      </c>
      <c r="O53" t="b">
        <v>1</v>
      </c>
      <c r="P53">
        <v>43049</v>
      </c>
      <c r="Q53">
        <v>1</v>
      </c>
    </row>
    <row r="54" spans="1:17" x14ac:dyDescent="0.2">
      <c r="A54" t="s">
        <v>807</v>
      </c>
      <c r="B54" t="s">
        <v>423</v>
      </c>
      <c r="C54" t="s">
        <v>159</v>
      </c>
      <c r="D54" t="s">
        <v>150</v>
      </c>
      <c r="E54" t="s">
        <v>121</v>
      </c>
      <c r="F54" t="s">
        <v>22</v>
      </c>
      <c r="G54">
        <v>77041</v>
      </c>
      <c r="H54" t="s">
        <v>12</v>
      </c>
      <c r="I54">
        <v>43014</v>
      </c>
      <c r="J54">
        <v>2</v>
      </c>
      <c r="K54" t="s">
        <v>808</v>
      </c>
      <c r="L54">
        <v>2</v>
      </c>
      <c r="M54">
        <v>0</v>
      </c>
      <c r="N54">
        <v>0</v>
      </c>
      <c r="O54" t="b">
        <v>0</v>
      </c>
      <c r="P54">
        <v>43011</v>
      </c>
      <c r="Q54">
        <v>3</v>
      </c>
    </row>
    <row r="55" spans="1:17" x14ac:dyDescent="0.2">
      <c r="A55" t="s">
        <v>678</v>
      </c>
      <c r="B55" t="s">
        <v>524</v>
      </c>
      <c r="C55" t="s">
        <v>311</v>
      </c>
      <c r="D55" t="s">
        <v>9</v>
      </c>
      <c r="E55" t="s">
        <v>38</v>
      </c>
      <c r="F55" t="s">
        <v>17</v>
      </c>
      <c r="G55">
        <v>90045</v>
      </c>
      <c r="H55" t="s">
        <v>18</v>
      </c>
      <c r="I55">
        <v>42985</v>
      </c>
      <c r="J55">
        <v>4</v>
      </c>
      <c r="K55" t="s">
        <v>679</v>
      </c>
      <c r="L55">
        <v>4</v>
      </c>
      <c r="M55">
        <v>1</v>
      </c>
      <c r="N55">
        <v>0.2</v>
      </c>
      <c r="O55" t="b">
        <v>0</v>
      </c>
      <c r="P55">
        <v>42981</v>
      </c>
      <c r="Q55">
        <v>4</v>
      </c>
    </row>
    <row r="56" spans="1:17" x14ac:dyDescent="0.2">
      <c r="A56" t="s">
        <v>714</v>
      </c>
      <c r="B56" t="s">
        <v>524</v>
      </c>
      <c r="C56" t="s">
        <v>311</v>
      </c>
      <c r="D56" t="s">
        <v>9</v>
      </c>
      <c r="E56" t="s">
        <v>38</v>
      </c>
      <c r="F56" t="s">
        <v>17</v>
      </c>
      <c r="G56">
        <v>90045</v>
      </c>
      <c r="H56" t="s">
        <v>18</v>
      </c>
      <c r="I56">
        <v>41915</v>
      </c>
      <c r="J56">
        <v>4</v>
      </c>
      <c r="K56" t="s">
        <v>718</v>
      </c>
      <c r="L56">
        <v>10</v>
      </c>
      <c r="M56">
        <v>1</v>
      </c>
      <c r="N56">
        <v>0.04</v>
      </c>
      <c r="O56" t="b">
        <v>0</v>
      </c>
      <c r="P56">
        <v>41911</v>
      </c>
      <c r="Q56">
        <v>4</v>
      </c>
    </row>
    <row r="57" spans="1:17" x14ac:dyDescent="0.2">
      <c r="A57" t="s">
        <v>682</v>
      </c>
      <c r="B57" t="s">
        <v>506</v>
      </c>
      <c r="C57" t="s">
        <v>284</v>
      </c>
      <c r="D57" t="s">
        <v>150</v>
      </c>
      <c r="E57" t="s">
        <v>212</v>
      </c>
      <c r="F57" t="s">
        <v>166</v>
      </c>
      <c r="G57">
        <v>33710</v>
      </c>
      <c r="H57" t="s">
        <v>47</v>
      </c>
      <c r="I57">
        <v>41779</v>
      </c>
      <c r="J57">
        <v>3</v>
      </c>
      <c r="K57" t="s">
        <v>683</v>
      </c>
      <c r="L57">
        <v>2</v>
      </c>
      <c r="M57">
        <v>1</v>
      </c>
      <c r="N57">
        <v>0.2</v>
      </c>
      <c r="O57" t="b">
        <v>0</v>
      </c>
      <c r="P57">
        <v>41773</v>
      </c>
      <c r="Q57">
        <v>6</v>
      </c>
    </row>
    <row r="58" spans="1:17" x14ac:dyDescent="0.2">
      <c r="A58" t="s">
        <v>690</v>
      </c>
      <c r="B58" t="s">
        <v>506</v>
      </c>
      <c r="C58" t="s">
        <v>284</v>
      </c>
      <c r="D58" t="s">
        <v>150</v>
      </c>
      <c r="E58" t="s">
        <v>212</v>
      </c>
      <c r="F58" t="s">
        <v>166</v>
      </c>
      <c r="G58">
        <v>33710</v>
      </c>
      <c r="H58" t="s">
        <v>47</v>
      </c>
      <c r="I58">
        <v>42376</v>
      </c>
      <c r="J58">
        <v>3</v>
      </c>
      <c r="K58" t="s">
        <v>693</v>
      </c>
      <c r="L58">
        <v>10</v>
      </c>
      <c r="M58">
        <v>1</v>
      </c>
      <c r="N58">
        <v>0.2</v>
      </c>
      <c r="O58" t="b">
        <v>1</v>
      </c>
      <c r="P58">
        <v>42374</v>
      </c>
      <c r="Q58">
        <v>2</v>
      </c>
    </row>
    <row r="59" spans="1:17" x14ac:dyDescent="0.2">
      <c r="A59" t="s">
        <v>812</v>
      </c>
      <c r="B59" t="s">
        <v>427</v>
      </c>
      <c r="C59" t="s">
        <v>167</v>
      </c>
      <c r="D59" t="s">
        <v>150</v>
      </c>
      <c r="E59" t="s">
        <v>25</v>
      </c>
      <c r="F59" t="s">
        <v>26</v>
      </c>
      <c r="G59">
        <v>10009</v>
      </c>
      <c r="H59" t="s">
        <v>27</v>
      </c>
      <c r="I59">
        <v>42984</v>
      </c>
      <c r="J59">
        <v>4</v>
      </c>
      <c r="K59" t="s">
        <v>817</v>
      </c>
      <c r="L59">
        <v>40</v>
      </c>
      <c r="M59">
        <v>1</v>
      </c>
      <c r="N59">
        <v>5.8333333333333341E-2</v>
      </c>
      <c r="O59" t="b">
        <v>1</v>
      </c>
      <c r="P59">
        <v>42980</v>
      </c>
      <c r="Q59">
        <v>4</v>
      </c>
    </row>
    <row r="60" spans="1:17" x14ac:dyDescent="0.2">
      <c r="A60" t="s">
        <v>687</v>
      </c>
      <c r="B60" t="s">
        <v>576</v>
      </c>
      <c r="C60" t="s">
        <v>575</v>
      </c>
      <c r="D60" t="s">
        <v>9</v>
      </c>
      <c r="E60" t="s">
        <v>251</v>
      </c>
      <c r="F60" t="s">
        <v>73</v>
      </c>
      <c r="G60">
        <v>40214</v>
      </c>
      <c r="H60" t="s">
        <v>47</v>
      </c>
      <c r="I60">
        <v>42294</v>
      </c>
      <c r="J60">
        <v>4</v>
      </c>
      <c r="K60" t="s">
        <v>688</v>
      </c>
      <c r="L60">
        <v>10</v>
      </c>
      <c r="M60">
        <v>0</v>
      </c>
      <c r="N60">
        <v>0</v>
      </c>
      <c r="O60" t="b">
        <v>0</v>
      </c>
      <c r="P60">
        <v>42290</v>
      </c>
      <c r="Q60">
        <v>4</v>
      </c>
    </row>
    <row r="61" spans="1:17" x14ac:dyDescent="0.2">
      <c r="A61" t="s">
        <v>694</v>
      </c>
      <c r="B61" t="s">
        <v>503</v>
      </c>
      <c r="C61" t="s">
        <v>278</v>
      </c>
      <c r="D61" t="s">
        <v>150</v>
      </c>
      <c r="E61" t="s">
        <v>270</v>
      </c>
      <c r="F61" t="s">
        <v>95</v>
      </c>
      <c r="G61">
        <v>22153</v>
      </c>
      <c r="H61" t="s">
        <v>47</v>
      </c>
      <c r="I61">
        <v>41654</v>
      </c>
      <c r="J61">
        <v>4</v>
      </c>
      <c r="K61" t="s">
        <v>695</v>
      </c>
      <c r="L61">
        <v>2</v>
      </c>
      <c r="M61">
        <v>0</v>
      </c>
      <c r="N61">
        <v>0</v>
      </c>
      <c r="O61" t="b">
        <v>0</v>
      </c>
      <c r="P61">
        <v>41649</v>
      </c>
      <c r="Q61">
        <v>5</v>
      </c>
    </row>
    <row r="62" spans="1:17" x14ac:dyDescent="0.2">
      <c r="A62" t="s">
        <v>733</v>
      </c>
      <c r="B62" t="s">
        <v>435</v>
      </c>
      <c r="C62" t="s">
        <v>180</v>
      </c>
      <c r="D62" t="s">
        <v>9</v>
      </c>
      <c r="E62" t="s">
        <v>25</v>
      </c>
      <c r="F62" t="s">
        <v>26</v>
      </c>
      <c r="G62">
        <v>10035</v>
      </c>
      <c r="H62" t="s">
        <v>27</v>
      </c>
      <c r="I62">
        <v>42193</v>
      </c>
      <c r="J62">
        <v>4</v>
      </c>
      <c r="K62" t="s">
        <v>734</v>
      </c>
      <c r="L62">
        <v>3</v>
      </c>
      <c r="M62">
        <v>0</v>
      </c>
      <c r="N62">
        <v>0</v>
      </c>
      <c r="O62" t="b">
        <v>0</v>
      </c>
      <c r="P62">
        <v>42189</v>
      </c>
      <c r="Q62">
        <v>4</v>
      </c>
    </row>
    <row r="63" spans="1:17" x14ac:dyDescent="0.2">
      <c r="A63" t="s">
        <v>697</v>
      </c>
      <c r="B63" t="s">
        <v>462</v>
      </c>
      <c r="C63" t="s">
        <v>220</v>
      </c>
      <c r="D63" t="s">
        <v>90</v>
      </c>
      <c r="E63" t="s">
        <v>97</v>
      </c>
      <c r="F63" t="s">
        <v>67</v>
      </c>
      <c r="G63">
        <v>19120</v>
      </c>
      <c r="H63" t="s">
        <v>27</v>
      </c>
      <c r="I63">
        <v>41903</v>
      </c>
      <c r="J63">
        <v>4</v>
      </c>
      <c r="K63" t="s">
        <v>698</v>
      </c>
      <c r="L63">
        <v>4</v>
      </c>
      <c r="M63">
        <v>1</v>
      </c>
      <c r="N63">
        <v>0.7</v>
      </c>
      <c r="O63" t="b">
        <v>0</v>
      </c>
      <c r="P63">
        <v>41899</v>
      </c>
      <c r="Q63">
        <v>4</v>
      </c>
    </row>
    <row r="64" spans="1:17" x14ac:dyDescent="0.2">
      <c r="A64" t="s">
        <v>737</v>
      </c>
      <c r="B64" t="s">
        <v>436</v>
      </c>
      <c r="C64" t="s">
        <v>181</v>
      </c>
      <c r="D64" t="s">
        <v>90</v>
      </c>
      <c r="E64" t="s">
        <v>97</v>
      </c>
      <c r="F64" t="s">
        <v>67</v>
      </c>
      <c r="G64">
        <v>19120</v>
      </c>
      <c r="H64" t="s">
        <v>27</v>
      </c>
      <c r="I64">
        <v>42173</v>
      </c>
      <c r="J64">
        <v>4</v>
      </c>
      <c r="K64" t="s">
        <v>738</v>
      </c>
      <c r="L64">
        <v>6</v>
      </c>
      <c r="M64">
        <v>1</v>
      </c>
      <c r="N64">
        <v>0.2</v>
      </c>
      <c r="O64" t="b">
        <v>0</v>
      </c>
      <c r="P64">
        <v>42169</v>
      </c>
      <c r="Q64">
        <v>4</v>
      </c>
    </row>
    <row r="65" spans="1:17" x14ac:dyDescent="0.2">
      <c r="A65" t="s">
        <v>699</v>
      </c>
      <c r="B65" t="s">
        <v>474</v>
      </c>
      <c r="C65" t="s">
        <v>239</v>
      </c>
      <c r="D65" t="s">
        <v>150</v>
      </c>
      <c r="E65" t="s">
        <v>25</v>
      </c>
      <c r="F65" t="s">
        <v>26</v>
      </c>
      <c r="G65">
        <v>10011</v>
      </c>
      <c r="H65" t="s">
        <v>27</v>
      </c>
      <c r="I65">
        <v>42633</v>
      </c>
      <c r="J65">
        <v>4</v>
      </c>
      <c r="K65" t="s">
        <v>700</v>
      </c>
      <c r="L65">
        <v>2</v>
      </c>
      <c r="M65">
        <v>1</v>
      </c>
      <c r="N65">
        <v>0.2</v>
      </c>
      <c r="O65" t="b">
        <v>0</v>
      </c>
      <c r="P65">
        <v>42628</v>
      </c>
      <c r="Q65">
        <v>5</v>
      </c>
    </row>
    <row r="66" spans="1:17" x14ac:dyDescent="0.2">
      <c r="A66" t="s">
        <v>768</v>
      </c>
      <c r="B66" t="s">
        <v>474</v>
      </c>
      <c r="C66" t="s">
        <v>239</v>
      </c>
      <c r="D66" t="s">
        <v>150</v>
      </c>
      <c r="E66" t="s">
        <v>25</v>
      </c>
      <c r="F66" t="s">
        <v>26</v>
      </c>
      <c r="G66">
        <v>10011</v>
      </c>
      <c r="H66" t="s">
        <v>27</v>
      </c>
      <c r="I66">
        <v>43069</v>
      </c>
      <c r="J66">
        <v>4</v>
      </c>
      <c r="K66" t="s">
        <v>769</v>
      </c>
      <c r="L66">
        <v>3</v>
      </c>
      <c r="M66">
        <v>0</v>
      </c>
      <c r="N66">
        <v>0</v>
      </c>
      <c r="O66" t="b">
        <v>0</v>
      </c>
      <c r="P66">
        <v>43065</v>
      </c>
      <c r="Q66">
        <v>4</v>
      </c>
    </row>
    <row r="67" spans="1:17" x14ac:dyDescent="0.2">
      <c r="A67" t="s">
        <v>843</v>
      </c>
      <c r="B67" t="s">
        <v>440</v>
      </c>
      <c r="C67" t="s">
        <v>187</v>
      </c>
      <c r="D67" t="s">
        <v>9</v>
      </c>
      <c r="E67" t="s">
        <v>188</v>
      </c>
      <c r="F67" t="s">
        <v>22</v>
      </c>
      <c r="G67">
        <v>77840</v>
      </c>
      <c r="H67" t="s">
        <v>12</v>
      </c>
      <c r="I67">
        <v>43065</v>
      </c>
      <c r="J67">
        <v>4</v>
      </c>
      <c r="K67" t="s">
        <v>844</v>
      </c>
      <c r="L67">
        <v>3</v>
      </c>
      <c r="M67">
        <v>1</v>
      </c>
      <c r="N67">
        <v>0.3</v>
      </c>
      <c r="O67" t="b">
        <v>1</v>
      </c>
      <c r="P67">
        <v>43058</v>
      </c>
      <c r="Q67">
        <v>7</v>
      </c>
    </row>
    <row r="68" spans="1:17" x14ac:dyDescent="0.2">
      <c r="A68" t="s">
        <v>704</v>
      </c>
      <c r="B68" t="s">
        <v>553</v>
      </c>
      <c r="C68" t="s">
        <v>355</v>
      </c>
      <c r="D68" t="s">
        <v>90</v>
      </c>
      <c r="E68" t="s">
        <v>356</v>
      </c>
      <c r="F68" t="s">
        <v>22</v>
      </c>
      <c r="G68">
        <v>77506</v>
      </c>
      <c r="H68" t="s">
        <v>12</v>
      </c>
      <c r="I68">
        <v>43013</v>
      </c>
      <c r="J68">
        <v>4</v>
      </c>
      <c r="K68" t="s">
        <v>707</v>
      </c>
      <c r="L68">
        <v>9</v>
      </c>
      <c r="M68">
        <v>1</v>
      </c>
      <c r="N68">
        <v>0.26666666666666666</v>
      </c>
      <c r="O68" t="b">
        <v>1</v>
      </c>
      <c r="P68">
        <v>43007</v>
      </c>
      <c r="Q68">
        <v>6</v>
      </c>
    </row>
    <row r="69" spans="1:17" x14ac:dyDescent="0.2">
      <c r="A69" t="s">
        <v>881</v>
      </c>
      <c r="B69" t="s">
        <v>441</v>
      </c>
      <c r="C69" t="s">
        <v>189</v>
      </c>
      <c r="D69" t="s">
        <v>9</v>
      </c>
      <c r="E69" t="s">
        <v>190</v>
      </c>
      <c r="F69" t="s">
        <v>191</v>
      </c>
      <c r="G69">
        <v>7055</v>
      </c>
      <c r="H69" t="s">
        <v>27</v>
      </c>
      <c r="I69">
        <v>42517</v>
      </c>
      <c r="J69">
        <v>4</v>
      </c>
      <c r="K69" t="s">
        <v>882</v>
      </c>
      <c r="L69">
        <v>24</v>
      </c>
      <c r="M69">
        <v>1</v>
      </c>
      <c r="N69">
        <v>4.9999999999999996E-2</v>
      </c>
      <c r="O69" t="b">
        <v>0</v>
      </c>
      <c r="P69">
        <v>42512</v>
      </c>
      <c r="Q69">
        <v>5</v>
      </c>
    </row>
    <row r="70" spans="1:17" x14ac:dyDescent="0.2">
      <c r="A70" t="s">
        <v>710</v>
      </c>
      <c r="B70" t="s">
        <v>451</v>
      </c>
      <c r="C70" t="s">
        <v>204</v>
      </c>
      <c r="D70" t="s">
        <v>9</v>
      </c>
      <c r="E70" t="s">
        <v>205</v>
      </c>
      <c r="F70" t="s">
        <v>137</v>
      </c>
      <c r="G70">
        <v>45231</v>
      </c>
      <c r="H70" t="s">
        <v>27</v>
      </c>
      <c r="I70">
        <v>42696</v>
      </c>
      <c r="J70">
        <v>2</v>
      </c>
      <c r="K70" t="s">
        <v>711</v>
      </c>
      <c r="L70">
        <v>8</v>
      </c>
      <c r="M70">
        <v>1</v>
      </c>
      <c r="N70">
        <v>0.53333333333333333</v>
      </c>
      <c r="O70" t="b">
        <v>0</v>
      </c>
      <c r="P70">
        <v>42694</v>
      </c>
      <c r="Q70">
        <v>2</v>
      </c>
    </row>
    <row r="71" spans="1:17" x14ac:dyDescent="0.2">
      <c r="A71" t="s">
        <v>853</v>
      </c>
      <c r="B71" t="s">
        <v>451</v>
      </c>
      <c r="C71" t="s">
        <v>204</v>
      </c>
      <c r="D71" t="s">
        <v>9</v>
      </c>
      <c r="E71" t="s">
        <v>205</v>
      </c>
      <c r="F71" t="s">
        <v>137</v>
      </c>
      <c r="G71">
        <v>45231</v>
      </c>
      <c r="H71" t="s">
        <v>27</v>
      </c>
      <c r="I71">
        <v>42710</v>
      </c>
      <c r="J71">
        <v>4</v>
      </c>
      <c r="K71" t="s">
        <v>854</v>
      </c>
      <c r="L71">
        <v>2</v>
      </c>
      <c r="M71">
        <v>1</v>
      </c>
      <c r="N71">
        <v>0.2</v>
      </c>
      <c r="O71" t="b">
        <v>0</v>
      </c>
      <c r="P71">
        <v>42705</v>
      </c>
      <c r="Q71">
        <v>5</v>
      </c>
    </row>
    <row r="72" spans="1:17" x14ac:dyDescent="0.2">
      <c r="A72" t="s">
        <v>723</v>
      </c>
      <c r="B72" t="s">
        <v>520</v>
      </c>
      <c r="C72" t="s">
        <v>305</v>
      </c>
      <c r="D72" t="s">
        <v>90</v>
      </c>
      <c r="E72" t="s">
        <v>25</v>
      </c>
      <c r="F72" t="s">
        <v>26</v>
      </c>
      <c r="G72">
        <v>10035</v>
      </c>
      <c r="H72" t="s">
        <v>27</v>
      </c>
      <c r="I72">
        <v>41706</v>
      </c>
      <c r="J72">
        <v>4</v>
      </c>
      <c r="K72" t="s">
        <v>724</v>
      </c>
      <c r="L72">
        <v>9</v>
      </c>
      <c r="M72">
        <v>1</v>
      </c>
      <c r="N72">
        <v>0.13333333333333333</v>
      </c>
      <c r="O72" t="b">
        <v>0</v>
      </c>
      <c r="P72">
        <v>41701</v>
      </c>
      <c r="Q72">
        <v>5</v>
      </c>
    </row>
    <row r="73" spans="1:17" x14ac:dyDescent="0.2">
      <c r="A73" t="s">
        <v>770</v>
      </c>
      <c r="B73" t="s">
        <v>520</v>
      </c>
      <c r="C73" t="s">
        <v>305</v>
      </c>
      <c r="D73" t="s">
        <v>90</v>
      </c>
      <c r="E73" t="s">
        <v>25</v>
      </c>
      <c r="F73" t="s">
        <v>26</v>
      </c>
      <c r="G73">
        <v>10035</v>
      </c>
      <c r="H73" t="s">
        <v>27</v>
      </c>
      <c r="I73">
        <v>42517</v>
      </c>
      <c r="J73">
        <v>4</v>
      </c>
      <c r="K73" t="s">
        <v>771</v>
      </c>
      <c r="L73">
        <v>1</v>
      </c>
      <c r="M73">
        <v>0</v>
      </c>
      <c r="N73">
        <v>0</v>
      </c>
      <c r="O73" t="b">
        <v>0</v>
      </c>
      <c r="P73">
        <v>42513</v>
      </c>
      <c r="Q73">
        <v>4</v>
      </c>
    </row>
    <row r="74" spans="1:17" x14ac:dyDescent="0.2">
      <c r="A74" t="s">
        <v>731</v>
      </c>
      <c r="B74" t="s">
        <v>556</v>
      </c>
      <c r="C74" t="s">
        <v>360</v>
      </c>
      <c r="D74" t="s">
        <v>90</v>
      </c>
      <c r="E74" t="s">
        <v>38</v>
      </c>
      <c r="F74" t="s">
        <v>17</v>
      </c>
      <c r="G74">
        <v>90004</v>
      </c>
      <c r="H74" t="s">
        <v>18</v>
      </c>
      <c r="I74">
        <v>42003</v>
      </c>
      <c r="J74">
        <v>3</v>
      </c>
      <c r="K74" t="s">
        <v>732</v>
      </c>
      <c r="L74">
        <v>4</v>
      </c>
      <c r="M74">
        <v>0</v>
      </c>
      <c r="N74">
        <v>0</v>
      </c>
      <c r="O74" t="b">
        <v>0</v>
      </c>
      <c r="P74">
        <v>42000</v>
      </c>
      <c r="Q74">
        <v>3</v>
      </c>
    </row>
    <row r="75" spans="1:17" x14ac:dyDescent="0.2">
      <c r="A75" t="s">
        <v>756</v>
      </c>
      <c r="B75" t="s">
        <v>556</v>
      </c>
      <c r="C75" t="s">
        <v>360</v>
      </c>
      <c r="D75" t="s">
        <v>90</v>
      </c>
      <c r="E75" t="s">
        <v>38</v>
      </c>
      <c r="F75" t="s">
        <v>17</v>
      </c>
      <c r="G75">
        <v>90004</v>
      </c>
      <c r="H75" t="s">
        <v>18</v>
      </c>
      <c r="I75">
        <v>42705</v>
      </c>
      <c r="J75">
        <v>4</v>
      </c>
      <c r="K75" t="s">
        <v>757</v>
      </c>
      <c r="L75">
        <v>4</v>
      </c>
      <c r="M75">
        <v>1</v>
      </c>
      <c r="N75">
        <v>0.1</v>
      </c>
      <c r="O75" t="b">
        <v>0</v>
      </c>
      <c r="P75">
        <v>42698</v>
      </c>
      <c r="Q75">
        <v>7</v>
      </c>
    </row>
    <row r="76" spans="1:17" x14ac:dyDescent="0.2">
      <c r="A76" t="s">
        <v>787</v>
      </c>
      <c r="B76" t="s">
        <v>458</v>
      </c>
      <c r="C76" t="s">
        <v>214</v>
      </c>
      <c r="D76" t="s">
        <v>9</v>
      </c>
      <c r="E76" t="s">
        <v>156</v>
      </c>
      <c r="F76" t="s">
        <v>63</v>
      </c>
      <c r="G76">
        <v>28540</v>
      </c>
      <c r="H76" t="s">
        <v>47</v>
      </c>
      <c r="I76">
        <v>42948</v>
      </c>
      <c r="J76">
        <v>3</v>
      </c>
      <c r="K76" t="s">
        <v>789</v>
      </c>
      <c r="L76">
        <v>10</v>
      </c>
      <c r="M76">
        <v>1</v>
      </c>
      <c r="N76">
        <v>0.2</v>
      </c>
      <c r="O76" t="b">
        <v>0</v>
      </c>
      <c r="P76">
        <v>42945</v>
      </c>
      <c r="Q76">
        <v>3</v>
      </c>
    </row>
    <row r="77" spans="1:17" x14ac:dyDescent="0.2">
      <c r="A77" t="s">
        <v>741</v>
      </c>
      <c r="B77" t="s">
        <v>537</v>
      </c>
      <c r="C77" t="s">
        <v>330</v>
      </c>
      <c r="D77" t="s">
        <v>150</v>
      </c>
      <c r="E77" t="s">
        <v>156</v>
      </c>
      <c r="F77" t="s">
        <v>63</v>
      </c>
      <c r="G77">
        <v>28540</v>
      </c>
      <c r="H77" t="s">
        <v>47</v>
      </c>
      <c r="I77">
        <v>42739</v>
      </c>
      <c r="J77">
        <v>2</v>
      </c>
      <c r="K77" t="s">
        <v>742</v>
      </c>
      <c r="L77">
        <v>13</v>
      </c>
      <c r="M77">
        <v>1</v>
      </c>
      <c r="N77">
        <v>0.6333333333333333</v>
      </c>
      <c r="O77" t="b">
        <v>0</v>
      </c>
      <c r="P77">
        <v>42737</v>
      </c>
      <c r="Q77">
        <v>2</v>
      </c>
    </row>
    <row r="78" spans="1:17" x14ac:dyDescent="0.2">
      <c r="A78" t="s">
        <v>744</v>
      </c>
      <c r="B78" t="s">
        <v>537</v>
      </c>
      <c r="C78" t="s">
        <v>330</v>
      </c>
      <c r="D78" t="s">
        <v>150</v>
      </c>
      <c r="E78" t="s">
        <v>156</v>
      </c>
      <c r="F78" t="s">
        <v>63</v>
      </c>
      <c r="G78">
        <v>28540</v>
      </c>
      <c r="H78" t="s">
        <v>47</v>
      </c>
      <c r="I78">
        <v>42460</v>
      </c>
      <c r="J78">
        <v>2</v>
      </c>
      <c r="K78" t="s">
        <v>745</v>
      </c>
      <c r="L78">
        <v>2</v>
      </c>
      <c r="M78">
        <v>0</v>
      </c>
      <c r="N78">
        <v>0</v>
      </c>
      <c r="O78" t="b">
        <v>0</v>
      </c>
      <c r="P78">
        <v>42457</v>
      </c>
      <c r="Q78">
        <v>3</v>
      </c>
    </row>
    <row r="79" spans="1:17" x14ac:dyDescent="0.2">
      <c r="A79" t="s">
        <v>797</v>
      </c>
      <c r="B79" t="s">
        <v>537</v>
      </c>
      <c r="C79" t="s">
        <v>330</v>
      </c>
      <c r="D79" t="s">
        <v>150</v>
      </c>
      <c r="E79" t="s">
        <v>156</v>
      </c>
      <c r="F79" t="s">
        <v>63</v>
      </c>
      <c r="G79">
        <v>28540</v>
      </c>
      <c r="H79" t="s">
        <v>47</v>
      </c>
      <c r="I79">
        <v>42954</v>
      </c>
      <c r="J79">
        <v>4</v>
      </c>
      <c r="K79" t="s">
        <v>798</v>
      </c>
      <c r="L79">
        <v>10</v>
      </c>
      <c r="M79">
        <v>1</v>
      </c>
      <c r="N79">
        <v>0.30000000000000004</v>
      </c>
      <c r="O79" t="b">
        <v>0</v>
      </c>
      <c r="P79">
        <v>42948</v>
      </c>
      <c r="Q79">
        <v>6</v>
      </c>
    </row>
    <row r="80" spans="1:17" x14ac:dyDescent="0.2">
      <c r="A80" t="s">
        <v>784</v>
      </c>
      <c r="B80" t="s">
        <v>466</v>
      </c>
      <c r="C80" t="s">
        <v>225</v>
      </c>
      <c r="D80" t="s">
        <v>9</v>
      </c>
      <c r="E80" t="s">
        <v>38</v>
      </c>
      <c r="F80" t="s">
        <v>17</v>
      </c>
      <c r="G80">
        <v>90008</v>
      </c>
      <c r="H80" t="s">
        <v>18</v>
      </c>
      <c r="I80">
        <v>42369</v>
      </c>
      <c r="J80">
        <v>4</v>
      </c>
      <c r="K80" t="s">
        <v>786</v>
      </c>
      <c r="L80">
        <v>9</v>
      </c>
      <c r="M80">
        <v>0</v>
      </c>
      <c r="N80">
        <v>0</v>
      </c>
      <c r="O80" t="b">
        <v>0</v>
      </c>
      <c r="P80">
        <v>42365</v>
      </c>
      <c r="Q80">
        <v>4</v>
      </c>
    </row>
    <row r="81" spans="1:17" x14ac:dyDescent="0.2">
      <c r="A81" t="s">
        <v>791</v>
      </c>
      <c r="B81" t="s">
        <v>466</v>
      </c>
      <c r="C81" t="s">
        <v>225</v>
      </c>
      <c r="D81" t="s">
        <v>9</v>
      </c>
      <c r="E81" t="s">
        <v>38</v>
      </c>
      <c r="F81" t="s">
        <v>17</v>
      </c>
      <c r="G81">
        <v>90008</v>
      </c>
      <c r="H81" t="s">
        <v>18</v>
      </c>
      <c r="I81">
        <v>42256</v>
      </c>
      <c r="J81">
        <v>4</v>
      </c>
      <c r="K81" t="s">
        <v>793</v>
      </c>
      <c r="L81">
        <v>13</v>
      </c>
      <c r="M81">
        <v>1</v>
      </c>
      <c r="N81">
        <v>0.16666666666666666</v>
      </c>
      <c r="O81" t="b">
        <v>0</v>
      </c>
      <c r="P81">
        <v>42252</v>
      </c>
      <c r="Q81">
        <v>4</v>
      </c>
    </row>
    <row r="82" spans="1:17" x14ac:dyDescent="0.2">
      <c r="A82" t="s">
        <v>759</v>
      </c>
      <c r="B82" t="s">
        <v>533</v>
      </c>
      <c r="C82" t="s">
        <v>324</v>
      </c>
      <c r="D82" t="s">
        <v>9</v>
      </c>
      <c r="E82" t="s">
        <v>145</v>
      </c>
      <c r="F82" t="s">
        <v>119</v>
      </c>
      <c r="G82">
        <v>49201</v>
      </c>
      <c r="H82" t="s">
        <v>12</v>
      </c>
      <c r="I82">
        <v>43098</v>
      </c>
      <c r="J82">
        <v>3</v>
      </c>
      <c r="K82" t="s">
        <v>760</v>
      </c>
      <c r="L82">
        <v>3</v>
      </c>
      <c r="M82">
        <v>1</v>
      </c>
      <c r="N82">
        <v>0.2</v>
      </c>
      <c r="O82" t="b">
        <v>0</v>
      </c>
      <c r="P82">
        <v>43093</v>
      </c>
      <c r="Q82">
        <v>5</v>
      </c>
    </row>
    <row r="83" spans="1:17" x14ac:dyDescent="0.2">
      <c r="A83" t="s">
        <v>845</v>
      </c>
      <c r="B83" t="s">
        <v>533</v>
      </c>
      <c r="C83" t="s">
        <v>324</v>
      </c>
      <c r="D83" t="s">
        <v>9</v>
      </c>
      <c r="E83" t="s">
        <v>145</v>
      </c>
      <c r="F83" t="s">
        <v>119</v>
      </c>
      <c r="G83">
        <v>49201</v>
      </c>
      <c r="H83" t="s">
        <v>12</v>
      </c>
      <c r="I83">
        <v>42334</v>
      </c>
      <c r="J83">
        <v>3</v>
      </c>
      <c r="K83" t="s">
        <v>846</v>
      </c>
      <c r="L83">
        <v>3</v>
      </c>
      <c r="M83">
        <v>0</v>
      </c>
      <c r="N83">
        <v>0</v>
      </c>
      <c r="O83" t="b">
        <v>0</v>
      </c>
      <c r="P83">
        <v>42330</v>
      </c>
      <c r="Q83">
        <v>4</v>
      </c>
    </row>
    <row r="84" spans="1:17" x14ac:dyDescent="0.2">
      <c r="A84" t="s">
        <v>803</v>
      </c>
      <c r="B84" t="s">
        <v>475</v>
      </c>
      <c r="C84" t="s">
        <v>240</v>
      </c>
      <c r="D84" t="s">
        <v>150</v>
      </c>
      <c r="E84" t="s">
        <v>108</v>
      </c>
      <c r="F84" t="s">
        <v>230</v>
      </c>
      <c r="G84">
        <v>89015</v>
      </c>
      <c r="H84" t="s">
        <v>18</v>
      </c>
      <c r="I84">
        <v>42843</v>
      </c>
      <c r="J84">
        <v>2</v>
      </c>
      <c r="K84" t="s">
        <v>804</v>
      </c>
      <c r="L84">
        <v>5</v>
      </c>
      <c r="M84">
        <v>0</v>
      </c>
      <c r="N84">
        <v>0</v>
      </c>
      <c r="O84" t="b">
        <v>0</v>
      </c>
      <c r="P84">
        <v>42840</v>
      </c>
      <c r="Q84">
        <v>3</v>
      </c>
    </row>
    <row r="85" spans="1:17" x14ac:dyDescent="0.2">
      <c r="A85" t="s">
        <v>761</v>
      </c>
      <c r="B85" t="s">
        <v>499</v>
      </c>
      <c r="C85" t="s">
        <v>273</v>
      </c>
      <c r="D85" t="s">
        <v>9</v>
      </c>
      <c r="E85" t="s">
        <v>97</v>
      </c>
      <c r="F85" t="s">
        <v>67</v>
      </c>
      <c r="G85">
        <v>19120</v>
      </c>
      <c r="H85" t="s">
        <v>27</v>
      </c>
      <c r="I85">
        <v>43086</v>
      </c>
      <c r="J85">
        <v>4</v>
      </c>
      <c r="K85" t="s">
        <v>762</v>
      </c>
      <c r="L85">
        <v>1</v>
      </c>
      <c r="M85">
        <v>1</v>
      </c>
      <c r="N85">
        <v>0.3</v>
      </c>
      <c r="O85" t="b">
        <v>0</v>
      </c>
      <c r="P85">
        <v>43080</v>
      </c>
      <c r="Q85">
        <v>6</v>
      </c>
    </row>
    <row r="86" spans="1:17" x14ac:dyDescent="0.2">
      <c r="A86" t="s">
        <v>765</v>
      </c>
      <c r="B86" t="s">
        <v>561</v>
      </c>
      <c r="C86" t="s">
        <v>368</v>
      </c>
      <c r="D86" t="s">
        <v>9</v>
      </c>
      <c r="E86" t="s">
        <v>369</v>
      </c>
      <c r="F86" t="s">
        <v>17</v>
      </c>
      <c r="G86">
        <v>93309</v>
      </c>
      <c r="H86" t="s">
        <v>18</v>
      </c>
      <c r="I86">
        <v>42338</v>
      </c>
      <c r="J86">
        <v>4</v>
      </c>
      <c r="K86" t="s">
        <v>766</v>
      </c>
      <c r="L86">
        <v>7</v>
      </c>
      <c r="M86">
        <v>1</v>
      </c>
      <c r="N86">
        <v>0.5</v>
      </c>
      <c r="O86" t="b">
        <v>1</v>
      </c>
      <c r="P86">
        <v>42337</v>
      </c>
      <c r="Q86">
        <v>1</v>
      </c>
    </row>
    <row r="87" spans="1:17" x14ac:dyDescent="0.2">
      <c r="A87" t="s">
        <v>780</v>
      </c>
      <c r="B87" t="s">
        <v>561</v>
      </c>
      <c r="C87" t="s">
        <v>368</v>
      </c>
      <c r="D87" t="s">
        <v>9</v>
      </c>
      <c r="E87" t="s">
        <v>369</v>
      </c>
      <c r="F87" t="s">
        <v>17</v>
      </c>
      <c r="G87">
        <v>93309</v>
      </c>
      <c r="H87" t="s">
        <v>18</v>
      </c>
      <c r="I87">
        <v>43081</v>
      </c>
      <c r="J87">
        <v>4</v>
      </c>
      <c r="K87" t="s">
        <v>781</v>
      </c>
      <c r="L87">
        <v>4</v>
      </c>
      <c r="M87">
        <v>1</v>
      </c>
      <c r="N87">
        <v>0.2</v>
      </c>
      <c r="O87" t="b">
        <v>1</v>
      </c>
      <c r="P87">
        <v>43079</v>
      </c>
      <c r="Q87">
        <v>2</v>
      </c>
    </row>
    <row r="88" spans="1:17" x14ac:dyDescent="0.2">
      <c r="A88" t="s">
        <v>839</v>
      </c>
      <c r="B88" t="s">
        <v>561</v>
      </c>
      <c r="C88" t="s">
        <v>368</v>
      </c>
      <c r="D88" t="s">
        <v>9</v>
      </c>
      <c r="E88" t="s">
        <v>369</v>
      </c>
      <c r="F88" t="s">
        <v>17</v>
      </c>
      <c r="G88">
        <v>93309</v>
      </c>
      <c r="H88" t="s">
        <v>18</v>
      </c>
      <c r="I88">
        <v>42109</v>
      </c>
      <c r="J88">
        <v>4</v>
      </c>
      <c r="K88" t="s">
        <v>840</v>
      </c>
      <c r="L88">
        <v>1</v>
      </c>
      <c r="M88">
        <v>0</v>
      </c>
      <c r="N88">
        <v>0</v>
      </c>
      <c r="O88" t="b">
        <v>0</v>
      </c>
      <c r="P88">
        <v>42107</v>
      </c>
      <c r="Q88">
        <v>2</v>
      </c>
    </row>
    <row r="89" spans="1:17" x14ac:dyDescent="0.2">
      <c r="A89" t="s">
        <v>841</v>
      </c>
      <c r="B89" t="s">
        <v>480</v>
      </c>
      <c r="C89" t="s">
        <v>247</v>
      </c>
      <c r="D89" t="s">
        <v>90</v>
      </c>
      <c r="E89" t="s">
        <v>151</v>
      </c>
      <c r="F89" t="s">
        <v>31</v>
      </c>
      <c r="G89">
        <v>85705</v>
      </c>
      <c r="H89" t="s">
        <v>18</v>
      </c>
      <c r="I89">
        <v>41838</v>
      </c>
      <c r="J89">
        <v>1</v>
      </c>
      <c r="K89" t="s">
        <v>842</v>
      </c>
      <c r="L89">
        <v>4</v>
      </c>
      <c r="M89">
        <v>1</v>
      </c>
      <c r="N89">
        <v>0.2</v>
      </c>
      <c r="O89" t="b">
        <v>0</v>
      </c>
      <c r="P89">
        <v>41838</v>
      </c>
      <c r="Q89">
        <v>0</v>
      </c>
    </row>
    <row r="90" spans="1:17" x14ac:dyDescent="0.2">
      <c r="A90" t="s">
        <v>777</v>
      </c>
      <c r="B90" t="s">
        <v>549</v>
      </c>
      <c r="C90" t="s">
        <v>348</v>
      </c>
      <c r="D90" t="s">
        <v>9</v>
      </c>
      <c r="E90" t="s">
        <v>349</v>
      </c>
      <c r="F90" t="s">
        <v>137</v>
      </c>
      <c r="G90">
        <v>44105</v>
      </c>
      <c r="H90" t="s">
        <v>27</v>
      </c>
      <c r="I90">
        <v>42911</v>
      </c>
      <c r="J90">
        <v>3</v>
      </c>
      <c r="K90" t="s">
        <v>779</v>
      </c>
      <c r="L90">
        <v>11</v>
      </c>
      <c r="M90">
        <v>1</v>
      </c>
      <c r="N90">
        <v>0.44999999999999996</v>
      </c>
      <c r="O90" t="b">
        <v>0</v>
      </c>
      <c r="P90">
        <v>42907</v>
      </c>
      <c r="Q90">
        <v>4</v>
      </c>
    </row>
    <row r="91" spans="1:17" x14ac:dyDescent="0.2">
      <c r="A91" t="s">
        <v>847</v>
      </c>
      <c r="B91" t="s">
        <v>549</v>
      </c>
      <c r="C91" t="s">
        <v>348</v>
      </c>
      <c r="D91" t="s">
        <v>9</v>
      </c>
      <c r="E91" t="s">
        <v>349</v>
      </c>
      <c r="F91" t="s">
        <v>137</v>
      </c>
      <c r="G91">
        <v>44105</v>
      </c>
      <c r="H91" t="s">
        <v>27</v>
      </c>
      <c r="I91">
        <v>42550</v>
      </c>
      <c r="J91">
        <v>3</v>
      </c>
      <c r="K91" t="s">
        <v>848</v>
      </c>
      <c r="L91">
        <v>3</v>
      </c>
      <c r="M91">
        <v>0</v>
      </c>
      <c r="N91">
        <v>0</v>
      </c>
      <c r="O91" t="b">
        <v>0</v>
      </c>
      <c r="P91">
        <v>42546</v>
      </c>
      <c r="Q91">
        <v>4</v>
      </c>
    </row>
    <row r="92" spans="1:17" x14ac:dyDescent="0.2">
      <c r="A92" t="s">
        <v>805</v>
      </c>
      <c r="B92" t="s">
        <v>539</v>
      </c>
      <c r="C92" t="s">
        <v>333</v>
      </c>
      <c r="D92" t="s">
        <v>9</v>
      </c>
      <c r="E92" t="s">
        <v>270</v>
      </c>
      <c r="F92" t="s">
        <v>334</v>
      </c>
      <c r="G92">
        <v>65807</v>
      </c>
      <c r="H92" t="s">
        <v>12</v>
      </c>
      <c r="I92">
        <v>43074</v>
      </c>
      <c r="J92">
        <v>4</v>
      </c>
      <c r="K92" t="s">
        <v>806</v>
      </c>
      <c r="L92">
        <v>3</v>
      </c>
      <c r="M92">
        <v>0</v>
      </c>
      <c r="N92">
        <v>0</v>
      </c>
      <c r="O92" t="b">
        <v>0</v>
      </c>
      <c r="P92">
        <v>43071</v>
      </c>
      <c r="Q92">
        <v>3</v>
      </c>
    </row>
    <row r="93" spans="1:17" x14ac:dyDescent="0.2">
      <c r="A93" t="s">
        <v>830</v>
      </c>
      <c r="B93" t="s">
        <v>539</v>
      </c>
      <c r="C93" t="s">
        <v>333</v>
      </c>
      <c r="D93" t="s">
        <v>9</v>
      </c>
      <c r="E93" t="s">
        <v>270</v>
      </c>
      <c r="F93" t="s">
        <v>334</v>
      </c>
      <c r="G93">
        <v>65807</v>
      </c>
      <c r="H93" t="s">
        <v>12</v>
      </c>
      <c r="I93">
        <v>42321</v>
      </c>
      <c r="J93">
        <v>4</v>
      </c>
      <c r="K93" t="s">
        <v>834</v>
      </c>
      <c r="L93">
        <v>16</v>
      </c>
      <c r="M93">
        <v>0</v>
      </c>
      <c r="N93">
        <v>0</v>
      </c>
      <c r="O93" t="b">
        <v>0</v>
      </c>
      <c r="P93">
        <v>42317</v>
      </c>
      <c r="Q93">
        <v>4</v>
      </c>
    </row>
    <row r="94" spans="1:17" x14ac:dyDescent="0.2">
      <c r="A94" t="s">
        <v>875</v>
      </c>
      <c r="B94" t="s">
        <v>539</v>
      </c>
      <c r="C94" t="s">
        <v>333</v>
      </c>
      <c r="D94" t="s">
        <v>9</v>
      </c>
      <c r="E94" t="s">
        <v>270</v>
      </c>
      <c r="F94" t="s">
        <v>334</v>
      </c>
      <c r="G94">
        <v>65807</v>
      </c>
      <c r="H94" t="s">
        <v>12</v>
      </c>
      <c r="I94">
        <v>42829</v>
      </c>
      <c r="J94">
        <v>4</v>
      </c>
      <c r="K94" t="s">
        <v>745</v>
      </c>
      <c r="L94">
        <v>11</v>
      </c>
      <c r="M94">
        <v>0</v>
      </c>
      <c r="N94">
        <v>0</v>
      </c>
      <c r="O94" t="b">
        <v>0</v>
      </c>
      <c r="P94">
        <v>42826</v>
      </c>
      <c r="Q94">
        <v>3</v>
      </c>
    </row>
    <row r="95" spans="1:17" x14ac:dyDescent="0.2">
      <c r="A95" t="s">
        <v>809</v>
      </c>
      <c r="B95" t="s">
        <v>554</v>
      </c>
      <c r="C95" t="s">
        <v>357</v>
      </c>
      <c r="D95" t="s">
        <v>90</v>
      </c>
      <c r="E95" t="s">
        <v>358</v>
      </c>
      <c r="F95" t="s">
        <v>166</v>
      </c>
      <c r="G95">
        <v>33437</v>
      </c>
      <c r="H95" t="s">
        <v>47</v>
      </c>
      <c r="I95">
        <v>42860</v>
      </c>
      <c r="J95">
        <v>4</v>
      </c>
      <c r="K95" t="s">
        <v>810</v>
      </c>
      <c r="L95">
        <v>8</v>
      </c>
      <c r="M95">
        <v>1</v>
      </c>
      <c r="N95">
        <v>0.2</v>
      </c>
      <c r="O95" t="b">
        <v>0</v>
      </c>
      <c r="P95">
        <v>42855</v>
      </c>
      <c r="Q95">
        <v>5</v>
      </c>
    </row>
    <row r="96" spans="1:17" x14ac:dyDescent="0.2">
      <c r="A96" t="s">
        <v>877</v>
      </c>
      <c r="B96" t="s">
        <v>554</v>
      </c>
      <c r="C96" t="s">
        <v>357</v>
      </c>
      <c r="D96" t="s">
        <v>90</v>
      </c>
      <c r="E96" t="s">
        <v>358</v>
      </c>
      <c r="F96" t="s">
        <v>166</v>
      </c>
      <c r="G96">
        <v>33437</v>
      </c>
      <c r="H96" t="s">
        <v>47</v>
      </c>
      <c r="I96">
        <v>41857</v>
      </c>
      <c r="J96">
        <v>4</v>
      </c>
      <c r="K96" t="s">
        <v>878</v>
      </c>
      <c r="L96">
        <v>2</v>
      </c>
      <c r="M96">
        <v>1</v>
      </c>
      <c r="N96">
        <v>0.2</v>
      </c>
      <c r="O96" t="b">
        <v>0</v>
      </c>
      <c r="P96">
        <v>41852</v>
      </c>
      <c r="Q96">
        <v>5</v>
      </c>
    </row>
    <row r="97" spans="1:17" x14ac:dyDescent="0.2">
      <c r="A97" t="s">
        <v>835</v>
      </c>
      <c r="B97" t="s">
        <v>515</v>
      </c>
      <c r="C97" t="s">
        <v>297</v>
      </c>
      <c r="D97" t="s">
        <v>9</v>
      </c>
      <c r="E97" t="s">
        <v>298</v>
      </c>
      <c r="F97" t="s">
        <v>299</v>
      </c>
      <c r="G97">
        <v>36830</v>
      </c>
      <c r="H97" t="s">
        <v>47</v>
      </c>
      <c r="I97">
        <v>42636</v>
      </c>
      <c r="J97">
        <v>4</v>
      </c>
      <c r="K97" t="s">
        <v>838</v>
      </c>
      <c r="L97">
        <v>7</v>
      </c>
      <c r="M97">
        <v>0</v>
      </c>
      <c r="N97">
        <v>0</v>
      </c>
      <c r="O97" t="b">
        <v>1</v>
      </c>
      <c r="P97">
        <v>42631</v>
      </c>
      <c r="Q97">
        <v>5</v>
      </c>
    </row>
    <row r="98" spans="1:17" x14ac:dyDescent="0.2">
      <c r="A98" t="s">
        <v>888</v>
      </c>
      <c r="B98" t="s">
        <v>515</v>
      </c>
      <c r="C98" t="s">
        <v>297</v>
      </c>
      <c r="D98" t="s">
        <v>9</v>
      </c>
      <c r="E98" t="s">
        <v>298</v>
      </c>
      <c r="F98" t="s">
        <v>299</v>
      </c>
      <c r="G98">
        <v>36830</v>
      </c>
      <c r="H98" t="s">
        <v>47</v>
      </c>
      <c r="I98">
        <v>42278</v>
      </c>
      <c r="J98">
        <v>4</v>
      </c>
      <c r="K98" t="s">
        <v>706</v>
      </c>
      <c r="L98">
        <v>2</v>
      </c>
      <c r="M98">
        <v>0</v>
      </c>
      <c r="N98">
        <v>0</v>
      </c>
      <c r="O98" t="b">
        <v>1</v>
      </c>
      <c r="P98">
        <v>42272</v>
      </c>
      <c r="Q98">
        <v>6</v>
      </c>
    </row>
    <row r="99" spans="1:17" x14ac:dyDescent="0.2">
      <c r="A99" t="s">
        <v>849</v>
      </c>
      <c r="B99" t="s">
        <v>525</v>
      </c>
      <c r="C99" t="s">
        <v>312</v>
      </c>
      <c r="D99" t="s">
        <v>9</v>
      </c>
      <c r="E99" t="s">
        <v>85</v>
      </c>
      <c r="F99" t="s">
        <v>86</v>
      </c>
      <c r="G99">
        <v>98105</v>
      </c>
      <c r="H99" t="s">
        <v>18</v>
      </c>
      <c r="I99">
        <v>42721</v>
      </c>
      <c r="J99">
        <v>4</v>
      </c>
      <c r="K99" t="s">
        <v>766</v>
      </c>
      <c r="L99">
        <v>18</v>
      </c>
      <c r="M99">
        <v>1</v>
      </c>
      <c r="N99">
        <v>4.0000000000000008E-2</v>
      </c>
      <c r="O99" t="b">
        <v>1</v>
      </c>
      <c r="P99">
        <v>42714</v>
      </c>
      <c r="Q99">
        <v>7</v>
      </c>
    </row>
    <row r="100" spans="1:17" x14ac:dyDescent="0.2">
      <c r="A100" t="s">
        <v>855</v>
      </c>
      <c r="B100" t="s">
        <v>562</v>
      </c>
      <c r="C100" t="s">
        <v>370</v>
      </c>
      <c r="D100" t="s">
        <v>90</v>
      </c>
      <c r="E100" t="s">
        <v>371</v>
      </c>
      <c r="F100" t="s">
        <v>124</v>
      </c>
      <c r="G100">
        <v>60505</v>
      </c>
      <c r="H100" t="s">
        <v>12</v>
      </c>
      <c r="I100">
        <v>41840</v>
      </c>
      <c r="J100">
        <v>4</v>
      </c>
      <c r="K100" t="s">
        <v>688</v>
      </c>
      <c r="L100">
        <v>11</v>
      </c>
      <c r="M100">
        <v>1</v>
      </c>
      <c r="N100">
        <v>0.5</v>
      </c>
      <c r="O100" t="b">
        <v>0</v>
      </c>
      <c r="P100">
        <v>41834</v>
      </c>
      <c r="Q100">
        <v>6</v>
      </c>
    </row>
    <row r="101" spans="1:17" x14ac:dyDescent="0.2">
      <c r="A101" t="s">
        <v>879</v>
      </c>
      <c r="B101" t="s">
        <v>568</v>
      </c>
      <c r="C101" t="s">
        <v>379</v>
      </c>
      <c r="D101" t="s">
        <v>9</v>
      </c>
      <c r="E101" t="s">
        <v>380</v>
      </c>
      <c r="F101" t="s">
        <v>124</v>
      </c>
      <c r="G101">
        <v>60090</v>
      </c>
      <c r="H101" t="s">
        <v>12</v>
      </c>
      <c r="I101">
        <v>41730</v>
      </c>
      <c r="J101">
        <v>4</v>
      </c>
      <c r="K101" t="s">
        <v>880</v>
      </c>
      <c r="L101">
        <v>7</v>
      </c>
      <c r="M101">
        <v>1</v>
      </c>
      <c r="N101">
        <v>0.1</v>
      </c>
      <c r="O101" t="b">
        <v>0</v>
      </c>
      <c r="P101">
        <v>41723</v>
      </c>
      <c r="Q101">
        <v>7</v>
      </c>
    </row>
    <row r="102" spans="1:17" x14ac:dyDescent="0.2">
      <c r="A102" t="s">
        <v>891</v>
      </c>
      <c r="B102" t="s">
        <v>562</v>
      </c>
      <c r="C102" t="s">
        <v>370</v>
      </c>
      <c r="D102" t="s">
        <v>90</v>
      </c>
      <c r="E102" t="s">
        <v>371</v>
      </c>
      <c r="F102" t="s">
        <v>124</v>
      </c>
      <c r="G102">
        <v>60505</v>
      </c>
      <c r="H102" t="s">
        <v>12</v>
      </c>
      <c r="I102">
        <v>42697</v>
      </c>
      <c r="J102">
        <v>4</v>
      </c>
      <c r="K102" t="s">
        <v>892</v>
      </c>
      <c r="L102">
        <v>4</v>
      </c>
      <c r="M102">
        <v>0</v>
      </c>
      <c r="N102">
        <v>0</v>
      </c>
      <c r="O102" t="b">
        <v>0</v>
      </c>
      <c r="P102">
        <v>42692</v>
      </c>
      <c r="Q102">
        <v>5</v>
      </c>
    </row>
    <row r="103" spans="1:17" x14ac:dyDescent="0.2">
      <c r="A103" t="s">
        <v>893</v>
      </c>
      <c r="B103" t="s">
        <v>521</v>
      </c>
      <c r="C103" t="s">
        <v>306</v>
      </c>
      <c r="D103" t="s">
        <v>90</v>
      </c>
      <c r="E103" t="s">
        <v>307</v>
      </c>
      <c r="F103" t="s">
        <v>79</v>
      </c>
      <c r="G103">
        <v>2148</v>
      </c>
      <c r="H103" t="s">
        <v>27</v>
      </c>
      <c r="I103">
        <v>42627</v>
      </c>
      <c r="J103">
        <v>4</v>
      </c>
      <c r="K103" t="s">
        <v>895</v>
      </c>
      <c r="L103">
        <v>7</v>
      </c>
      <c r="M103">
        <v>0</v>
      </c>
      <c r="N103">
        <v>0</v>
      </c>
      <c r="O103" t="b">
        <v>0</v>
      </c>
      <c r="P103">
        <v>42621</v>
      </c>
      <c r="Q103">
        <v>6</v>
      </c>
    </row>
    <row r="104" spans="1:17" x14ac:dyDescent="0.2">
      <c r="A104" t="s">
        <v>896</v>
      </c>
      <c r="B104" t="s">
        <v>396</v>
      </c>
      <c r="C104" t="s">
        <v>107</v>
      </c>
      <c r="D104" t="s">
        <v>9</v>
      </c>
      <c r="E104" t="s">
        <v>108</v>
      </c>
      <c r="F104" t="s">
        <v>73</v>
      </c>
      <c r="G104">
        <v>42420</v>
      </c>
      <c r="H104" t="s">
        <v>47</v>
      </c>
      <c r="I104">
        <v>43062</v>
      </c>
      <c r="J104">
        <v>4</v>
      </c>
      <c r="K104" t="s">
        <v>767</v>
      </c>
      <c r="L104">
        <v>8</v>
      </c>
      <c r="M104">
        <v>0</v>
      </c>
      <c r="N104">
        <v>0</v>
      </c>
      <c r="O104" t="b">
        <v>0</v>
      </c>
      <c r="P104">
        <v>43058</v>
      </c>
      <c r="Q104">
        <v>4</v>
      </c>
    </row>
    <row r="105" spans="1:17" x14ac:dyDescent="0.2">
      <c r="A105" t="s">
        <v>898</v>
      </c>
      <c r="B105" t="s">
        <v>450</v>
      </c>
      <c r="C105" t="s">
        <v>203</v>
      </c>
      <c r="D105" t="s">
        <v>150</v>
      </c>
      <c r="E105" t="s">
        <v>16</v>
      </c>
      <c r="F105" t="s">
        <v>17</v>
      </c>
      <c r="G105">
        <v>94122</v>
      </c>
      <c r="H105" t="s">
        <v>18</v>
      </c>
      <c r="I105">
        <v>41762</v>
      </c>
      <c r="J105">
        <v>4</v>
      </c>
      <c r="K105" t="s">
        <v>900</v>
      </c>
      <c r="L105">
        <v>9</v>
      </c>
      <c r="M105">
        <v>1</v>
      </c>
      <c r="N105">
        <v>0.2</v>
      </c>
      <c r="O105" t="b">
        <v>0</v>
      </c>
      <c r="P105">
        <v>41755</v>
      </c>
      <c r="Q105">
        <v>7</v>
      </c>
    </row>
    <row r="106" spans="1:17" x14ac:dyDescent="0.2">
      <c r="A106" t="s">
        <v>901</v>
      </c>
      <c r="B106" t="s">
        <v>407</v>
      </c>
      <c r="C106" t="s">
        <v>129</v>
      </c>
      <c r="D106" t="s">
        <v>9</v>
      </c>
      <c r="E106" t="s">
        <v>130</v>
      </c>
      <c r="F106" t="s">
        <v>83</v>
      </c>
      <c r="G106">
        <v>74133</v>
      </c>
      <c r="H106" t="s">
        <v>12</v>
      </c>
      <c r="I106">
        <v>42262</v>
      </c>
      <c r="J106">
        <v>4</v>
      </c>
      <c r="K106" t="s">
        <v>902</v>
      </c>
      <c r="L106">
        <v>3</v>
      </c>
      <c r="M106">
        <v>0</v>
      </c>
      <c r="N106">
        <v>0</v>
      </c>
      <c r="O106" t="b">
        <v>1</v>
      </c>
      <c r="P106">
        <v>42257</v>
      </c>
      <c r="Q106">
        <v>5</v>
      </c>
    </row>
    <row r="107" spans="1:17" x14ac:dyDescent="0.2">
      <c r="A107" t="s">
        <v>903</v>
      </c>
      <c r="B107" t="s">
        <v>547</v>
      </c>
      <c r="C107" t="s">
        <v>344</v>
      </c>
      <c r="D107" t="s">
        <v>150</v>
      </c>
      <c r="E107" t="s">
        <v>345</v>
      </c>
      <c r="F107" t="s">
        <v>199</v>
      </c>
      <c r="G107">
        <v>84604</v>
      </c>
      <c r="H107" t="s">
        <v>18</v>
      </c>
      <c r="I107">
        <v>42999</v>
      </c>
      <c r="J107">
        <v>3</v>
      </c>
      <c r="K107" t="s">
        <v>908</v>
      </c>
      <c r="L107">
        <v>21</v>
      </c>
      <c r="M107">
        <v>1</v>
      </c>
      <c r="N107">
        <v>8.5714285714285715E-2</v>
      </c>
      <c r="O107" t="b">
        <v>0</v>
      </c>
      <c r="P107">
        <v>42995</v>
      </c>
      <c r="Q107">
        <v>4</v>
      </c>
    </row>
    <row r="108" spans="1:17" x14ac:dyDescent="0.2">
      <c r="A108" t="s">
        <v>910</v>
      </c>
      <c r="B108" t="s">
        <v>507</v>
      </c>
      <c r="C108" t="s">
        <v>285</v>
      </c>
      <c r="D108" t="s">
        <v>150</v>
      </c>
      <c r="E108" t="s">
        <v>16</v>
      </c>
      <c r="F108" t="s">
        <v>17</v>
      </c>
      <c r="G108">
        <v>94110</v>
      </c>
      <c r="H108" t="s">
        <v>18</v>
      </c>
      <c r="I108">
        <v>42397</v>
      </c>
      <c r="J108">
        <v>4</v>
      </c>
      <c r="K108" t="s">
        <v>911</v>
      </c>
      <c r="L108">
        <v>5</v>
      </c>
      <c r="M108">
        <v>0</v>
      </c>
      <c r="N108">
        <v>0</v>
      </c>
      <c r="O108" t="b">
        <v>0</v>
      </c>
      <c r="P108">
        <v>42391</v>
      </c>
      <c r="Q108">
        <v>6</v>
      </c>
    </row>
    <row r="109" spans="1:17" x14ac:dyDescent="0.2">
      <c r="A109" t="s">
        <v>912</v>
      </c>
      <c r="B109" t="s">
        <v>412</v>
      </c>
      <c r="C109" t="s">
        <v>140</v>
      </c>
      <c r="D109" t="s">
        <v>90</v>
      </c>
      <c r="E109" t="s">
        <v>141</v>
      </c>
      <c r="F109" t="s">
        <v>142</v>
      </c>
      <c r="G109">
        <v>88220</v>
      </c>
      <c r="H109" t="s">
        <v>18</v>
      </c>
      <c r="I109">
        <v>42907</v>
      </c>
      <c r="J109">
        <v>4</v>
      </c>
      <c r="K109" t="s">
        <v>774</v>
      </c>
      <c r="L109">
        <v>9</v>
      </c>
      <c r="M109">
        <v>0</v>
      </c>
      <c r="N109">
        <v>0</v>
      </c>
      <c r="O109" t="b">
        <v>0</v>
      </c>
      <c r="P109">
        <v>42902</v>
      </c>
      <c r="Q109">
        <v>5</v>
      </c>
    </row>
    <row r="110" spans="1:17" x14ac:dyDescent="0.2">
      <c r="A110" t="s">
        <v>915</v>
      </c>
      <c r="B110" t="s">
        <v>521</v>
      </c>
      <c r="C110" t="s">
        <v>306</v>
      </c>
      <c r="D110" t="s">
        <v>90</v>
      </c>
      <c r="E110" t="s">
        <v>307</v>
      </c>
      <c r="F110" t="s">
        <v>79</v>
      </c>
      <c r="G110">
        <v>2148</v>
      </c>
      <c r="H110" t="s">
        <v>27</v>
      </c>
      <c r="I110">
        <v>42334</v>
      </c>
      <c r="J110">
        <v>4</v>
      </c>
      <c r="K110" t="s">
        <v>916</v>
      </c>
      <c r="L110">
        <v>4</v>
      </c>
      <c r="M110">
        <v>1</v>
      </c>
      <c r="N110">
        <v>0.2</v>
      </c>
      <c r="O110" t="b">
        <v>0</v>
      </c>
      <c r="P110">
        <v>42330</v>
      </c>
      <c r="Q110">
        <v>4</v>
      </c>
    </row>
    <row r="111" spans="1:17" x14ac:dyDescent="0.2">
      <c r="A111" t="s">
        <v>917</v>
      </c>
      <c r="B111" t="s">
        <v>552</v>
      </c>
      <c r="C111" t="s">
        <v>353</v>
      </c>
      <c r="D111" t="s">
        <v>150</v>
      </c>
      <c r="E111" t="s">
        <v>354</v>
      </c>
      <c r="F111" t="s">
        <v>104</v>
      </c>
      <c r="G111">
        <v>46060</v>
      </c>
      <c r="H111" t="s">
        <v>12</v>
      </c>
      <c r="I111">
        <v>42684</v>
      </c>
      <c r="J111">
        <v>4</v>
      </c>
      <c r="K111" t="s">
        <v>918</v>
      </c>
      <c r="L111">
        <v>2</v>
      </c>
      <c r="M111">
        <v>1</v>
      </c>
      <c r="N111">
        <v>0.4</v>
      </c>
      <c r="O111" t="b">
        <v>0</v>
      </c>
      <c r="P111">
        <v>42679</v>
      </c>
      <c r="Q111">
        <v>5</v>
      </c>
    </row>
    <row r="112" spans="1:17" x14ac:dyDescent="0.2">
      <c r="A112" t="s">
        <v>919</v>
      </c>
      <c r="B112" t="s">
        <v>431</v>
      </c>
      <c r="C112" t="s">
        <v>172</v>
      </c>
      <c r="D112" t="s">
        <v>9</v>
      </c>
      <c r="E112" t="s">
        <v>173</v>
      </c>
      <c r="F112" t="s">
        <v>137</v>
      </c>
      <c r="G112">
        <v>44134</v>
      </c>
      <c r="H112" t="s">
        <v>27</v>
      </c>
      <c r="I112">
        <v>42821</v>
      </c>
      <c r="J112">
        <v>4</v>
      </c>
      <c r="K112" t="s">
        <v>640</v>
      </c>
      <c r="L112">
        <v>2</v>
      </c>
      <c r="M112">
        <v>1</v>
      </c>
      <c r="N112">
        <v>0.2</v>
      </c>
      <c r="O112" t="b">
        <v>0</v>
      </c>
      <c r="P112">
        <v>42817</v>
      </c>
      <c r="Q112">
        <v>4</v>
      </c>
    </row>
    <row r="113" spans="1:17" x14ac:dyDescent="0.2">
      <c r="A113" t="s">
        <v>920</v>
      </c>
      <c r="B113" t="s">
        <v>503</v>
      </c>
      <c r="C113" t="s">
        <v>278</v>
      </c>
      <c r="D113" t="s">
        <v>150</v>
      </c>
      <c r="E113" t="s">
        <v>270</v>
      </c>
      <c r="F113" t="s">
        <v>95</v>
      </c>
      <c r="G113">
        <v>22153</v>
      </c>
      <c r="H113" t="s">
        <v>47</v>
      </c>
      <c r="I113">
        <v>42707</v>
      </c>
      <c r="J113">
        <v>4</v>
      </c>
      <c r="K113" t="s">
        <v>728</v>
      </c>
      <c r="L113">
        <v>6</v>
      </c>
      <c r="M113">
        <v>1</v>
      </c>
      <c r="N113">
        <v>0.7</v>
      </c>
      <c r="O113" t="b">
        <v>0</v>
      </c>
      <c r="P113">
        <v>42702</v>
      </c>
      <c r="Q113">
        <v>5</v>
      </c>
    </row>
    <row r="114" spans="1:17" x14ac:dyDescent="0.2">
      <c r="A114" t="s">
        <v>921</v>
      </c>
      <c r="B114" t="s">
        <v>576</v>
      </c>
      <c r="C114" t="s">
        <v>575</v>
      </c>
      <c r="D114" t="s">
        <v>9</v>
      </c>
      <c r="E114" t="s">
        <v>251</v>
      </c>
      <c r="F114" t="s">
        <v>73</v>
      </c>
      <c r="G114">
        <v>40214</v>
      </c>
      <c r="H114" t="s">
        <v>47</v>
      </c>
      <c r="I114">
        <v>42686</v>
      </c>
      <c r="J114">
        <v>3</v>
      </c>
      <c r="K114" t="s">
        <v>922</v>
      </c>
      <c r="L114">
        <v>8</v>
      </c>
      <c r="M114">
        <v>1</v>
      </c>
      <c r="N114">
        <v>0.2</v>
      </c>
      <c r="O114" t="b">
        <v>0</v>
      </c>
      <c r="P114">
        <v>42684</v>
      </c>
      <c r="Q114">
        <v>2</v>
      </c>
    </row>
    <row r="115" spans="1:17" x14ac:dyDescent="0.2">
      <c r="A115" t="s">
        <v>924</v>
      </c>
      <c r="B115" t="s">
        <v>566</v>
      </c>
      <c r="C115" t="s">
        <v>376</v>
      </c>
      <c r="D115" t="s">
        <v>150</v>
      </c>
      <c r="E115" t="s">
        <v>377</v>
      </c>
      <c r="F115" t="s">
        <v>17</v>
      </c>
      <c r="G115">
        <v>92054</v>
      </c>
      <c r="H115" t="s">
        <v>18</v>
      </c>
      <c r="I115">
        <v>43090</v>
      </c>
      <c r="J115">
        <v>3</v>
      </c>
      <c r="K115" t="s">
        <v>926</v>
      </c>
      <c r="L115">
        <v>11</v>
      </c>
      <c r="M115">
        <v>1</v>
      </c>
      <c r="N115">
        <v>0.15000000000000002</v>
      </c>
      <c r="O115" t="b">
        <v>0</v>
      </c>
      <c r="P115">
        <v>43085</v>
      </c>
      <c r="Q115">
        <v>5</v>
      </c>
    </row>
    <row r="116" spans="1:17" x14ac:dyDescent="0.2">
      <c r="A116" t="s">
        <v>928</v>
      </c>
      <c r="B116" t="s">
        <v>532</v>
      </c>
      <c r="C116" t="s">
        <v>323</v>
      </c>
      <c r="D116" t="s">
        <v>9</v>
      </c>
      <c r="E116" t="s">
        <v>97</v>
      </c>
      <c r="F116" t="s">
        <v>67</v>
      </c>
      <c r="G116">
        <v>19134</v>
      </c>
      <c r="H116" t="s">
        <v>27</v>
      </c>
      <c r="I116">
        <v>43089</v>
      </c>
      <c r="J116">
        <v>4</v>
      </c>
      <c r="K116" t="s">
        <v>929</v>
      </c>
      <c r="L116">
        <v>5</v>
      </c>
      <c r="M116">
        <v>0</v>
      </c>
      <c r="N116">
        <v>0</v>
      </c>
      <c r="O116" t="b">
        <v>0</v>
      </c>
      <c r="P116">
        <v>43085</v>
      </c>
      <c r="Q116">
        <v>4</v>
      </c>
    </row>
    <row r="117" spans="1:17" x14ac:dyDescent="0.2">
      <c r="A117" t="s">
        <v>930</v>
      </c>
      <c r="B117" t="s">
        <v>459</v>
      </c>
      <c r="C117" t="s">
        <v>215</v>
      </c>
      <c r="D117" t="s">
        <v>9</v>
      </c>
      <c r="E117" t="s">
        <v>216</v>
      </c>
      <c r="F117" t="s">
        <v>22</v>
      </c>
      <c r="G117">
        <v>75002</v>
      </c>
      <c r="H117" t="s">
        <v>12</v>
      </c>
      <c r="I117">
        <v>42136</v>
      </c>
      <c r="J117">
        <v>4</v>
      </c>
      <c r="K117" t="s">
        <v>932</v>
      </c>
      <c r="L117">
        <v>6</v>
      </c>
      <c r="M117">
        <v>1</v>
      </c>
      <c r="N117">
        <v>0.25</v>
      </c>
      <c r="O117" t="b">
        <v>0</v>
      </c>
      <c r="P117">
        <v>42131</v>
      </c>
      <c r="Q117">
        <v>5</v>
      </c>
    </row>
    <row r="118" spans="1:17" x14ac:dyDescent="0.2">
      <c r="A118" t="s">
        <v>933</v>
      </c>
      <c r="B118" t="s">
        <v>557</v>
      </c>
      <c r="C118" t="s">
        <v>361</v>
      </c>
      <c r="D118" t="s">
        <v>9</v>
      </c>
      <c r="E118" t="s">
        <v>362</v>
      </c>
      <c r="F118" t="s">
        <v>53</v>
      </c>
      <c r="G118">
        <v>37211</v>
      </c>
      <c r="H118" t="s">
        <v>47</v>
      </c>
      <c r="I118">
        <v>42626</v>
      </c>
      <c r="J118">
        <v>4</v>
      </c>
      <c r="K118" t="s">
        <v>722</v>
      </c>
      <c r="L118">
        <v>4</v>
      </c>
      <c r="M118">
        <v>1</v>
      </c>
      <c r="N118">
        <v>0.2</v>
      </c>
      <c r="O118" t="b">
        <v>0</v>
      </c>
      <c r="P118">
        <v>42622</v>
      </c>
      <c r="Q118">
        <v>4</v>
      </c>
    </row>
    <row r="119" spans="1:17" x14ac:dyDescent="0.2">
      <c r="A119" t="s">
        <v>934</v>
      </c>
      <c r="B119" t="s">
        <v>48</v>
      </c>
      <c r="C119" t="s">
        <v>49</v>
      </c>
      <c r="D119" t="s">
        <v>9</v>
      </c>
      <c r="E119" t="s">
        <v>50</v>
      </c>
      <c r="F119" t="s">
        <v>17</v>
      </c>
      <c r="G119">
        <v>91730</v>
      </c>
      <c r="H119" t="s">
        <v>18</v>
      </c>
      <c r="I119">
        <v>41941</v>
      </c>
      <c r="J119">
        <v>4</v>
      </c>
      <c r="K119" t="s">
        <v>935</v>
      </c>
      <c r="L119">
        <v>3</v>
      </c>
      <c r="M119">
        <v>1</v>
      </c>
      <c r="N119">
        <v>0.2</v>
      </c>
      <c r="O119" t="b">
        <v>0</v>
      </c>
      <c r="P119">
        <v>41936</v>
      </c>
      <c r="Q119">
        <v>5</v>
      </c>
    </row>
    <row r="120" spans="1:17" x14ac:dyDescent="0.2">
      <c r="A120" t="s">
        <v>936</v>
      </c>
      <c r="B120" t="s">
        <v>422</v>
      </c>
      <c r="C120" t="s">
        <v>158</v>
      </c>
      <c r="D120" t="s">
        <v>9</v>
      </c>
      <c r="E120" t="s">
        <v>25</v>
      </c>
      <c r="F120" t="s">
        <v>26</v>
      </c>
      <c r="G120">
        <v>10011</v>
      </c>
      <c r="H120" t="s">
        <v>27</v>
      </c>
      <c r="I120">
        <v>42321</v>
      </c>
      <c r="J120">
        <v>4</v>
      </c>
      <c r="K120" t="s">
        <v>645</v>
      </c>
      <c r="L120">
        <v>14</v>
      </c>
      <c r="M120">
        <v>1</v>
      </c>
      <c r="N120">
        <v>0.1</v>
      </c>
      <c r="O120" t="b">
        <v>0</v>
      </c>
      <c r="P120">
        <v>42316</v>
      </c>
      <c r="Q120">
        <v>5</v>
      </c>
    </row>
    <row r="121" spans="1:17" x14ac:dyDescent="0.2">
      <c r="A121" t="s">
        <v>938</v>
      </c>
      <c r="B121" t="s">
        <v>499</v>
      </c>
      <c r="C121" t="s">
        <v>273</v>
      </c>
      <c r="D121" t="s">
        <v>9</v>
      </c>
      <c r="E121" t="s">
        <v>97</v>
      </c>
      <c r="F121" t="s">
        <v>67</v>
      </c>
      <c r="G121">
        <v>19120</v>
      </c>
      <c r="H121" t="s">
        <v>27</v>
      </c>
      <c r="I121">
        <v>43090</v>
      </c>
      <c r="J121">
        <v>4</v>
      </c>
      <c r="K121" t="s">
        <v>939</v>
      </c>
      <c r="L121">
        <v>5</v>
      </c>
      <c r="M121">
        <v>0</v>
      </c>
      <c r="N121">
        <v>0</v>
      </c>
      <c r="O121" t="b">
        <v>0</v>
      </c>
      <c r="P121">
        <v>43086</v>
      </c>
      <c r="Q121">
        <v>4</v>
      </c>
    </row>
    <row r="122" spans="1:17" x14ac:dyDescent="0.2">
      <c r="A122" t="s">
        <v>940</v>
      </c>
      <c r="B122" t="s">
        <v>390</v>
      </c>
      <c r="C122" t="s">
        <v>96</v>
      </c>
      <c r="D122" t="s">
        <v>90</v>
      </c>
      <c r="E122" t="s">
        <v>97</v>
      </c>
      <c r="F122" t="s">
        <v>67</v>
      </c>
      <c r="G122">
        <v>19143</v>
      </c>
      <c r="H122" t="s">
        <v>27</v>
      </c>
      <c r="I122">
        <v>42999</v>
      </c>
      <c r="J122">
        <v>4</v>
      </c>
      <c r="K122" t="s">
        <v>941</v>
      </c>
      <c r="L122">
        <v>4</v>
      </c>
      <c r="M122">
        <v>1</v>
      </c>
      <c r="N122">
        <v>0.2</v>
      </c>
      <c r="O122" t="b">
        <v>1</v>
      </c>
      <c r="P122">
        <v>42994</v>
      </c>
      <c r="Q122">
        <v>5</v>
      </c>
    </row>
    <row r="123" spans="1:17" x14ac:dyDescent="0.2">
      <c r="A123" t="s">
        <v>942</v>
      </c>
      <c r="B123" t="s">
        <v>537</v>
      </c>
      <c r="C123" t="s">
        <v>330</v>
      </c>
      <c r="D123" t="s">
        <v>150</v>
      </c>
      <c r="E123" t="s">
        <v>156</v>
      </c>
      <c r="F123" t="s">
        <v>63</v>
      </c>
      <c r="G123">
        <v>28540</v>
      </c>
      <c r="H123" t="s">
        <v>47</v>
      </c>
      <c r="I123">
        <v>43016</v>
      </c>
      <c r="J123">
        <v>4</v>
      </c>
      <c r="K123" t="s">
        <v>943</v>
      </c>
      <c r="L123">
        <v>3</v>
      </c>
      <c r="M123">
        <v>1</v>
      </c>
      <c r="N123">
        <v>0.2</v>
      </c>
      <c r="O123" t="b">
        <v>0</v>
      </c>
      <c r="P123">
        <v>43011</v>
      </c>
      <c r="Q123">
        <v>5</v>
      </c>
    </row>
    <row r="124" spans="1:17" x14ac:dyDescent="0.2">
      <c r="A124" t="s">
        <v>944</v>
      </c>
      <c r="B124" t="s">
        <v>60</v>
      </c>
      <c r="C124" t="s">
        <v>49</v>
      </c>
      <c r="D124" t="s">
        <v>9</v>
      </c>
      <c r="E124" t="s">
        <v>50</v>
      </c>
      <c r="F124" t="s">
        <v>63</v>
      </c>
      <c r="G124">
        <v>91730</v>
      </c>
      <c r="H124" t="s">
        <v>18</v>
      </c>
      <c r="I124">
        <v>42573</v>
      </c>
      <c r="J124">
        <v>4</v>
      </c>
      <c r="K124" t="s">
        <v>946</v>
      </c>
      <c r="L124">
        <v>16</v>
      </c>
      <c r="M124">
        <v>0</v>
      </c>
      <c r="N124">
        <v>0</v>
      </c>
      <c r="O124" t="b">
        <v>0</v>
      </c>
      <c r="P124">
        <v>42568</v>
      </c>
      <c r="Q124">
        <v>5</v>
      </c>
    </row>
    <row r="125" spans="1:17" x14ac:dyDescent="0.2">
      <c r="A125" t="s">
        <v>950</v>
      </c>
      <c r="B125" t="s">
        <v>536</v>
      </c>
      <c r="C125" t="s">
        <v>328</v>
      </c>
      <c r="D125" t="s">
        <v>150</v>
      </c>
      <c r="E125" t="s">
        <v>329</v>
      </c>
      <c r="F125" t="s">
        <v>22</v>
      </c>
      <c r="G125">
        <v>78745</v>
      </c>
      <c r="H125" t="s">
        <v>12</v>
      </c>
      <c r="I125">
        <v>42624</v>
      </c>
      <c r="J125">
        <v>4</v>
      </c>
      <c r="K125" t="s">
        <v>951</v>
      </c>
      <c r="L125">
        <v>7</v>
      </c>
      <c r="M125">
        <v>1</v>
      </c>
      <c r="N125">
        <v>0.3</v>
      </c>
      <c r="O125" t="b">
        <v>0</v>
      </c>
      <c r="P125">
        <v>42618</v>
      </c>
      <c r="Q125">
        <v>6</v>
      </c>
    </row>
    <row r="126" spans="1:17" x14ac:dyDescent="0.2">
      <c r="A126" t="s">
        <v>952</v>
      </c>
      <c r="B126" t="s">
        <v>535</v>
      </c>
      <c r="C126" t="s">
        <v>326</v>
      </c>
      <c r="D126" t="s">
        <v>150</v>
      </c>
      <c r="E126" t="s">
        <v>327</v>
      </c>
      <c r="F126" t="s">
        <v>86</v>
      </c>
      <c r="G126">
        <v>98661</v>
      </c>
      <c r="H126" t="s">
        <v>18</v>
      </c>
      <c r="I126">
        <v>41823</v>
      </c>
      <c r="J126">
        <v>3</v>
      </c>
      <c r="K126" t="s">
        <v>953</v>
      </c>
      <c r="L126">
        <v>5</v>
      </c>
      <c r="M126">
        <v>0</v>
      </c>
      <c r="N126">
        <v>0</v>
      </c>
      <c r="O126" t="b">
        <v>0</v>
      </c>
      <c r="P126">
        <v>41820</v>
      </c>
      <c r="Q126">
        <v>3</v>
      </c>
    </row>
    <row r="127" spans="1:17" x14ac:dyDescent="0.2">
      <c r="A127" t="s">
        <v>954</v>
      </c>
      <c r="B127" t="s">
        <v>526</v>
      </c>
      <c r="C127" t="s">
        <v>313</v>
      </c>
      <c r="D127" t="s">
        <v>9</v>
      </c>
      <c r="E127" t="s">
        <v>314</v>
      </c>
      <c r="F127" t="s">
        <v>315</v>
      </c>
      <c r="G127">
        <v>80525</v>
      </c>
      <c r="H127" t="s">
        <v>18</v>
      </c>
      <c r="I127">
        <v>43007</v>
      </c>
      <c r="J127">
        <v>1</v>
      </c>
      <c r="K127" t="s">
        <v>956</v>
      </c>
      <c r="L127">
        <v>4</v>
      </c>
      <c r="M127">
        <v>1</v>
      </c>
      <c r="N127">
        <v>0.44999999999999996</v>
      </c>
      <c r="O127" t="b">
        <v>0</v>
      </c>
      <c r="P127">
        <v>43001</v>
      </c>
      <c r="Q127">
        <v>6</v>
      </c>
    </row>
    <row r="128" spans="1:17" x14ac:dyDescent="0.2">
      <c r="A128" t="s">
        <v>957</v>
      </c>
      <c r="B128" t="s">
        <v>470</v>
      </c>
      <c r="C128" t="s">
        <v>234</v>
      </c>
      <c r="D128" t="s">
        <v>9</v>
      </c>
      <c r="E128" t="s">
        <v>97</v>
      </c>
      <c r="F128" t="s">
        <v>67</v>
      </c>
      <c r="G128">
        <v>19134</v>
      </c>
      <c r="H128" t="s">
        <v>27</v>
      </c>
      <c r="I128">
        <v>43091</v>
      </c>
      <c r="J128">
        <v>4</v>
      </c>
      <c r="K128" t="s">
        <v>958</v>
      </c>
      <c r="L128">
        <v>7</v>
      </c>
      <c r="M128">
        <v>1</v>
      </c>
      <c r="N128">
        <v>0.2</v>
      </c>
      <c r="O128" t="b">
        <v>1</v>
      </c>
      <c r="P128">
        <v>43087</v>
      </c>
      <c r="Q128">
        <v>4</v>
      </c>
    </row>
    <row r="129" spans="1:17" x14ac:dyDescent="0.2">
      <c r="A129" t="s">
        <v>959</v>
      </c>
      <c r="B129" t="s">
        <v>576</v>
      </c>
      <c r="C129" t="s">
        <v>575</v>
      </c>
      <c r="D129" t="s">
        <v>9</v>
      </c>
      <c r="E129" t="s">
        <v>251</v>
      </c>
      <c r="F129" t="s">
        <v>73</v>
      </c>
      <c r="G129">
        <v>40214</v>
      </c>
      <c r="H129" t="s">
        <v>47</v>
      </c>
      <c r="I129">
        <v>41899</v>
      </c>
      <c r="J129">
        <v>4</v>
      </c>
      <c r="K129" t="s">
        <v>960</v>
      </c>
      <c r="L129">
        <v>7</v>
      </c>
      <c r="M129">
        <v>1</v>
      </c>
      <c r="N129">
        <v>0.7</v>
      </c>
      <c r="O129" t="b">
        <v>0</v>
      </c>
      <c r="P129">
        <v>41894</v>
      </c>
      <c r="Q129">
        <v>5</v>
      </c>
    </row>
    <row r="130" spans="1:17" x14ac:dyDescent="0.2">
      <c r="A130" t="s">
        <v>961</v>
      </c>
      <c r="B130" t="s">
        <v>470</v>
      </c>
      <c r="C130" t="s">
        <v>234</v>
      </c>
      <c r="D130" t="s">
        <v>9</v>
      </c>
      <c r="E130" t="s">
        <v>97</v>
      </c>
      <c r="F130" t="s">
        <v>67</v>
      </c>
      <c r="G130">
        <v>19134</v>
      </c>
      <c r="H130" t="s">
        <v>27</v>
      </c>
      <c r="I130">
        <v>42454</v>
      </c>
      <c r="J130">
        <v>4</v>
      </c>
      <c r="K130" t="s">
        <v>962</v>
      </c>
      <c r="L130">
        <v>7</v>
      </c>
      <c r="M130">
        <v>0</v>
      </c>
      <c r="N130">
        <v>0</v>
      </c>
      <c r="O130" t="b">
        <v>0</v>
      </c>
      <c r="P130">
        <v>42449</v>
      </c>
      <c r="Q130">
        <v>5</v>
      </c>
    </row>
    <row r="131" spans="1:17" x14ac:dyDescent="0.2">
      <c r="A131" t="s">
        <v>963</v>
      </c>
      <c r="B131" t="s">
        <v>484</v>
      </c>
      <c r="C131" t="s">
        <v>252</v>
      </c>
      <c r="D131" t="s">
        <v>150</v>
      </c>
      <c r="E131" t="s">
        <v>253</v>
      </c>
      <c r="F131" t="s">
        <v>166</v>
      </c>
      <c r="G131">
        <v>33319</v>
      </c>
      <c r="H131" t="s">
        <v>47</v>
      </c>
      <c r="I131">
        <v>43046</v>
      </c>
      <c r="J131">
        <v>3</v>
      </c>
      <c r="K131" t="s">
        <v>713</v>
      </c>
      <c r="L131">
        <v>5</v>
      </c>
      <c r="M131">
        <v>1</v>
      </c>
      <c r="N131">
        <v>0.8</v>
      </c>
      <c r="O131" t="b">
        <v>0</v>
      </c>
      <c r="P131">
        <v>43044</v>
      </c>
      <c r="Q131">
        <v>2</v>
      </c>
    </row>
    <row r="132" spans="1:17" x14ac:dyDescent="0.2">
      <c r="A132" t="s">
        <v>964</v>
      </c>
      <c r="B132" t="s">
        <v>532</v>
      </c>
      <c r="C132" t="s">
        <v>323</v>
      </c>
      <c r="D132" t="s">
        <v>9</v>
      </c>
      <c r="E132" t="s">
        <v>97</v>
      </c>
      <c r="F132" t="s">
        <v>67</v>
      </c>
      <c r="G132">
        <v>19134</v>
      </c>
      <c r="H132" t="s">
        <v>27</v>
      </c>
      <c r="I132">
        <v>42735</v>
      </c>
      <c r="J132">
        <v>4</v>
      </c>
      <c r="K132" t="s">
        <v>956</v>
      </c>
      <c r="L132">
        <v>3</v>
      </c>
      <c r="M132">
        <v>0</v>
      </c>
      <c r="N132">
        <v>0</v>
      </c>
      <c r="O132" t="b">
        <v>0</v>
      </c>
      <c r="P132">
        <v>42730</v>
      </c>
      <c r="Q132">
        <v>5</v>
      </c>
    </row>
    <row r="133" spans="1:17" x14ac:dyDescent="0.2">
      <c r="A133" t="s">
        <v>965</v>
      </c>
      <c r="B133" t="s">
        <v>442</v>
      </c>
      <c r="C133" t="s">
        <v>192</v>
      </c>
      <c r="D133" t="s">
        <v>9</v>
      </c>
      <c r="E133" t="s">
        <v>153</v>
      </c>
      <c r="F133" t="s">
        <v>124</v>
      </c>
      <c r="G133">
        <v>60610</v>
      </c>
      <c r="H133" t="s">
        <v>12</v>
      </c>
      <c r="I133">
        <v>42500</v>
      </c>
      <c r="J133">
        <v>4</v>
      </c>
      <c r="K133" t="s">
        <v>966</v>
      </c>
      <c r="L133">
        <v>4</v>
      </c>
      <c r="M133">
        <v>1</v>
      </c>
      <c r="N133">
        <v>0.5</v>
      </c>
      <c r="O133" t="b">
        <v>1</v>
      </c>
      <c r="P133">
        <v>42496</v>
      </c>
      <c r="Q133">
        <v>4</v>
      </c>
    </row>
    <row r="134" spans="1:17" x14ac:dyDescent="0.2">
      <c r="A134" t="s">
        <v>967</v>
      </c>
      <c r="B134" t="s">
        <v>574</v>
      </c>
      <c r="C134" t="s">
        <v>573</v>
      </c>
      <c r="D134" t="s">
        <v>9</v>
      </c>
      <c r="E134" t="s">
        <v>38</v>
      </c>
      <c r="F134" t="s">
        <v>17</v>
      </c>
      <c r="G134">
        <v>90036</v>
      </c>
      <c r="H134" t="s">
        <v>18</v>
      </c>
      <c r="I134">
        <v>43078</v>
      </c>
      <c r="J134">
        <v>4</v>
      </c>
      <c r="K134" t="s">
        <v>968</v>
      </c>
      <c r="L134">
        <v>9</v>
      </c>
      <c r="M134">
        <v>1</v>
      </c>
      <c r="N134">
        <v>0.2</v>
      </c>
      <c r="O134" t="b">
        <v>0</v>
      </c>
      <c r="P134">
        <v>43074</v>
      </c>
      <c r="Q134">
        <v>4</v>
      </c>
    </row>
    <row r="135" spans="1:17" x14ac:dyDescent="0.2">
      <c r="A135" t="s">
        <v>970</v>
      </c>
      <c r="B135" t="s">
        <v>494</v>
      </c>
      <c r="C135" t="s">
        <v>266</v>
      </c>
      <c r="D135" t="s">
        <v>150</v>
      </c>
      <c r="E135" t="s">
        <v>267</v>
      </c>
      <c r="F135" t="s">
        <v>166</v>
      </c>
      <c r="G135">
        <v>33317</v>
      </c>
      <c r="H135" t="s">
        <v>47</v>
      </c>
      <c r="I135">
        <v>42589</v>
      </c>
      <c r="J135">
        <v>4</v>
      </c>
      <c r="K135" t="s">
        <v>971</v>
      </c>
      <c r="L135">
        <v>2</v>
      </c>
      <c r="M135">
        <v>0</v>
      </c>
      <c r="N135">
        <v>0</v>
      </c>
      <c r="O135" t="b">
        <v>0</v>
      </c>
      <c r="P135">
        <v>42588</v>
      </c>
      <c r="Q135">
        <v>1</v>
      </c>
    </row>
    <row r="136" spans="1:17" x14ac:dyDescent="0.2">
      <c r="A136" t="s">
        <v>972</v>
      </c>
      <c r="B136" t="s">
        <v>487</v>
      </c>
      <c r="C136" t="s">
        <v>257</v>
      </c>
      <c r="D136" t="s">
        <v>9</v>
      </c>
      <c r="E136" t="s">
        <v>258</v>
      </c>
      <c r="F136" t="s">
        <v>17</v>
      </c>
      <c r="G136">
        <v>94513</v>
      </c>
      <c r="H136" t="s">
        <v>18</v>
      </c>
      <c r="I136">
        <v>42427</v>
      </c>
      <c r="J136">
        <v>4</v>
      </c>
      <c r="K136" t="s">
        <v>973</v>
      </c>
      <c r="L136">
        <v>2</v>
      </c>
      <c r="M136">
        <v>1</v>
      </c>
      <c r="N136">
        <v>0.2</v>
      </c>
      <c r="O136" t="b">
        <v>0</v>
      </c>
      <c r="P136">
        <v>42420</v>
      </c>
      <c r="Q136">
        <v>7</v>
      </c>
    </row>
    <row r="137" spans="1:17" x14ac:dyDescent="0.2">
      <c r="A137" t="s">
        <v>974</v>
      </c>
      <c r="B137" t="s">
        <v>540</v>
      </c>
      <c r="C137" t="s">
        <v>335</v>
      </c>
      <c r="D137" t="s">
        <v>9</v>
      </c>
      <c r="E137" t="s">
        <v>97</v>
      </c>
      <c r="F137" t="s">
        <v>67</v>
      </c>
      <c r="G137">
        <v>19143</v>
      </c>
      <c r="H137" t="s">
        <v>27</v>
      </c>
      <c r="I137">
        <v>42996</v>
      </c>
      <c r="J137">
        <v>2</v>
      </c>
      <c r="K137" t="s">
        <v>977</v>
      </c>
      <c r="L137">
        <v>12</v>
      </c>
      <c r="M137">
        <v>1</v>
      </c>
      <c r="N137">
        <v>0.4</v>
      </c>
      <c r="O137" t="b">
        <v>1</v>
      </c>
      <c r="P137">
        <v>42994</v>
      </c>
      <c r="Q137">
        <v>2</v>
      </c>
    </row>
    <row r="138" spans="1:17" x14ac:dyDescent="0.2">
      <c r="A138" t="s">
        <v>978</v>
      </c>
      <c r="B138" t="s">
        <v>450</v>
      </c>
      <c r="C138" t="s">
        <v>203</v>
      </c>
      <c r="D138" t="s">
        <v>150</v>
      </c>
      <c r="E138" t="s">
        <v>16</v>
      </c>
      <c r="F138" t="s">
        <v>17</v>
      </c>
      <c r="G138">
        <v>94122</v>
      </c>
      <c r="H138" t="s">
        <v>18</v>
      </c>
      <c r="I138">
        <v>42986</v>
      </c>
      <c r="J138">
        <v>4</v>
      </c>
      <c r="K138" t="s">
        <v>979</v>
      </c>
      <c r="L138">
        <v>2</v>
      </c>
      <c r="M138">
        <v>0</v>
      </c>
      <c r="N138">
        <v>0</v>
      </c>
      <c r="O138" t="b">
        <v>0</v>
      </c>
      <c r="P138">
        <v>42981</v>
      </c>
      <c r="Q138">
        <v>5</v>
      </c>
    </row>
    <row r="139" spans="1:17" x14ac:dyDescent="0.2">
      <c r="A139" t="s">
        <v>980</v>
      </c>
      <c r="B139" t="s">
        <v>424</v>
      </c>
      <c r="C139" t="s">
        <v>160</v>
      </c>
      <c r="D139" t="s">
        <v>150</v>
      </c>
      <c r="E139" t="s">
        <v>161</v>
      </c>
      <c r="F139" t="s">
        <v>162</v>
      </c>
      <c r="G139">
        <v>70506</v>
      </c>
      <c r="H139" t="s">
        <v>47</v>
      </c>
      <c r="I139">
        <v>43090</v>
      </c>
      <c r="J139">
        <v>2</v>
      </c>
      <c r="K139" t="s">
        <v>981</v>
      </c>
      <c r="L139">
        <v>2</v>
      </c>
      <c r="M139">
        <v>0</v>
      </c>
      <c r="N139">
        <v>0</v>
      </c>
      <c r="O139" t="b">
        <v>0</v>
      </c>
      <c r="P139">
        <v>43088</v>
      </c>
      <c r="Q139">
        <v>2</v>
      </c>
    </row>
    <row r="140" spans="1:17" x14ac:dyDescent="0.2">
      <c r="A140" t="s">
        <v>982</v>
      </c>
      <c r="B140" t="s">
        <v>413</v>
      </c>
      <c r="C140" t="s">
        <v>143</v>
      </c>
      <c r="D140" t="s">
        <v>90</v>
      </c>
      <c r="E140" t="s">
        <v>97</v>
      </c>
      <c r="F140" t="s">
        <v>67</v>
      </c>
      <c r="G140">
        <v>19134</v>
      </c>
      <c r="H140" t="s">
        <v>27</v>
      </c>
      <c r="I140">
        <v>42346</v>
      </c>
      <c r="J140">
        <v>4</v>
      </c>
      <c r="K140" t="s">
        <v>764</v>
      </c>
      <c r="L140">
        <v>4</v>
      </c>
      <c r="M140">
        <v>1</v>
      </c>
      <c r="N140">
        <v>0.2</v>
      </c>
      <c r="O140" t="b">
        <v>0</v>
      </c>
      <c r="P140">
        <v>42341</v>
      </c>
      <c r="Q140">
        <v>5</v>
      </c>
    </row>
    <row r="141" spans="1:17" x14ac:dyDescent="0.2">
      <c r="A141" t="s">
        <v>984</v>
      </c>
      <c r="B141" t="s">
        <v>510</v>
      </c>
      <c r="C141" t="s">
        <v>289</v>
      </c>
      <c r="D141" t="s">
        <v>9</v>
      </c>
      <c r="E141" t="s">
        <v>290</v>
      </c>
      <c r="F141" t="s">
        <v>63</v>
      </c>
      <c r="G141">
        <v>28403</v>
      </c>
      <c r="H141" t="s">
        <v>47</v>
      </c>
      <c r="I141">
        <v>42983</v>
      </c>
      <c r="J141">
        <v>3</v>
      </c>
      <c r="K141" t="s">
        <v>985</v>
      </c>
      <c r="L141">
        <v>9</v>
      </c>
      <c r="M141">
        <v>0</v>
      </c>
      <c r="N141">
        <v>0</v>
      </c>
      <c r="O141" t="b">
        <v>0</v>
      </c>
      <c r="P141">
        <v>42978</v>
      </c>
      <c r="Q141">
        <v>5</v>
      </c>
    </row>
    <row r="142" spans="1:17" x14ac:dyDescent="0.2">
      <c r="A142" t="s">
        <v>986</v>
      </c>
      <c r="B142" t="s">
        <v>437</v>
      </c>
      <c r="C142" t="s">
        <v>182</v>
      </c>
      <c r="D142" t="s">
        <v>90</v>
      </c>
      <c r="E142" t="s">
        <v>183</v>
      </c>
      <c r="F142" t="s">
        <v>184</v>
      </c>
      <c r="G142">
        <v>6824</v>
      </c>
      <c r="H142" t="s">
        <v>27</v>
      </c>
      <c r="I142">
        <v>43057</v>
      </c>
      <c r="J142">
        <v>3</v>
      </c>
      <c r="K142" t="s">
        <v>987</v>
      </c>
      <c r="L142">
        <v>4</v>
      </c>
      <c r="M142">
        <v>0</v>
      </c>
      <c r="N142">
        <v>0</v>
      </c>
      <c r="O142" t="b">
        <v>0</v>
      </c>
      <c r="P142">
        <v>43052</v>
      </c>
      <c r="Q142">
        <v>5</v>
      </c>
    </row>
    <row r="143" spans="1:17" x14ac:dyDescent="0.2">
      <c r="A143" t="s">
        <v>988</v>
      </c>
      <c r="B143" t="s">
        <v>427</v>
      </c>
      <c r="C143" t="s">
        <v>167</v>
      </c>
      <c r="D143" t="s">
        <v>150</v>
      </c>
      <c r="E143" t="s">
        <v>25</v>
      </c>
      <c r="F143" t="s">
        <v>26</v>
      </c>
      <c r="G143">
        <v>10009</v>
      </c>
      <c r="H143" t="s">
        <v>27</v>
      </c>
      <c r="I143">
        <v>43098</v>
      </c>
      <c r="J143">
        <v>4</v>
      </c>
      <c r="K143" t="s">
        <v>989</v>
      </c>
      <c r="L143">
        <v>1</v>
      </c>
      <c r="M143">
        <v>0</v>
      </c>
      <c r="N143">
        <v>0</v>
      </c>
      <c r="O143" t="b">
        <v>0</v>
      </c>
      <c r="P143">
        <v>43093</v>
      </c>
      <c r="Q143">
        <v>5</v>
      </c>
    </row>
    <row r="144" spans="1:17" x14ac:dyDescent="0.2">
      <c r="A144" t="s">
        <v>990</v>
      </c>
      <c r="B144" t="s">
        <v>414</v>
      </c>
      <c r="C144" t="s">
        <v>144</v>
      </c>
      <c r="D144" t="s">
        <v>90</v>
      </c>
      <c r="E144" t="s">
        <v>145</v>
      </c>
      <c r="F144" t="s">
        <v>146</v>
      </c>
      <c r="G144">
        <v>39212</v>
      </c>
      <c r="H144" t="s">
        <v>47</v>
      </c>
      <c r="I144">
        <v>42728</v>
      </c>
      <c r="J144">
        <v>4</v>
      </c>
      <c r="K144" t="s">
        <v>992</v>
      </c>
      <c r="L144">
        <v>6</v>
      </c>
      <c r="M144">
        <v>0</v>
      </c>
      <c r="N144">
        <v>0</v>
      </c>
      <c r="O144" t="b">
        <v>0</v>
      </c>
      <c r="P144">
        <v>42724</v>
      </c>
      <c r="Q144">
        <v>4</v>
      </c>
    </row>
    <row r="145" spans="1:17" x14ac:dyDescent="0.2">
      <c r="A145" t="s">
        <v>993</v>
      </c>
      <c r="B145" t="s">
        <v>526</v>
      </c>
      <c r="C145" t="s">
        <v>313</v>
      </c>
      <c r="D145" t="s">
        <v>9</v>
      </c>
      <c r="E145" t="s">
        <v>314</v>
      </c>
      <c r="F145" t="s">
        <v>315</v>
      </c>
      <c r="G145">
        <v>80525</v>
      </c>
      <c r="H145" t="s">
        <v>18</v>
      </c>
      <c r="I145">
        <v>41936</v>
      </c>
      <c r="J145">
        <v>1</v>
      </c>
      <c r="K145" t="s">
        <v>994</v>
      </c>
      <c r="L145">
        <v>3</v>
      </c>
      <c r="M145">
        <v>0</v>
      </c>
      <c r="N145">
        <v>0</v>
      </c>
      <c r="O145" t="b">
        <v>0</v>
      </c>
      <c r="P145">
        <v>41936</v>
      </c>
      <c r="Q145">
        <v>0</v>
      </c>
    </row>
    <row r="146" spans="1:17" x14ac:dyDescent="0.2">
      <c r="A146" t="s">
        <v>995</v>
      </c>
      <c r="B146" t="s">
        <v>494</v>
      </c>
      <c r="C146" t="s">
        <v>266</v>
      </c>
      <c r="D146" t="s">
        <v>150</v>
      </c>
      <c r="E146" t="s">
        <v>267</v>
      </c>
      <c r="F146" t="s">
        <v>166</v>
      </c>
      <c r="G146">
        <v>33317</v>
      </c>
      <c r="H146" t="s">
        <v>47</v>
      </c>
      <c r="I146">
        <v>42327</v>
      </c>
      <c r="J146">
        <v>4</v>
      </c>
      <c r="K146" t="s">
        <v>999</v>
      </c>
      <c r="L146">
        <v>19</v>
      </c>
      <c r="M146">
        <v>1</v>
      </c>
      <c r="N146">
        <v>0.3666666666666667</v>
      </c>
      <c r="O146" t="b">
        <v>0</v>
      </c>
      <c r="P146">
        <v>42320</v>
      </c>
      <c r="Q146">
        <v>7</v>
      </c>
    </row>
    <row r="147" spans="1:17" x14ac:dyDescent="0.2">
      <c r="A147" t="s">
        <v>1001</v>
      </c>
      <c r="B147" t="s">
        <v>512</v>
      </c>
      <c r="C147" t="s">
        <v>292</v>
      </c>
      <c r="D147" t="s">
        <v>9</v>
      </c>
      <c r="E147" t="s">
        <v>293</v>
      </c>
      <c r="F147" t="s">
        <v>26</v>
      </c>
      <c r="G147">
        <v>14609</v>
      </c>
      <c r="H147" t="s">
        <v>27</v>
      </c>
      <c r="I147">
        <v>43027</v>
      </c>
      <c r="J147">
        <v>4</v>
      </c>
      <c r="K147" t="s">
        <v>1002</v>
      </c>
      <c r="L147">
        <v>4</v>
      </c>
      <c r="M147">
        <v>0</v>
      </c>
      <c r="N147">
        <v>0</v>
      </c>
      <c r="O147" t="b">
        <v>0</v>
      </c>
      <c r="P147">
        <v>43025</v>
      </c>
      <c r="Q147">
        <v>2</v>
      </c>
    </row>
    <row r="148" spans="1:17" x14ac:dyDescent="0.2">
      <c r="A148" t="s">
        <v>1003</v>
      </c>
      <c r="B148" t="s">
        <v>397</v>
      </c>
      <c r="C148" t="s">
        <v>109</v>
      </c>
      <c r="D148" t="s">
        <v>9</v>
      </c>
      <c r="E148" t="s">
        <v>110</v>
      </c>
      <c r="F148" t="s">
        <v>22</v>
      </c>
      <c r="G148">
        <v>77581</v>
      </c>
      <c r="H148" t="s">
        <v>12</v>
      </c>
      <c r="I148">
        <v>42892</v>
      </c>
      <c r="J148">
        <v>2</v>
      </c>
      <c r="K148" t="s">
        <v>1004</v>
      </c>
      <c r="L148">
        <v>3</v>
      </c>
      <c r="M148">
        <v>1</v>
      </c>
      <c r="N148">
        <v>0.2</v>
      </c>
      <c r="O148" t="b">
        <v>0</v>
      </c>
      <c r="P148">
        <v>42891</v>
      </c>
      <c r="Q148">
        <v>1</v>
      </c>
    </row>
    <row r="149" spans="1:17" x14ac:dyDescent="0.2">
      <c r="A149" t="s">
        <v>1005</v>
      </c>
      <c r="B149" t="s">
        <v>561</v>
      </c>
      <c r="C149" t="s">
        <v>368</v>
      </c>
      <c r="D149" t="s">
        <v>9</v>
      </c>
      <c r="E149" t="s">
        <v>369</v>
      </c>
      <c r="F149" t="s">
        <v>17</v>
      </c>
      <c r="G149">
        <v>93309</v>
      </c>
      <c r="H149" t="s">
        <v>18</v>
      </c>
      <c r="I149">
        <v>42986</v>
      </c>
      <c r="J149">
        <v>4</v>
      </c>
      <c r="K149" t="s">
        <v>1008</v>
      </c>
      <c r="L149">
        <v>12</v>
      </c>
      <c r="M149">
        <v>1</v>
      </c>
      <c r="N149">
        <v>6.6666666666666666E-2</v>
      </c>
      <c r="O149" t="b">
        <v>0</v>
      </c>
      <c r="P149">
        <v>42980</v>
      </c>
      <c r="Q149">
        <v>6</v>
      </c>
    </row>
    <row r="150" spans="1:17" x14ac:dyDescent="0.2">
      <c r="A150" t="s">
        <v>1009</v>
      </c>
      <c r="B150" t="s">
        <v>443</v>
      </c>
      <c r="C150" t="s">
        <v>193</v>
      </c>
      <c r="D150" t="s">
        <v>9</v>
      </c>
      <c r="E150" t="s">
        <v>194</v>
      </c>
      <c r="F150" t="s">
        <v>166</v>
      </c>
      <c r="G150">
        <v>33030</v>
      </c>
      <c r="H150" t="s">
        <v>47</v>
      </c>
      <c r="I150">
        <v>43062</v>
      </c>
      <c r="J150">
        <v>4</v>
      </c>
      <c r="K150" t="s">
        <v>922</v>
      </c>
      <c r="L150">
        <v>2</v>
      </c>
      <c r="M150">
        <v>1</v>
      </c>
      <c r="N150">
        <v>0.2</v>
      </c>
      <c r="O150" t="b">
        <v>0</v>
      </c>
      <c r="P150">
        <v>43057</v>
      </c>
      <c r="Q150">
        <v>5</v>
      </c>
    </row>
    <row r="151" spans="1:17" x14ac:dyDescent="0.2">
      <c r="A151" t="s">
        <v>1011</v>
      </c>
      <c r="B151" t="s">
        <v>533</v>
      </c>
      <c r="C151" t="s">
        <v>324</v>
      </c>
      <c r="D151" t="s">
        <v>9</v>
      </c>
      <c r="E151" t="s">
        <v>145</v>
      </c>
      <c r="F151" t="s">
        <v>119</v>
      </c>
      <c r="G151">
        <v>49201</v>
      </c>
      <c r="H151" t="s">
        <v>12</v>
      </c>
      <c r="I151">
        <v>41970</v>
      </c>
      <c r="J151">
        <v>3</v>
      </c>
      <c r="K151" t="s">
        <v>1012</v>
      </c>
      <c r="L151">
        <v>2</v>
      </c>
      <c r="M151">
        <v>0</v>
      </c>
      <c r="N151">
        <v>0</v>
      </c>
      <c r="O151" t="b">
        <v>0</v>
      </c>
      <c r="P151">
        <v>41968</v>
      </c>
      <c r="Q151">
        <v>2</v>
      </c>
    </row>
    <row r="152" spans="1:17" x14ac:dyDescent="0.2">
      <c r="A152" t="s">
        <v>1013</v>
      </c>
      <c r="B152" t="s">
        <v>64</v>
      </c>
      <c r="C152" t="s">
        <v>65</v>
      </c>
      <c r="D152" t="s">
        <v>9</v>
      </c>
      <c r="E152" t="s">
        <v>66</v>
      </c>
      <c r="F152" t="s">
        <v>67</v>
      </c>
      <c r="G152">
        <v>19013</v>
      </c>
      <c r="H152" t="s">
        <v>27</v>
      </c>
      <c r="I152">
        <v>41817</v>
      </c>
      <c r="J152">
        <v>4</v>
      </c>
      <c r="K152" t="s">
        <v>1015</v>
      </c>
      <c r="L152">
        <v>11</v>
      </c>
      <c r="M152">
        <v>1</v>
      </c>
      <c r="N152">
        <v>0.33333333333333331</v>
      </c>
      <c r="O152" t="b">
        <v>1</v>
      </c>
      <c r="P152">
        <v>41812</v>
      </c>
      <c r="Q152">
        <v>5</v>
      </c>
    </row>
    <row r="153" spans="1:17" x14ac:dyDescent="0.2">
      <c r="A153" t="s">
        <v>1017</v>
      </c>
      <c r="B153" t="s">
        <v>507</v>
      </c>
      <c r="C153" t="s">
        <v>285</v>
      </c>
      <c r="D153" t="s">
        <v>150</v>
      </c>
      <c r="E153" t="s">
        <v>16</v>
      </c>
      <c r="F153" t="s">
        <v>17</v>
      </c>
      <c r="G153">
        <v>94110</v>
      </c>
      <c r="H153" t="s">
        <v>18</v>
      </c>
      <c r="I153">
        <v>42006</v>
      </c>
      <c r="J153">
        <v>4</v>
      </c>
      <c r="K153" t="s">
        <v>1021</v>
      </c>
      <c r="L153">
        <v>36</v>
      </c>
      <c r="M153">
        <v>1</v>
      </c>
      <c r="N153">
        <v>8.5714285714285729E-2</v>
      </c>
      <c r="O153" t="b">
        <v>0</v>
      </c>
      <c r="P153">
        <v>42002</v>
      </c>
      <c r="Q153">
        <v>4</v>
      </c>
    </row>
    <row r="154" spans="1:17" x14ac:dyDescent="0.2">
      <c r="A154" t="s">
        <v>1024</v>
      </c>
      <c r="B154" t="s">
        <v>425</v>
      </c>
      <c r="C154" t="s">
        <v>163</v>
      </c>
      <c r="D154" t="s">
        <v>9</v>
      </c>
      <c r="E154" t="s">
        <v>85</v>
      </c>
      <c r="F154" t="s">
        <v>86</v>
      </c>
      <c r="G154">
        <v>98105</v>
      </c>
      <c r="H154" t="s">
        <v>18</v>
      </c>
      <c r="I154">
        <v>42701</v>
      </c>
      <c r="J154">
        <v>2</v>
      </c>
      <c r="K154" t="s">
        <v>1025</v>
      </c>
      <c r="L154">
        <v>5</v>
      </c>
      <c r="M154">
        <v>1</v>
      </c>
      <c r="N154">
        <v>0.2</v>
      </c>
      <c r="O154" t="b">
        <v>0</v>
      </c>
      <c r="P154">
        <v>42698</v>
      </c>
      <c r="Q154">
        <v>3</v>
      </c>
    </row>
    <row r="155" spans="1:17" x14ac:dyDescent="0.2">
      <c r="A155" t="s">
        <v>1026</v>
      </c>
      <c r="B155" t="s">
        <v>418</v>
      </c>
      <c r="C155" t="s">
        <v>152</v>
      </c>
      <c r="D155" t="s">
        <v>150</v>
      </c>
      <c r="E155" t="s">
        <v>153</v>
      </c>
      <c r="F155" t="s">
        <v>124</v>
      </c>
      <c r="G155">
        <v>60623</v>
      </c>
      <c r="H155" t="s">
        <v>12</v>
      </c>
      <c r="I155">
        <v>41968</v>
      </c>
      <c r="J155">
        <v>4</v>
      </c>
      <c r="K155" t="s">
        <v>1027</v>
      </c>
      <c r="L155">
        <v>5</v>
      </c>
      <c r="M155">
        <v>1</v>
      </c>
      <c r="N155">
        <v>0.8</v>
      </c>
      <c r="O155" t="b">
        <v>0</v>
      </c>
      <c r="P155">
        <v>41961</v>
      </c>
      <c r="Q155">
        <v>7</v>
      </c>
    </row>
    <row r="156" spans="1:17" x14ac:dyDescent="0.2">
      <c r="A156" t="s">
        <v>1028</v>
      </c>
      <c r="B156" t="s">
        <v>526</v>
      </c>
      <c r="C156" t="s">
        <v>313</v>
      </c>
      <c r="D156" t="s">
        <v>9</v>
      </c>
      <c r="E156" t="s">
        <v>314</v>
      </c>
      <c r="F156" t="s">
        <v>315</v>
      </c>
      <c r="G156">
        <v>80525</v>
      </c>
      <c r="H156" t="s">
        <v>18</v>
      </c>
      <c r="I156">
        <v>42483</v>
      </c>
      <c r="J156">
        <v>1</v>
      </c>
      <c r="K156" t="s">
        <v>1029</v>
      </c>
      <c r="L156">
        <v>3</v>
      </c>
      <c r="M156">
        <v>0</v>
      </c>
      <c r="N156">
        <v>0</v>
      </c>
      <c r="O156" t="b">
        <v>1</v>
      </c>
      <c r="P156">
        <v>42476</v>
      </c>
      <c r="Q156">
        <v>7</v>
      </c>
    </row>
    <row r="157" spans="1:17" x14ac:dyDescent="0.2">
      <c r="A157" t="s">
        <v>1030</v>
      </c>
      <c r="B157" t="s">
        <v>490</v>
      </c>
      <c r="C157" t="s">
        <v>262</v>
      </c>
      <c r="D157" t="s">
        <v>9</v>
      </c>
      <c r="E157" t="s">
        <v>25</v>
      </c>
      <c r="F157" t="s">
        <v>26</v>
      </c>
      <c r="G157">
        <v>10035</v>
      </c>
      <c r="H157" t="s">
        <v>27</v>
      </c>
      <c r="I157">
        <v>42873</v>
      </c>
      <c r="J157">
        <v>4</v>
      </c>
      <c r="K157" t="s">
        <v>1031</v>
      </c>
      <c r="L157">
        <v>5</v>
      </c>
      <c r="M157">
        <v>0</v>
      </c>
      <c r="N157">
        <v>0</v>
      </c>
      <c r="O157" t="b">
        <v>0</v>
      </c>
      <c r="P157">
        <v>42869</v>
      </c>
      <c r="Q157">
        <v>4</v>
      </c>
    </row>
    <row r="158" spans="1:17" x14ac:dyDescent="0.2">
      <c r="A158" t="s">
        <v>1033</v>
      </c>
      <c r="B158" t="s">
        <v>535</v>
      </c>
      <c r="C158" t="s">
        <v>326</v>
      </c>
      <c r="D158" t="s">
        <v>150</v>
      </c>
      <c r="E158" t="s">
        <v>327</v>
      </c>
      <c r="F158" t="s">
        <v>86</v>
      </c>
      <c r="G158">
        <v>98661</v>
      </c>
      <c r="H158" t="s">
        <v>18</v>
      </c>
      <c r="I158">
        <v>42076</v>
      </c>
      <c r="J158">
        <v>3</v>
      </c>
      <c r="K158" t="s">
        <v>1034</v>
      </c>
      <c r="L158">
        <v>3</v>
      </c>
      <c r="M158">
        <v>0</v>
      </c>
      <c r="N158">
        <v>0</v>
      </c>
      <c r="O158" t="b">
        <v>0</v>
      </c>
      <c r="P158">
        <v>42071</v>
      </c>
      <c r="Q158">
        <v>5</v>
      </c>
    </row>
    <row r="159" spans="1:17" x14ac:dyDescent="0.2">
      <c r="A159" t="s">
        <v>1035</v>
      </c>
      <c r="B159" t="s">
        <v>450</v>
      </c>
      <c r="C159" t="s">
        <v>203</v>
      </c>
      <c r="D159" t="s">
        <v>150</v>
      </c>
      <c r="E159" t="s">
        <v>16</v>
      </c>
      <c r="F159" t="s">
        <v>17</v>
      </c>
      <c r="G159">
        <v>94122</v>
      </c>
      <c r="H159" t="s">
        <v>18</v>
      </c>
      <c r="I159">
        <v>42711</v>
      </c>
      <c r="J159">
        <v>2</v>
      </c>
      <c r="K159" t="s">
        <v>1036</v>
      </c>
      <c r="L159">
        <v>1</v>
      </c>
      <c r="M159">
        <v>0</v>
      </c>
      <c r="N159">
        <v>0</v>
      </c>
      <c r="O159" t="b">
        <v>0</v>
      </c>
      <c r="P159">
        <v>42709</v>
      </c>
      <c r="Q159">
        <v>2</v>
      </c>
    </row>
    <row r="160" spans="1:17" x14ac:dyDescent="0.2">
      <c r="A160" t="s">
        <v>1037</v>
      </c>
      <c r="B160" t="s">
        <v>516</v>
      </c>
      <c r="C160" t="s">
        <v>300</v>
      </c>
      <c r="D160" t="s">
        <v>90</v>
      </c>
      <c r="E160" t="s">
        <v>246</v>
      </c>
      <c r="F160" t="s">
        <v>59</v>
      </c>
      <c r="G160">
        <v>2920</v>
      </c>
      <c r="H160" t="s">
        <v>27</v>
      </c>
      <c r="I160">
        <v>41945</v>
      </c>
      <c r="J160">
        <v>3</v>
      </c>
      <c r="K160" t="s">
        <v>1039</v>
      </c>
      <c r="L160">
        <v>20</v>
      </c>
      <c r="M160">
        <v>1</v>
      </c>
      <c r="N160">
        <v>4.2857142857142858E-2</v>
      </c>
      <c r="O160" t="b">
        <v>1</v>
      </c>
      <c r="P160">
        <v>41943</v>
      </c>
      <c r="Q160">
        <v>2</v>
      </c>
    </row>
    <row r="161" spans="1:17" x14ac:dyDescent="0.2">
      <c r="A161" t="s">
        <v>1045</v>
      </c>
      <c r="B161" t="s">
        <v>492</v>
      </c>
      <c r="C161" t="s">
        <v>264</v>
      </c>
      <c r="D161" t="s">
        <v>9</v>
      </c>
      <c r="E161" t="s">
        <v>153</v>
      </c>
      <c r="F161" t="s">
        <v>124</v>
      </c>
      <c r="G161">
        <v>60623</v>
      </c>
      <c r="H161" t="s">
        <v>12</v>
      </c>
      <c r="I161">
        <v>43083</v>
      </c>
      <c r="J161">
        <v>4</v>
      </c>
      <c r="K161" t="s">
        <v>1046</v>
      </c>
      <c r="L161">
        <v>2</v>
      </c>
      <c r="M161">
        <v>1</v>
      </c>
      <c r="N161">
        <v>0.2</v>
      </c>
      <c r="O161" t="b">
        <v>0</v>
      </c>
      <c r="P161">
        <v>43078</v>
      </c>
      <c r="Q161">
        <v>5</v>
      </c>
    </row>
    <row r="162" spans="1:17" x14ac:dyDescent="0.2">
      <c r="A162" t="s">
        <v>1047</v>
      </c>
      <c r="B162" t="s">
        <v>419</v>
      </c>
      <c r="C162" t="s">
        <v>154</v>
      </c>
      <c r="D162" t="s">
        <v>150</v>
      </c>
      <c r="E162" t="s">
        <v>38</v>
      </c>
      <c r="F162" t="s">
        <v>17</v>
      </c>
      <c r="G162">
        <v>90004</v>
      </c>
      <c r="H162" t="s">
        <v>18</v>
      </c>
      <c r="I162">
        <v>42057</v>
      </c>
      <c r="J162">
        <v>4</v>
      </c>
      <c r="K162" t="s">
        <v>1048</v>
      </c>
      <c r="L162">
        <v>3</v>
      </c>
      <c r="M162">
        <v>0</v>
      </c>
      <c r="N162">
        <v>0</v>
      </c>
      <c r="O162" t="b">
        <v>0</v>
      </c>
      <c r="P162">
        <v>42053</v>
      </c>
      <c r="Q162">
        <v>4</v>
      </c>
    </row>
    <row r="163" spans="1:17" x14ac:dyDescent="0.2">
      <c r="A163" t="s">
        <v>1049</v>
      </c>
      <c r="B163" t="s">
        <v>516</v>
      </c>
      <c r="C163" t="s">
        <v>300</v>
      </c>
      <c r="D163" t="s">
        <v>90</v>
      </c>
      <c r="E163" t="s">
        <v>246</v>
      </c>
      <c r="F163" t="s">
        <v>59</v>
      </c>
      <c r="G163">
        <v>2920</v>
      </c>
      <c r="H163" t="s">
        <v>27</v>
      </c>
      <c r="I163">
        <v>42915</v>
      </c>
      <c r="J163">
        <v>3</v>
      </c>
      <c r="K163" t="s">
        <v>1050</v>
      </c>
      <c r="L163">
        <v>4</v>
      </c>
      <c r="M163">
        <v>0</v>
      </c>
      <c r="N163">
        <v>0</v>
      </c>
      <c r="O163" t="b">
        <v>0</v>
      </c>
      <c r="P163">
        <v>42911</v>
      </c>
      <c r="Q163">
        <v>4</v>
      </c>
    </row>
    <row r="164" spans="1:17" x14ac:dyDescent="0.2">
      <c r="A164" t="s">
        <v>1051</v>
      </c>
      <c r="B164" t="s">
        <v>453</v>
      </c>
      <c r="C164" t="s">
        <v>207</v>
      </c>
      <c r="D164" t="s">
        <v>150</v>
      </c>
      <c r="E164" t="s">
        <v>208</v>
      </c>
      <c r="F164" t="s">
        <v>31</v>
      </c>
      <c r="G164">
        <v>85345</v>
      </c>
      <c r="H164" t="s">
        <v>18</v>
      </c>
      <c r="I164">
        <v>42305</v>
      </c>
      <c r="J164">
        <v>4</v>
      </c>
      <c r="K164" t="s">
        <v>1052</v>
      </c>
      <c r="L164">
        <v>1</v>
      </c>
      <c r="M164">
        <v>1</v>
      </c>
      <c r="N164">
        <v>0.2</v>
      </c>
      <c r="O164" t="b">
        <v>0</v>
      </c>
      <c r="P164">
        <v>42300</v>
      </c>
      <c r="Q164">
        <v>5</v>
      </c>
    </row>
    <row r="165" spans="1:17" x14ac:dyDescent="0.2">
      <c r="A165" t="s">
        <v>1053</v>
      </c>
      <c r="B165" t="s">
        <v>398</v>
      </c>
      <c r="C165" t="s">
        <v>111</v>
      </c>
      <c r="D165" t="s">
        <v>9</v>
      </c>
      <c r="E165" t="s">
        <v>112</v>
      </c>
      <c r="F165" t="s">
        <v>104</v>
      </c>
      <c r="G165">
        <v>46203</v>
      </c>
      <c r="H165" t="s">
        <v>12</v>
      </c>
      <c r="I165">
        <v>41996</v>
      </c>
      <c r="J165">
        <v>2</v>
      </c>
      <c r="K165" t="s">
        <v>1054</v>
      </c>
      <c r="L165">
        <v>4</v>
      </c>
      <c r="M165">
        <v>0</v>
      </c>
      <c r="N165">
        <v>0</v>
      </c>
      <c r="O165" t="b">
        <v>0</v>
      </c>
      <c r="P165">
        <v>41993</v>
      </c>
      <c r="Q165">
        <v>3</v>
      </c>
    </row>
    <row r="166" spans="1:17" x14ac:dyDescent="0.2">
      <c r="A166" t="s">
        <v>1056</v>
      </c>
      <c r="B166" t="s">
        <v>556</v>
      </c>
      <c r="C166" t="s">
        <v>360</v>
      </c>
      <c r="D166" t="s">
        <v>90</v>
      </c>
      <c r="E166" t="s">
        <v>38</v>
      </c>
      <c r="F166" t="s">
        <v>17</v>
      </c>
      <c r="G166">
        <v>90004</v>
      </c>
      <c r="H166" t="s">
        <v>18</v>
      </c>
      <c r="I166">
        <v>43082</v>
      </c>
      <c r="J166">
        <v>3</v>
      </c>
      <c r="K166" t="s">
        <v>1057</v>
      </c>
      <c r="L166">
        <v>12</v>
      </c>
      <c r="M166">
        <v>1</v>
      </c>
      <c r="N166">
        <v>6.6666666666666666E-2</v>
      </c>
      <c r="O166" t="b">
        <v>0</v>
      </c>
      <c r="P166">
        <v>43078</v>
      </c>
      <c r="Q166">
        <v>4</v>
      </c>
    </row>
    <row r="167" spans="1:17" x14ac:dyDescent="0.2">
      <c r="A167" t="s">
        <v>1059</v>
      </c>
      <c r="B167" t="s">
        <v>493</v>
      </c>
      <c r="C167" t="s">
        <v>265</v>
      </c>
      <c r="D167" t="s">
        <v>9</v>
      </c>
      <c r="E167" t="s">
        <v>85</v>
      </c>
      <c r="F167" t="s">
        <v>86</v>
      </c>
      <c r="G167">
        <v>98105</v>
      </c>
      <c r="H167" t="s">
        <v>18</v>
      </c>
      <c r="I167">
        <v>41942</v>
      </c>
      <c r="J167">
        <v>3</v>
      </c>
      <c r="K167" t="s">
        <v>1061</v>
      </c>
      <c r="L167">
        <v>9</v>
      </c>
      <c r="M167">
        <v>1</v>
      </c>
      <c r="N167">
        <v>0.1</v>
      </c>
      <c r="O167" t="b">
        <v>0</v>
      </c>
      <c r="P167">
        <v>41938</v>
      </c>
      <c r="Q167">
        <v>4</v>
      </c>
    </row>
    <row r="168" spans="1:17" x14ac:dyDescent="0.2">
      <c r="A168" t="s">
        <v>1062</v>
      </c>
      <c r="B168" t="s">
        <v>574</v>
      </c>
      <c r="C168" t="s">
        <v>573</v>
      </c>
      <c r="D168" t="s">
        <v>9</v>
      </c>
      <c r="E168" t="s">
        <v>38</v>
      </c>
      <c r="F168" t="s">
        <v>17</v>
      </c>
      <c r="G168">
        <v>90036</v>
      </c>
      <c r="H168" t="s">
        <v>18</v>
      </c>
      <c r="I168">
        <v>42186</v>
      </c>
      <c r="J168">
        <v>4</v>
      </c>
      <c r="K168" t="s">
        <v>1065</v>
      </c>
      <c r="L168">
        <v>8</v>
      </c>
      <c r="M168">
        <v>1</v>
      </c>
      <c r="N168">
        <v>6.6666666666666666E-2</v>
      </c>
      <c r="O168" t="b">
        <v>0</v>
      </c>
      <c r="P168">
        <v>42180</v>
      </c>
      <c r="Q168">
        <v>6</v>
      </c>
    </row>
    <row r="169" spans="1:17" x14ac:dyDescent="0.2">
      <c r="A169" t="s">
        <v>1066</v>
      </c>
      <c r="B169" t="s">
        <v>579</v>
      </c>
      <c r="C169" t="s">
        <v>577</v>
      </c>
      <c r="D169" t="s">
        <v>9</v>
      </c>
      <c r="E169" t="s">
        <v>578</v>
      </c>
      <c r="F169" t="s">
        <v>17</v>
      </c>
      <c r="G169">
        <v>95207</v>
      </c>
      <c r="H169" t="s">
        <v>18</v>
      </c>
      <c r="I169">
        <v>43081</v>
      </c>
      <c r="J169">
        <v>3</v>
      </c>
      <c r="K169" t="s">
        <v>1067</v>
      </c>
      <c r="L169">
        <v>6</v>
      </c>
      <c r="M169">
        <v>1</v>
      </c>
      <c r="N169">
        <v>0.1</v>
      </c>
      <c r="O169" t="b">
        <v>0</v>
      </c>
      <c r="P169">
        <v>43079</v>
      </c>
      <c r="Q169">
        <v>2</v>
      </c>
    </row>
    <row r="170" spans="1:17" x14ac:dyDescent="0.2">
      <c r="A170" t="s">
        <v>1069</v>
      </c>
      <c r="B170" t="s">
        <v>495</v>
      </c>
      <c r="C170" t="s">
        <v>268</v>
      </c>
      <c r="D170" t="s">
        <v>150</v>
      </c>
      <c r="E170" t="s">
        <v>76</v>
      </c>
      <c r="F170" t="s">
        <v>17</v>
      </c>
      <c r="G170">
        <v>92024</v>
      </c>
      <c r="H170" t="s">
        <v>18</v>
      </c>
      <c r="I170">
        <v>42693</v>
      </c>
      <c r="J170">
        <v>4</v>
      </c>
      <c r="K170" t="s">
        <v>1070</v>
      </c>
      <c r="L170">
        <v>2</v>
      </c>
      <c r="M170">
        <v>1</v>
      </c>
      <c r="N170">
        <v>0.2</v>
      </c>
      <c r="O170" t="b">
        <v>0</v>
      </c>
      <c r="P170">
        <v>42689</v>
      </c>
      <c r="Q170">
        <v>4</v>
      </c>
    </row>
    <row r="171" spans="1:17" x14ac:dyDescent="0.2">
      <c r="A171" t="s">
        <v>1071</v>
      </c>
      <c r="B171" t="s">
        <v>487</v>
      </c>
      <c r="C171" t="s">
        <v>257</v>
      </c>
      <c r="D171" t="s">
        <v>9</v>
      </c>
      <c r="E171" t="s">
        <v>258</v>
      </c>
      <c r="F171" t="s">
        <v>17</v>
      </c>
      <c r="G171">
        <v>94513</v>
      </c>
      <c r="H171" t="s">
        <v>18</v>
      </c>
      <c r="I171">
        <v>41979</v>
      </c>
      <c r="J171">
        <v>4</v>
      </c>
      <c r="K171" t="s">
        <v>1072</v>
      </c>
      <c r="L171">
        <v>7</v>
      </c>
      <c r="M171">
        <v>1</v>
      </c>
      <c r="N171">
        <v>0.1</v>
      </c>
      <c r="O171" t="b">
        <v>0</v>
      </c>
      <c r="P171">
        <v>41972</v>
      </c>
      <c r="Q171">
        <v>7</v>
      </c>
    </row>
    <row r="172" spans="1:17" x14ac:dyDescent="0.2">
      <c r="A172" t="s">
        <v>1074</v>
      </c>
      <c r="B172" t="s">
        <v>527</v>
      </c>
      <c r="C172" t="s">
        <v>316</v>
      </c>
      <c r="D172" t="s">
        <v>9</v>
      </c>
      <c r="E172" t="s">
        <v>108</v>
      </c>
      <c r="F172" t="s">
        <v>73</v>
      </c>
      <c r="G172">
        <v>42420</v>
      </c>
      <c r="H172" t="s">
        <v>47</v>
      </c>
      <c r="I172">
        <v>42682</v>
      </c>
      <c r="J172">
        <v>3</v>
      </c>
      <c r="K172" t="s">
        <v>1075</v>
      </c>
      <c r="L172">
        <v>16</v>
      </c>
      <c r="M172">
        <v>0</v>
      </c>
      <c r="N172">
        <v>0</v>
      </c>
      <c r="O172" t="b">
        <v>0</v>
      </c>
      <c r="P172">
        <v>42677</v>
      </c>
      <c r="Q172">
        <v>5</v>
      </c>
    </row>
    <row r="173" spans="1:17" x14ac:dyDescent="0.2">
      <c r="A173" t="s">
        <v>1079</v>
      </c>
      <c r="B173" t="s">
        <v>68</v>
      </c>
      <c r="C173" t="s">
        <v>69</v>
      </c>
      <c r="D173" t="s">
        <v>9</v>
      </c>
      <c r="E173" t="s">
        <v>16</v>
      </c>
      <c r="F173" t="s">
        <v>17</v>
      </c>
      <c r="G173">
        <v>94109</v>
      </c>
      <c r="H173" t="s">
        <v>18</v>
      </c>
      <c r="I173">
        <v>42557</v>
      </c>
      <c r="J173">
        <v>2</v>
      </c>
      <c r="K173" t="s">
        <v>1082</v>
      </c>
      <c r="L173">
        <v>16</v>
      </c>
      <c r="M173">
        <v>1</v>
      </c>
      <c r="N173">
        <v>3.7499999999999999E-2</v>
      </c>
      <c r="O173" t="b">
        <v>0</v>
      </c>
      <c r="P173">
        <v>42555</v>
      </c>
      <c r="Q173">
        <v>2</v>
      </c>
    </row>
    <row r="174" spans="1:17" x14ac:dyDescent="0.2">
      <c r="A174" t="s">
        <v>1083</v>
      </c>
      <c r="B174" t="s">
        <v>555</v>
      </c>
      <c r="C174" t="s">
        <v>359</v>
      </c>
      <c r="D174" t="s">
        <v>90</v>
      </c>
      <c r="E174" t="s">
        <v>242</v>
      </c>
      <c r="F174" t="s">
        <v>53</v>
      </c>
      <c r="G174">
        <v>37918</v>
      </c>
      <c r="H174" t="s">
        <v>47</v>
      </c>
      <c r="I174">
        <v>42255</v>
      </c>
      <c r="J174">
        <v>4</v>
      </c>
      <c r="K174" t="s">
        <v>1084</v>
      </c>
      <c r="L174">
        <v>4</v>
      </c>
      <c r="M174">
        <v>1</v>
      </c>
      <c r="N174">
        <v>0.2</v>
      </c>
      <c r="O174" t="b">
        <v>1</v>
      </c>
      <c r="P174">
        <v>42250</v>
      </c>
      <c r="Q174">
        <v>5</v>
      </c>
    </row>
    <row r="175" spans="1:17" x14ac:dyDescent="0.2">
      <c r="A175" t="s">
        <v>1085</v>
      </c>
      <c r="B175" t="s">
        <v>415</v>
      </c>
      <c r="C175" t="s">
        <v>147</v>
      </c>
      <c r="D175" t="s">
        <v>90</v>
      </c>
      <c r="E175" t="s">
        <v>38</v>
      </c>
      <c r="F175" t="s">
        <v>17</v>
      </c>
      <c r="G175">
        <v>90036</v>
      </c>
      <c r="H175" t="s">
        <v>18</v>
      </c>
      <c r="I175">
        <v>42937</v>
      </c>
      <c r="J175">
        <v>4</v>
      </c>
      <c r="K175" t="s">
        <v>1086</v>
      </c>
      <c r="L175">
        <v>2</v>
      </c>
      <c r="M175">
        <v>1</v>
      </c>
      <c r="N175">
        <v>0.2</v>
      </c>
      <c r="O175" t="b">
        <v>0</v>
      </c>
      <c r="P175">
        <v>42933</v>
      </c>
      <c r="Q175">
        <v>4</v>
      </c>
    </row>
    <row r="176" spans="1:17" x14ac:dyDescent="0.2">
      <c r="A176" t="s">
        <v>1087</v>
      </c>
      <c r="B176" t="s">
        <v>463</v>
      </c>
      <c r="C176" t="s">
        <v>221</v>
      </c>
      <c r="D176" t="s">
        <v>90</v>
      </c>
      <c r="E176" t="s">
        <v>222</v>
      </c>
      <c r="F176" t="s">
        <v>95</v>
      </c>
      <c r="G176">
        <v>23666</v>
      </c>
      <c r="H176" t="s">
        <v>47</v>
      </c>
      <c r="I176">
        <v>42170</v>
      </c>
      <c r="J176">
        <v>4</v>
      </c>
      <c r="K176" t="s">
        <v>1088</v>
      </c>
      <c r="L176">
        <v>3</v>
      </c>
      <c r="M176">
        <v>0</v>
      </c>
      <c r="N176">
        <v>0</v>
      </c>
      <c r="O176" t="b">
        <v>0</v>
      </c>
      <c r="P176">
        <v>42164</v>
      </c>
      <c r="Q176">
        <v>6</v>
      </c>
    </row>
    <row r="177" spans="1:17" x14ac:dyDescent="0.2">
      <c r="A177" t="s">
        <v>1089</v>
      </c>
      <c r="B177" t="s">
        <v>538</v>
      </c>
      <c r="C177" t="s">
        <v>331</v>
      </c>
      <c r="D177" t="s">
        <v>150</v>
      </c>
      <c r="E177" t="s">
        <v>332</v>
      </c>
      <c r="F177" t="s">
        <v>42</v>
      </c>
      <c r="G177">
        <v>97756</v>
      </c>
      <c r="H177" t="s">
        <v>18</v>
      </c>
      <c r="I177">
        <v>41853</v>
      </c>
      <c r="J177">
        <v>2</v>
      </c>
      <c r="K177" t="s">
        <v>1090</v>
      </c>
      <c r="L177">
        <v>11</v>
      </c>
      <c r="M177">
        <v>0</v>
      </c>
      <c r="N177">
        <v>0</v>
      </c>
      <c r="O177" t="b">
        <v>0</v>
      </c>
      <c r="P177">
        <v>41847</v>
      </c>
      <c r="Q177">
        <v>6</v>
      </c>
    </row>
    <row r="178" spans="1:17" x14ac:dyDescent="0.2">
      <c r="A178" t="s">
        <v>1091</v>
      </c>
      <c r="B178" t="s">
        <v>531</v>
      </c>
      <c r="C178" t="s">
        <v>321</v>
      </c>
      <c r="D178" t="s">
        <v>150</v>
      </c>
      <c r="E178" t="s">
        <v>322</v>
      </c>
      <c r="F178" t="s">
        <v>79</v>
      </c>
      <c r="G178">
        <v>2038</v>
      </c>
      <c r="H178" t="s">
        <v>27</v>
      </c>
      <c r="I178">
        <v>42222</v>
      </c>
      <c r="J178">
        <v>4</v>
      </c>
      <c r="K178" t="s">
        <v>601</v>
      </c>
      <c r="L178">
        <v>6</v>
      </c>
      <c r="M178">
        <v>0</v>
      </c>
      <c r="N178">
        <v>0</v>
      </c>
      <c r="O178" t="b">
        <v>0</v>
      </c>
      <c r="P178">
        <v>42216</v>
      </c>
      <c r="Q178">
        <v>6</v>
      </c>
    </row>
    <row r="179" spans="1:17" x14ac:dyDescent="0.2">
      <c r="A179" t="s">
        <v>1092</v>
      </c>
      <c r="B179" t="s">
        <v>521</v>
      </c>
      <c r="C179" t="s">
        <v>306</v>
      </c>
      <c r="D179" t="s">
        <v>90</v>
      </c>
      <c r="E179" t="s">
        <v>307</v>
      </c>
      <c r="F179" t="s">
        <v>79</v>
      </c>
      <c r="G179">
        <v>2148</v>
      </c>
      <c r="H179" t="s">
        <v>27</v>
      </c>
      <c r="I179">
        <v>42635</v>
      </c>
      <c r="J179">
        <v>4</v>
      </c>
      <c r="K179" t="s">
        <v>1093</v>
      </c>
      <c r="L179">
        <v>3</v>
      </c>
      <c r="M179">
        <v>1</v>
      </c>
      <c r="N179">
        <v>0.2</v>
      </c>
      <c r="O179" t="b">
        <v>0</v>
      </c>
      <c r="P179">
        <v>42632</v>
      </c>
      <c r="Q179">
        <v>3</v>
      </c>
    </row>
    <row r="180" spans="1:17" x14ac:dyDescent="0.2">
      <c r="A180" t="s">
        <v>1094</v>
      </c>
      <c r="B180" t="s">
        <v>529</v>
      </c>
      <c r="C180" t="s">
        <v>319</v>
      </c>
      <c r="D180" t="s">
        <v>9</v>
      </c>
      <c r="E180" t="s">
        <v>38</v>
      </c>
      <c r="F180" t="s">
        <v>17</v>
      </c>
      <c r="G180">
        <v>90045</v>
      </c>
      <c r="H180" t="s">
        <v>18</v>
      </c>
      <c r="I180">
        <v>42854</v>
      </c>
      <c r="J180">
        <v>2</v>
      </c>
      <c r="K180" t="s">
        <v>775</v>
      </c>
      <c r="L180">
        <v>9</v>
      </c>
      <c r="M180">
        <v>0</v>
      </c>
      <c r="N180">
        <v>0</v>
      </c>
      <c r="O180" t="b">
        <v>0</v>
      </c>
      <c r="P180">
        <v>42852</v>
      </c>
      <c r="Q180">
        <v>2</v>
      </c>
    </row>
    <row r="181" spans="1:17" x14ac:dyDescent="0.2">
      <c r="A181" t="s">
        <v>1097</v>
      </c>
      <c r="B181" t="s">
        <v>480</v>
      </c>
      <c r="C181" t="s">
        <v>247</v>
      </c>
      <c r="D181" t="s">
        <v>90</v>
      </c>
      <c r="E181" t="s">
        <v>151</v>
      </c>
      <c r="F181" t="s">
        <v>31</v>
      </c>
      <c r="G181">
        <v>85705</v>
      </c>
      <c r="H181" t="s">
        <v>18</v>
      </c>
      <c r="I181">
        <v>42837</v>
      </c>
      <c r="J181">
        <v>1</v>
      </c>
      <c r="K181" t="s">
        <v>1099</v>
      </c>
      <c r="L181">
        <v>9</v>
      </c>
      <c r="M181">
        <v>0</v>
      </c>
      <c r="N181">
        <v>0</v>
      </c>
      <c r="O181" t="b">
        <v>1</v>
      </c>
      <c r="P181">
        <v>42833</v>
      </c>
      <c r="Q181">
        <v>4</v>
      </c>
    </row>
    <row r="182" spans="1:17" x14ac:dyDescent="0.2">
      <c r="A182" t="s">
        <v>1100</v>
      </c>
      <c r="B182" t="s">
        <v>426</v>
      </c>
      <c r="C182" t="s">
        <v>164</v>
      </c>
      <c r="D182" t="s">
        <v>9</v>
      </c>
      <c r="E182" t="s">
        <v>165</v>
      </c>
      <c r="F182" t="s">
        <v>166</v>
      </c>
      <c r="G182">
        <v>33024</v>
      </c>
      <c r="H182" t="s">
        <v>47</v>
      </c>
      <c r="I182">
        <v>42639</v>
      </c>
      <c r="J182">
        <v>4</v>
      </c>
      <c r="K182" t="s">
        <v>1102</v>
      </c>
      <c r="L182">
        <v>11</v>
      </c>
      <c r="M182">
        <v>1</v>
      </c>
      <c r="N182">
        <v>0.44999999999999996</v>
      </c>
      <c r="O182" t="b">
        <v>0</v>
      </c>
      <c r="P182">
        <v>42635</v>
      </c>
      <c r="Q182">
        <v>4</v>
      </c>
    </row>
    <row r="183" spans="1:17" x14ac:dyDescent="0.2">
      <c r="A183" t="s">
        <v>1103</v>
      </c>
      <c r="B183" t="s">
        <v>446</v>
      </c>
      <c r="C183" t="s">
        <v>197</v>
      </c>
      <c r="D183" t="s">
        <v>9</v>
      </c>
      <c r="E183" t="s">
        <v>198</v>
      </c>
      <c r="F183" t="s">
        <v>199</v>
      </c>
      <c r="G183">
        <v>84084</v>
      </c>
      <c r="H183" t="s">
        <v>18</v>
      </c>
      <c r="I183">
        <v>42823</v>
      </c>
      <c r="J183">
        <v>3</v>
      </c>
      <c r="K183" t="s">
        <v>976</v>
      </c>
      <c r="L183">
        <v>2</v>
      </c>
      <c r="M183">
        <v>1</v>
      </c>
      <c r="N183">
        <v>0.2</v>
      </c>
      <c r="O183" t="b">
        <v>0</v>
      </c>
      <c r="P183">
        <v>42821</v>
      </c>
      <c r="Q183">
        <v>2</v>
      </c>
    </row>
    <row r="184" spans="1:17" x14ac:dyDescent="0.2">
      <c r="A184" t="s">
        <v>1104</v>
      </c>
      <c r="B184" t="s">
        <v>467</v>
      </c>
      <c r="C184" t="s">
        <v>226</v>
      </c>
      <c r="D184" t="s">
        <v>9</v>
      </c>
      <c r="E184" t="s">
        <v>227</v>
      </c>
      <c r="F184" t="s">
        <v>184</v>
      </c>
      <c r="G184">
        <v>6708</v>
      </c>
      <c r="H184" t="s">
        <v>27</v>
      </c>
      <c r="I184">
        <v>42508</v>
      </c>
      <c r="J184">
        <v>2</v>
      </c>
      <c r="K184" t="s">
        <v>730</v>
      </c>
      <c r="L184">
        <v>13</v>
      </c>
      <c r="M184">
        <v>0</v>
      </c>
      <c r="N184">
        <v>0</v>
      </c>
      <c r="O184" t="b">
        <v>0</v>
      </c>
      <c r="P184">
        <v>42507</v>
      </c>
      <c r="Q184">
        <v>1</v>
      </c>
    </row>
    <row r="185" spans="1:17" x14ac:dyDescent="0.2">
      <c r="A185" t="s">
        <v>1107</v>
      </c>
      <c r="B185" t="s">
        <v>399</v>
      </c>
      <c r="C185" t="s">
        <v>113</v>
      </c>
      <c r="D185" t="s">
        <v>9</v>
      </c>
      <c r="E185" t="s">
        <v>114</v>
      </c>
      <c r="F185" t="s">
        <v>42</v>
      </c>
      <c r="G185">
        <v>97206</v>
      </c>
      <c r="H185" t="s">
        <v>18</v>
      </c>
      <c r="I185">
        <v>42875</v>
      </c>
      <c r="J185">
        <v>2</v>
      </c>
      <c r="K185" t="s">
        <v>1108</v>
      </c>
      <c r="L185">
        <v>2</v>
      </c>
      <c r="M185">
        <v>1</v>
      </c>
      <c r="N185">
        <v>0.2</v>
      </c>
      <c r="O185" t="b">
        <v>0</v>
      </c>
      <c r="P185">
        <v>42873</v>
      </c>
      <c r="Q185">
        <v>2</v>
      </c>
    </row>
    <row r="186" spans="1:17" x14ac:dyDescent="0.2">
      <c r="A186" t="s">
        <v>1109</v>
      </c>
      <c r="B186" t="s">
        <v>426</v>
      </c>
      <c r="C186" t="s">
        <v>164</v>
      </c>
      <c r="D186" t="s">
        <v>9</v>
      </c>
      <c r="E186" t="s">
        <v>165</v>
      </c>
      <c r="F186" t="s">
        <v>166</v>
      </c>
      <c r="G186">
        <v>33024</v>
      </c>
      <c r="H186" t="s">
        <v>47</v>
      </c>
      <c r="I186">
        <v>41946</v>
      </c>
      <c r="J186">
        <v>3</v>
      </c>
      <c r="K186" t="s">
        <v>1110</v>
      </c>
      <c r="L186">
        <v>8</v>
      </c>
      <c r="M186">
        <v>1</v>
      </c>
      <c r="N186">
        <v>0.2</v>
      </c>
      <c r="O186" t="b">
        <v>0</v>
      </c>
      <c r="P186">
        <v>41943</v>
      </c>
      <c r="Q186">
        <v>3</v>
      </c>
    </row>
    <row r="187" spans="1:17" x14ac:dyDescent="0.2">
      <c r="A187" t="s">
        <v>1111</v>
      </c>
      <c r="B187" t="s">
        <v>488</v>
      </c>
      <c r="C187" t="s">
        <v>259</v>
      </c>
      <c r="D187" t="s">
        <v>9</v>
      </c>
      <c r="E187" t="s">
        <v>260</v>
      </c>
      <c r="F187" t="s">
        <v>17</v>
      </c>
      <c r="G187">
        <v>92804</v>
      </c>
      <c r="H187" t="s">
        <v>18</v>
      </c>
      <c r="I187">
        <v>42809</v>
      </c>
      <c r="J187">
        <v>4</v>
      </c>
      <c r="K187" t="s">
        <v>1112</v>
      </c>
      <c r="L187">
        <v>7</v>
      </c>
      <c r="M187">
        <v>1</v>
      </c>
      <c r="N187">
        <v>0.1</v>
      </c>
      <c r="O187" t="b">
        <v>0</v>
      </c>
      <c r="P187">
        <v>42802</v>
      </c>
      <c r="Q187">
        <v>7</v>
      </c>
    </row>
    <row r="188" spans="1:17" x14ac:dyDescent="0.2">
      <c r="A188" t="s">
        <v>1114</v>
      </c>
      <c r="B188" t="s">
        <v>431</v>
      </c>
      <c r="C188" t="s">
        <v>172</v>
      </c>
      <c r="D188" t="s">
        <v>9</v>
      </c>
      <c r="E188" t="s">
        <v>173</v>
      </c>
      <c r="F188" t="s">
        <v>137</v>
      </c>
      <c r="G188">
        <v>44134</v>
      </c>
      <c r="H188" t="s">
        <v>27</v>
      </c>
      <c r="I188">
        <v>41929</v>
      </c>
      <c r="J188">
        <v>2</v>
      </c>
      <c r="K188" t="s">
        <v>1116</v>
      </c>
      <c r="L188">
        <v>4</v>
      </c>
      <c r="M188">
        <v>1</v>
      </c>
      <c r="N188">
        <v>0.25</v>
      </c>
      <c r="O188" t="b">
        <v>0</v>
      </c>
      <c r="P188">
        <v>41927</v>
      </c>
      <c r="Q188">
        <v>2</v>
      </c>
    </row>
    <row r="189" spans="1:17" x14ac:dyDescent="0.2">
      <c r="A189" t="s">
        <v>1117</v>
      </c>
      <c r="B189" t="s">
        <v>530</v>
      </c>
      <c r="C189" t="s">
        <v>320</v>
      </c>
      <c r="D189" t="s">
        <v>150</v>
      </c>
      <c r="E189" t="s">
        <v>97</v>
      </c>
      <c r="F189" t="s">
        <v>67</v>
      </c>
      <c r="G189">
        <v>19143</v>
      </c>
      <c r="H189" t="s">
        <v>27</v>
      </c>
      <c r="I189">
        <v>42991</v>
      </c>
      <c r="J189">
        <v>3</v>
      </c>
      <c r="K189" t="s">
        <v>1118</v>
      </c>
      <c r="L189">
        <v>2</v>
      </c>
      <c r="M189">
        <v>0</v>
      </c>
      <c r="N189">
        <v>0</v>
      </c>
      <c r="O189" t="b">
        <v>0</v>
      </c>
      <c r="P189">
        <v>42988</v>
      </c>
      <c r="Q189">
        <v>3</v>
      </c>
    </row>
    <row r="190" spans="1:17" x14ac:dyDescent="0.2">
      <c r="A190" t="s">
        <v>1119</v>
      </c>
      <c r="B190" t="s">
        <v>437</v>
      </c>
      <c r="C190" t="s">
        <v>182</v>
      </c>
      <c r="D190" t="s">
        <v>90</v>
      </c>
      <c r="E190" t="s">
        <v>183</v>
      </c>
      <c r="F190" t="s">
        <v>184</v>
      </c>
      <c r="G190">
        <v>6824</v>
      </c>
      <c r="H190" t="s">
        <v>27</v>
      </c>
      <c r="I190">
        <v>43075</v>
      </c>
      <c r="J190">
        <v>4</v>
      </c>
      <c r="K190" t="s">
        <v>1120</v>
      </c>
      <c r="L190">
        <v>6</v>
      </c>
      <c r="M190">
        <v>0</v>
      </c>
      <c r="N190">
        <v>0</v>
      </c>
      <c r="O190" t="b">
        <v>0</v>
      </c>
      <c r="P190">
        <v>43070</v>
      </c>
      <c r="Q190">
        <v>5</v>
      </c>
    </row>
    <row r="191" spans="1:17" x14ac:dyDescent="0.2">
      <c r="A191" t="s">
        <v>1122</v>
      </c>
      <c r="B191" t="s">
        <v>546</v>
      </c>
      <c r="C191" t="s">
        <v>342</v>
      </c>
      <c r="D191" t="s">
        <v>150</v>
      </c>
      <c r="E191" t="s">
        <v>343</v>
      </c>
      <c r="F191" t="s">
        <v>299</v>
      </c>
      <c r="G191">
        <v>36116</v>
      </c>
      <c r="H191" t="s">
        <v>47</v>
      </c>
      <c r="I191">
        <v>43081</v>
      </c>
      <c r="J191">
        <v>3</v>
      </c>
      <c r="K191" t="s">
        <v>1123</v>
      </c>
      <c r="L191">
        <v>1</v>
      </c>
      <c r="M191">
        <v>0</v>
      </c>
      <c r="N191">
        <v>0</v>
      </c>
      <c r="O191" t="b">
        <v>0</v>
      </c>
      <c r="P191">
        <v>43077</v>
      </c>
      <c r="Q191">
        <v>4</v>
      </c>
    </row>
    <row r="192" spans="1:17" x14ac:dyDescent="0.2">
      <c r="A192" t="s">
        <v>1124</v>
      </c>
      <c r="B192" t="s">
        <v>384</v>
      </c>
      <c r="C192" t="s">
        <v>84</v>
      </c>
      <c r="D192" t="s">
        <v>9</v>
      </c>
      <c r="E192" t="s">
        <v>85</v>
      </c>
      <c r="F192" t="s">
        <v>86</v>
      </c>
      <c r="G192">
        <v>98103</v>
      </c>
      <c r="H192" t="s">
        <v>18</v>
      </c>
      <c r="I192">
        <v>41706</v>
      </c>
      <c r="J192">
        <v>2</v>
      </c>
      <c r="K192" t="s">
        <v>946</v>
      </c>
      <c r="L192">
        <v>7</v>
      </c>
      <c r="M192">
        <v>1</v>
      </c>
      <c r="N192">
        <v>6.666666666666668E-2</v>
      </c>
      <c r="O192" t="b">
        <v>0</v>
      </c>
      <c r="P192">
        <v>41705</v>
      </c>
      <c r="Q192">
        <v>1</v>
      </c>
    </row>
    <row r="193" spans="1:17" x14ac:dyDescent="0.2">
      <c r="A193" t="s">
        <v>1126</v>
      </c>
      <c r="B193" t="s">
        <v>489</v>
      </c>
      <c r="C193" t="s">
        <v>261</v>
      </c>
      <c r="D193" t="s">
        <v>9</v>
      </c>
      <c r="E193" t="s">
        <v>85</v>
      </c>
      <c r="F193" t="s">
        <v>86</v>
      </c>
      <c r="G193">
        <v>98105</v>
      </c>
      <c r="H193" t="s">
        <v>18</v>
      </c>
      <c r="I193">
        <v>42347</v>
      </c>
      <c r="J193">
        <v>2</v>
      </c>
      <c r="K193" t="s">
        <v>887</v>
      </c>
      <c r="L193">
        <v>13</v>
      </c>
      <c r="M193">
        <v>1</v>
      </c>
      <c r="N193">
        <v>0.13333333333333336</v>
      </c>
      <c r="O193" t="b">
        <v>0</v>
      </c>
      <c r="P193">
        <v>42345</v>
      </c>
      <c r="Q193">
        <v>2</v>
      </c>
    </row>
    <row r="194" spans="1:17" x14ac:dyDescent="0.2">
      <c r="A194" t="s">
        <v>1129</v>
      </c>
      <c r="B194" t="s">
        <v>476</v>
      </c>
      <c r="C194" t="s">
        <v>241</v>
      </c>
      <c r="D194" t="s">
        <v>150</v>
      </c>
      <c r="E194" t="s">
        <v>242</v>
      </c>
      <c r="F194" t="s">
        <v>53</v>
      </c>
      <c r="G194">
        <v>37918</v>
      </c>
      <c r="H194" t="s">
        <v>47</v>
      </c>
      <c r="I194">
        <v>41965</v>
      </c>
      <c r="J194">
        <v>3</v>
      </c>
      <c r="K194" t="s">
        <v>1130</v>
      </c>
      <c r="L194">
        <v>2</v>
      </c>
      <c r="M194">
        <v>0</v>
      </c>
      <c r="N194">
        <v>0</v>
      </c>
      <c r="O194" t="b">
        <v>0</v>
      </c>
      <c r="P194">
        <v>41959</v>
      </c>
      <c r="Q194">
        <v>6</v>
      </c>
    </row>
    <row r="195" spans="1:17" x14ac:dyDescent="0.2">
      <c r="A195" t="s">
        <v>1131</v>
      </c>
      <c r="B195" t="s">
        <v>451</v>
      </c>
      <c r="C195" t="s">
        <v>204</v>
      </c>
      <c r="D195" t="s">
        <v>9</v>
      </c>
      <c r="E195" t="s">
        <v>205</v>
      </c>
      <c r="F195" t="s">
        <v>137</v>
      </c>
      <c r="G195">
        <v>45231</v>
      </c>
      <c r="H195" t="s">
        <v>27</v>
      </c>
      <c r="I195">
        <v>41885</v>
      </c>
      <c r="J195">
        <v>1</v>
      </c>
      <c r="K195" t="s">
        <v>909</v>
      </c>
      <c r="L195">
        <v>5</v>
      </c>
      <c r="M195">
        <v>0</v>
      </c>
      <c r="N195">
        <v>0</v>
      </c>
      <c r="O195" t="b">
        <v>0</v>
      </c>
      <c r="P195">
        <v>41885</v>
      </c>
      <c r="Q195">
        <v>0</v>
      </c>
    </row>
    <row r="196" spans="1:17" x14ac:dyDescent="0.2">
      <c r="A196" t="s">
        <v>1132</v>
      </c>
      <c r="B196" t="s">
        <v>563</v>
      </c>
      <c r="C196" t="s">
        <v>372</v>
      </c>
      <c r="D196" t="s">
        <v>90</v>
      </c>
      <c r="E196" t="s">
        <v>16</v>
      </c>
      <c r="F196" t="s">
        <v>17</v>
      </c>
      <c r="G196">
        <v>94110</v>
      </c>
      <c r="H196" t="s">
        <v>18</v>
      </c>
      <c r="I196">
        <v>42982</v>
      </c>
      <c r="J196">
        <v>2</v>
      </c>
      <c r="K196" t="s">
        <v>1108</v>
      </c>
      <c r="L196">
        <v>7</v>
      </c>
      <c r="M196">
        <v>1</v>
      </c>
      <c r="N196">
        <v>0.2</v>
      </c>
      <c r="O196" t="b">
        <v>0</v>
      </c>
      <c r="P196">
        <v>42978</v>
      </c>
      <c r="Q196">
        <v>4</v>
      </c>
    </row>
    <row r="197" spans="1:17" x14ac:dyDescent="0.2">
      <c r="A197" t="s">
        <v>1133</v>
      </c>
      <c r="B197" t="s">
        <v>391</v>
      </c>
      <c r="C197" t="s">
        <v>98</v>
      </c>
      <c r="D197" t="s">
        <v>90</v>
      </c>
      <c r="E197" t="s">
        <v>38</v>
      </c>
      <c r="F197" t="s">
        <v>17</v>
      </c>
      <c r="G197">
        <v>90004</v>
      </c>
      <c r="H197" t="s">
        <v>18</v>
      </c>
      <c r="I197">
        <v>42867</v>
      </c>
      <c r="J197">
        <v>4</v>
      </c>
      <c r="K197" t="s">
        <v>1134</v>
      </c>
      <c r="L197">
        <v>1</v>
      </c>
      <c r="M197">
        <v>0</v>
      </c>
      <c r="N197">
        <v>0</v>
      </c>
      <c r="O197" t="b">
        <v>0</v>
      </c>
      <c r="P197">
        <v>42862</v>
      </c>
      <c r="Q197">
        <v>5</v>
      </c>
    </row>
    <row r="198" spans="1:17" x14ac:dyDescent="0.2">
      <c r="A198" t="s">
        <v>1135</v>
      </c>
      <c r="B198" t="s">
        <v>500</v>
      </c>
      <c r="C198" t="s">
        <v>274</v>
      </c>
      <c r="D198" t="s">
        <v>90</v>
      </c>
      <c r="E198" t="s">
        <v>38</v>
      </c>
      <c r="F198" t="s">
        <v>17</v>
      </c>
      <c r="G198">
        <v>90036</v>
      </c>
      <c r="H198" t="s">
        <v>18</v>
      </c>
      <c r="I198">
        <v>42687</v>
      </c>
      <c r="J198">
        <v>3</v>
      </c>
      <c r="K198" t="s">
        <v>1139</v>
      </c>
      <c r="L198">
        <v>33</v>
      </c>
      <c r="M198">
        <v>1</v>
      </c>
      <c r="N198">
        <v>2.8571428571428574E-2</v>
      </c>
      <c r="O198" t="b">
        <v>1</v>
      </c>
      <c r="P198">
        <v>42684</v>
      </c>
      <c r="Q198">
        <v>3</v>
      </c>
    </row>
    <row r="199" spans="1:17" x14ac:dyDescent="0.2">
      <c r="A199" t="s">
        <v>1141</v>
      </c>
      <c r="B199" t="s">
        <v>392</v>
      </c>
      <c r="C199" t="s">
        <v>99</v>
      </c>
      <c r="D199" t="s">
        <v>90</v>
      </c>
      <c r="E199" t="s">
        <v>100</v>
      </c>
      <c r="F199" t="s">
        <v>86</v>
      </c>
      <c r="G199">
        <v>98198</v>
      </c>
      <c r="H199" t="s">
        <v>18</v>
      </c>
      <c r="I199">
        <v>42271</v>
      </c>
      <c r="J199">
        <v>4</v>
      </c>
      <c r="K199" t="s">
        <v>1142</v>
      </c>
      <c r="L199">
        <v>2</v>
      </c>
      <c r="M199">
        <v>0</v>
      </c>
      <c r="N199">
        <v>0</v>
      </c>
      <c r="O199" t="b">
        <v>0</v>
      </c>
      <c r="P199">
        <v>42265</v>
      </c>
      <c r="Q199">
        <v>6</v>
      </c>
    </row>
    <row r="200" spans="1:17" x14ac:dyDescent="0.2">
      <c r="A200" t="s">
        <v>1143</v>
      </c>
      <c r="B200" t="s">
        <v>491</v>
      </c>
      <c r="C200" t="s">
        <v>263</v>
      </c>
      <c r="D200" t="s">
        <v>9</v>
      </c>
      <c r="E200" t="s">
        <v>132</v>
      </c>
      <c r="F200" t="s">
        <v>22</v>
      </c>
      <c r="G200">
        <v>75217</v>
      </c>
      <c r="H200" t="s">
        <v>12</v>
      </c>
      <c r="I200">
        <v>42012</v>
      </c>
      <c r="J200">
        <v>3</v>
      </c>
      <c r="K200" t="s">
        <v>1144</v>
      </c>
      <c r="L200">
        <v>17</v>
      </c>
      <c r="M200">
        <v>1</v>
      </c>
      <c r="N200">
        <v>0.24000000000000002</v>
      </c>
      <c r="O200" t="b">
        <v>0</v>
      </c>
      <c r="P200">
        <v>42007</v>
      </c>
      <c r="Q200">
        <v>5</v>
      </c>
    </row>
    <row r="201" spans="1:17" x14ac:dyDescent="0.2">
      <c r="A201" t="s">
        <v>1146</v>
      </c>
      <c r="B201" t="s">
        <v>569</v>
      </c>
      <c r="C201" t="s">
        <v>381</v>
      </c>
      <c r="D201" t="s">
        <v>9</v>
      </c>
      <c r="E201" t="s">
        <v>132</v>
      </c>
      <c r="F201" t="s">
        <v>22</v>
      </c>
      <c r="G201">
        <v>75217</v>
      </c>
      <c r="H201" t="s">
        <v>12</v>
      </c>
      <c r="I201">
        <v>41715</v>
      </c>
      <c r="J201">
        <v>1</v>
      </c>
      <c r="K201" t="s">
        <v>592</v>
      </c>
      <c r="L201">
        <v>6</v>
      </c>
      <c r="M201">
        <v>1</v>
      </c>
      <c r="N201">
        <v>0.2</v>
      </c>
      <c r="O201" t="b">
        <v>1</v>
      </c>
      <c r="P201">
        <v>41715</v>
      </c>
      <c r="Q201">
        <v>0</v>
      </c>
    </row>
    <row r="202" spans="1:17" x14ac:dyDescent="0.2">
      <c r="A202" t="s">
        <v>1148</v>
      </c>
      <c r="B202" t="s">
        <v>408</v>
      </c>
      <c r="C202" t="s">
        <v>131</v>
      </c>
      <c r="D202" t="s">
        <v>9</v>
      </c>
      <c r="E202" t="s">
        <v>132</v>
      </c>
      <c r="F202" t="s">
        <v>22</v>
      </c>
      <c r="G202">
        <v>75220</v>
      </c>
      <c r="H202" t="s">
        <v>12</v>
      </c>
      <c r="I202">
        <v>42402</v>
      </c>
      <c r="J202">
        <v>3</v>
      </c>
      <c r="K202" t="s">
        <v>1149</v>
      </c>
      <c r="L202">
        <v>3</v>
      </c>
      <c r="M202">
        <v>1</v>
      </c>
      <c r="N202">
        <v>0.2</v>
      </c>
      <c r="O202" t="b">
        <v>0</v>
      </c>
      <c r="P202">
        <v>42400</v>
      </c>
      <c r="Q202">
        <v>2</v>
      </c>
    </row>
    <row r="203" spans="1:17" x14ac:dyDescent="0.2">
      <c r="A203" t="s">
        <v>1150</v>
      </c>
      <c r="B203" t="s">
        <v>416</v>
      </c>
      <c r="C203" t="s">
        <v>148</v>
      </c>
      <c r="D203" t="s">
        <v>90</v>
      </c>
      <c r="E203" t="s">
        <v>85</v>
      </c>
      <c r="F203" t="s">
        <v>86</v>
      </c>
      <c r="G203">
        <v>98103</v>
      </c>
      <c r="H203" t="s">
        <v>18</v>
      </c>
      <c r="I203">
        <v>42671</v>
      </c>
      <c r="J203">
        <v>4</v>
      </c>
      <c r="K203" t="s">
        <v>1151</v>
      </c>
      <c r="L203">
        <v>5</v>
      </c>
      <c r="M203">
        <v>0</v>
      </c>
      <c r="N203">
        <v>0</v>
      </c>
      <c r="O203" t="b">
        <v>0</v>
      </c>
      <c r="P203">
        <v>42666</v>
      </c>
      <c r="Q203">
        <v>5</v>
      </c>
    </row>
    <row r="204" spans="1:17" x14ac:dyDescent="0.2">
      <c r="A204" t="s">
        <v>1152</v>
      </c>
      <c r="B204" t="s">
        <v>453</v>
      </c>
      <c r="C204" t="s">
        <v>207</v>
      </c>
      <c r="D204" t="s">
        <v>150</v>
      </c>
      <c r="E204" t="s">
        <v>208</v>
      </c>
      <c r="F204" t="s">
        <v>31</v>
      </c>
      <c r="G204">
        <v>85345</v>
      </c>
      <c r="H204" t="s">
        <v>18</v>
      </c>
      <c r="I204">
        <v>42307</v>
      </c>
      <c r="J204">
        <v>3</v>
      </c>
      <c r="K204" t="s">
        <v>1153</v>
      </c>
      <c r="L204">
        <v>4</v>
      </c>
      <c r="M204">
        <v>1</v>
      </c>
      <c r="N204">
        <v>0.2</v>
      </c>
      <c r="O204" t="b">
        <v>1</v>
      </c>
      <c r="P204">
        <v>42303</v>
      </c>
      <c r="Q204">
        <v>4</v>
      </c>
    </row>
    <row r="205" spans="1:17" x14ac:dyDescent="0.2">
      <c r="A205" t="s">
        <v>1155</v>
      </c>
      <c r="B205" t="s">
        <v>511</v>
      </c>
      <c r="C205" t="s">
        <v>291</v>
      </c>
      <c r="D205" t="s">
        <v>9</v>
      </c>
      <c r="E205" t="s">
        <v>118</v>
      </c>
      <c r="F205" t="s">
        <v>119</v>
      </c>
      <c r="G205">
        <v>48227</v>
      </c>
      <c r="H205" t="s">
        <v>12</v>
      </c>
      <c r="I205">
        <v>42697</v>
      </c>
      <c r="J205">
        <v>4</v>
      </c>
      <c r="K205" t="s">
        <v>1156</v>
      </c>
      <c r="L205">
        <v>2</v>
      </c>
      <c r="M205">
        <v>0</v>
      </c>
      <c r="N205">
        <v>0</v>
      </c>
      <c r="O205" t="b">
        <v>0</v>
      </c>
      <c r="P205">
        <v>42692</v>
      </c>
      <c r="Q205">
        <v>5</v>
      </c>
    </row>
    <row r="206" spans="1:17" x14ac:dyDescent="0.2">
      <c r="A206" t="s">
        <v>1157</v>
      </c>
      <c r="B206" t="s">
        <v>508</v>
      </c>
      <c r="C206" t="s">
        <v>286</v>
      </c>
      <c r="D206" t="s">
        <v>150</v>
      </c>
      <c r="E206" t="s">
        <v>287</v>
      </c>
      <c r="F206" t="s">
        <v>17</v>
      </c>
      <c r="G206">
        <v>92307</v>
      </c>
      <c r="H206" t="s">
        <v>18</v>
      </c>
      <c r="I206">
        <v>42734</v>
      </c>
      <c r="J206">
        <v>3</v>
      </c>
      <c r="K206" t="s">
        <v>1158</v>
      </c>
      <c r="L206">
        <v>3</v>
      </c>
      <c r="M206">
        <v>1</v>
      </c>
      <c r="N206">
        <v>0.2</v>
      </c>
      <c r="O206" t="b">
        <v>0</v>
      </c>
      <c r="P206">
        <v>42730</v>
      </c>
      <c r="Q206">
        <v>4</v>
      </c>
    </row>
    <row r="207" spans="1:17" x14ac:dyDescent="0.2">
      <c r="A207" t="s">
        <v>1159</v>
      </c>
      <c r="B207" t="s">
        <v>460</v>
      </c>
      <c r="C207" t="s">
        <v>217</v>
      </c>
      <c r="D207" t="s">
        <v>9</v>
      </c>
      <c r="E207" t="s">
        <v>218</v>
      </c>
      <c r="F207" t="s">
        <v>46</v>
      </c>
      <c r="G207">
        <v>31907</v>
      </c>
      <c r="H207" t="s">
        <v>47</v>
      </c>
      <c r="I207">
        <v>43005</v>
      </c>
      <c r="J207">
        <v>2</v>
      </c>
      <c r="K207" t="s">
        <v>1160</v>
      </c>
      <c r="L207">
        <v>10</v>
      </c>
      <c r="M207">
        <v>0</v>
      </c>
      <c r="N207">
        <v>0</v>
      </c>
      <c r="O207" t="b">
        <v>0</v>
      </c>
      <c r="P207">
        <v>43002</v>
      </c>
      <c r="Q207">
        <v>3</v>
      </c>
    </row>
    <row r="208" spans="1:17" x14ac:dyDescent="0.2">
      <c r="A208" t="s">
        <v>1162</v>
      </c>
      <c r="B208" t="s">
        <v>499</v>
      </c>
      <c r="C208" t="s">
        <v>273</v>
      </c>
      <c r="D208" t="s">
        <v>9</v>
      </c>
      <c r="E208" t="s">
        <v>97</v>
      </c>
      <c r="F208" t="s">
        <v>67</v>
      </c>
      <c r="G208">
        <v>19120</v>
      </c>
      <c r="H208" t="s">
        <v>27</v>
      </c>
      <c r="I208">
        <v>41774</v>
      </c>
      <c r="J208">
        <v>4</v>
      </c>
      <c r="K208" t="s">
        <v>1164</v>
      </c>
      <c r="L208">
        <v>8</v>
      </c>
      <c r="M208">
        <v>1</v>
      </c>
      <c r="N208">
        <v>0.1</v>
      </c>
      <c r="O208" t="b">
        <v>1</v>
      </c>
      <c r="P208">
        <v>41769</v>
      </c>
      <c r="Q208">
        <v>5</v>
      </c>
    </row>
    <row r="209" spans="1:17" x14ac:dyDescent="0.2">
      <c r="A209" t="s">
        <v>1165</v>
      </c>
      <c r="B209" t="s">
        <v>19</v>
      </c>
      <c r="C209" t="s">
        <v>20</v>
      </c>
      <c r="D209" t="s">
        <v>9</v>
      </c>
      <c r="E209" t="s">
        <v>21</v>
      </c>
      <c r="F209" t="s">
        <v>22</v>
      </c>
      <c r="G209">
        <v>78664</v>
      </c>
      <c r="H209" t="s">
        <v>12</v>
      </c>
      <c r="I209">
        <v>42437</v>
      </c>
      <c r="J209">
        <v>4</v>
      </c>
      <c r="K209" t="s">
        <v>1168</v>
      </c>
      <c r="L209">
        <v>14</v>
      </c>
      <c r="M209">
        <v>1</v>
      </c>
      <c r="N209">
        <v>0.2</v>
      </c>
      <c r="O209" t="b">
        <v>0</v>
      </c>
      <c r="P209">
        <v>42432</v>
      </c>
      <c r="Q209">
        <v>5</v>
      </c>
    </row>
    <row r="210" spans="1:17" x14ac:dyDescent="0.2">
      <c r="A210" t="s">
        <v>1170</v>
      </c>
      <c r="B210" t="s">
        <v>568</v>
      </c>
      <c r="C210" t="s">
        <v>379</v>
      </c>
      <c r="D210" t="s">
        <v>9</v>
      </c>
      <c r="E210" t="s">
        <v>380</v>
      </c>
      <c r="F210" t="s">
        <v>124</v>
      </c>
      <c r="G210">
        <v>60090</v>
      </c>
      <c r="H210" t="s">
        <v>12</v>
      </c>
      <c r="I210">
        <v>42140</v>
      </c>
      <c r="J210">
        <v>3</v>
      </c>
      <c r="K210" t="s">
        <v>1171</v>
      </c>
      <c r="L210">
        <v>3</v>
      </c>
      <c r="M210">
        <v>0</v>
      </c>
      <c r="N210">
        <v>0</v>
      </c>
      <c r="O210" t="b">
        <v>0</v>
      </c>
      <c r="P210">
        <v>42136</v>
      </c>
      <c r="Q210">
        <v>4</v>
      </c>
    </row>
    <row r="211" spans="1:17" x14ac:dyDescent="0.2">
      <c r="A211" t="s">
        <v>1172</v>
      </c>
      <c r="B211" t="s">
        <v>541</v>
      </c>
      <c r="C211" t="s">
        <v>336</v>
      </c>
      <c r="D211" t="s">
        <v>9</v>
      </c>
      <c r="E211" t="s">
        <v>25</v>
      </c>
      <c r="F211" t="s">
        <v>26</v>
      </c>
      <c r="G211">
        <v>10011</v>
      </c>
      <c r="H211" t="s">
        <v>27</v>
      </c>
      <c r="I211">
        <v>42547</v>
      </c>
      <c r="J211">
        <v>4</v>
      </c>
      <c r="K211" t="s">
        <v>1174</v>
      </c>
      <c r="L211">
        <v>13</v>
      </c>
      <c r="M211">
        <v>1</v>
      </c>
      <c r="N211">
        <v>0.2</v>
      </c>
      <c r="O211" t="b">
        <v>0</v>
      </c>
      <c r="P211">
        <v>42542</v>
      </c>
      <c r="Q211">
        <v>5</v>
      </c>
    </row>
    <row r="212" spans="1:17" x14ac:dyDescent="0.2">
      <c r="A212" t="s">
        <v>1175</v>
      </c>
      <c r="B212" t="s">
        <v>485</v>
      </c>
      <c r="C212" t="s">
        <v>254</v>
      </c>
      <c r="D212" t="s">
        <v>150</v>
      </c>
      <c r="E212" t="s">
        <v>255</v>
      </c>
      <c r="F212" t="s">
        <v>67</v>
      </c>
      <c r="G212">
        <v>18018</v>
      </c>
      <c r="H212" t="s">
        <v>27</v>
      </c>
      <c r="I212">
        <v>42070</v>
      </c>
      <c r="J212">
        <v>3</v>
      </c>
      <c r="K212" t="s">
        <v>1176</v>
      </c>
      <c r="L212">
        <v>4</v>
      </c>
      <c r="M212">
        <v>1</v>
      </c>
      <c r="N212">
        <v>0.25</v>
      </c>
      <c r="O212" t="b">
        <v>0</v>
      </c>
      <c r="P212">
        <v>42068</v>
      </c>
      <c r="Q212">
        <v>2</v>
      </c>
    </row>
    <row r="213" spans="1:17" x14ac:dyDescent="0.2">
      <c r="A213" t="s">
        <v>1177</v>
      </c>
      <c r="B213" t="s">
        <v>461</v>
      </c>
      <c r="C213" t="s">
        <v>219</v>
      </c>
      <c r="D213" t="s">
        <v>9</v>
      </c>
      <c r="E213" t="s">
        <v>41</v>
      </c>
      <c r="F213" t="s">
        <v>95</v>
      </c>
      <c r="G213">
        <v>24153</v>
      </c>
      <c r="H213" t="s">
        <v>47</v>
      </c>
      <c r="I213">
        <v>42989</v>
      </c>
      <c r="J213">
        <v>4</v>
      </c>
      <c r="K213" t="s">
        <v>1178</v>
      </c>
      <c r="L213">
        <v>1</v>
      </c>
      <c r="M213">
        <v>0</v>
      </c>
      <c r="N213">
        <v>0</v>
      </c>
      <c r="O213" t="b">
        <v>0</v>
      </c>
      <c r="P213">
        <v>42985</v>
      </c>
      <c r="Q213">
        <v>4</v>
      </c>
    </row>
    <row r="214" spans="1:17" x14ac:dyDescent="0.2">
      <c r="A214" t="s">
        <v>1179</v>
      </c>
      <c r="B214" t="s">
        <v>438</v>
      </c>
      <c r="C214" t="s">
        <v>185</v>
      </c>
      <c r="D214" t="s">
        <v>90</v>
      </c>
      <c r="E214" t="s">
        <v>16</v>
      </c>
      <c r="F214" t="s">
        <v>17</v>
      </c>
      <c r="G214">
        <v>94122</v>
      </c>
      <c r="H214" t="s">
        <v>18</v>
      </c>
      <c r="I214">
        <v>42860</v>
      </c>
      <c r="J214">
        <v>4</v>
      </c>
      <c r="K214" t="s">
        <v>1180</v>
      </c>
      <c r="L214">
        <v>4</v>
      </c>
      <c r="M214">
        <v>0</v>
      </c>
      <c r="N214">
        <v>0</v>
      </c>
      <c r="O214" t="b">
        <v>0</v>
      </c>
      <c r="P214">
        <v>42855</v>
      </c>
      <c r="Q214">
        <v>5</v>
      </c>
    </row>
    <row r="215" spans="1:17" x14ac:dyDescent="0.2">
      <c r="A215" t="s">
        <v>1181</v>
      </c>
      <c r="B215" t="s">
        <v>496</v>
      </c>
      <c r="C215" t="s">
        <v>269</v>
      </c>
      <c r="D215" t="s">
        <v>150</v>
      </c>
      <c r="E215" t="s">
        <v>270</v>
      </c>
      <c r="F215" t="s">
        <v>95</v>
      </c>
      <c r="G215">
        <v>22153</v>
      </c>
      <c r="H215" t="s">
        <v>47</v>
      </c>
      <c r="I215">
        <v>42524</v>
      </c>
      <c r="J215">
        <v>4</v>
      </c>
      <c r="K215" t="s">
        <v>1183</v>
      </c>
      <c r="L215">
        <v>22</v>
      </c>
      <c r="M215">
        <v>0</v>
      </c>
      <c r="N215">
        <v>0</v>
      </c>
      <c r="O215" t="b">
        <v>0</v>
      </c>
      <c r="P215">
        <v>42520</v>
      </c>
      <c r="Q215">
        <v>4</v>
      </c>
    </row>
    <row r="216" spans="1:17" x14ac:dyDescent="0.2">
      <c r="A216" t="s">
        <v>1185</v>
      </c>
      <c r="B216" t="s">
        <v>574</v>
      </c>
      <c r="C216" t="s">
        <v>573</v>
      </c>
      <c r="D216" t="s">
        <v>9</v>
      </c>
      <c r="E216" t="s">
        <v>38</v>
      </c>
      <c r="F216" t="s">
        <v>17</v>
      </c>
      <c r="G216">
        <v>90036</v>
      </c>
      <c r="H216" t="s">
        <v>18</v>
      </c>
      <c r="I216">
        <v>41963</v>
      </c>
      <c r="J216">
        <v>4</v>
      </c>
      <c r="K216" t="s">
        <v>1186</v>
      </c>
      <c r="L216">
        <v>2</v>
      </c>
      <c r="M216">
        <v>1</v>
      </c>
      <c r="N216">
        <v>0.3</v>
      </c>
      <c r="O216" t="b">
        <v>0</v>
      </c>
      <c r="P216">
        <v>41959</v>
      </c>
      <c r="Q216">
        <v>4</v>
      </c>
    </row>
    <row r="217" spans="1:17" x14ac:dyDescent="0.2">
      <c r="A217" t="s">
        <v>1187</v>
      </c>
      <c r="B217" t="s">
        <v>503</v>
      </c>
      <c r="C217" t="s">
        <v>278</v>
      </c>
      <c r="D217" t="s">
        <v>150</v>
      </c>
      <c r="E217" t="s">
        <v>270</v>
      </c>
      <c r="F217" t="s">
        <v>95</v>
      </c>
      <c r="G217">
        <v>22153</v>
      </c>
      <c r="H217" t="s">
        <v>47</v>
      </c>
      <c r="I217">
        <v>43029</v>
      </c>
      <c r="J217">
        <v>4</v>
      </c>
      <c r="K217" t="s">
        <v>905</v>
      </c>
      <c r="L217">
        <v>7</v>
      </c>
      <c r="M217">
        <v>1</v>
      </c>
      <c r="N217">
        <v>0.2</v>
      </c>
      <c r="O217" t="b">
        <v>0</v>
      </c>
      <c r="P217">
        <v>43024</v>
      </c>
      <c r="Q217">
        <v>5</v>
      </c>
    </row>
    <row r="218" spans="1:17" x14ac:dyDescent="0.2">
      <c r="A218" t="s">
        <v>1188</v>
      </c>
      <c r="B218" t="s">
        <v>471</v>
      </c>
      <c r="C218" t="s">
        <v>235</v>
      </c>
      <c r="D218" t="s">
        <v>9</v>
      </c>
      <c r="E218" t="s">
        <v>76</v>
      </c>
      <c r="F218" t="s">
        <v>17</v>
      </c>
      <c r="G218">
        <v>92105</v>
      </c>
      <c r="H218" t="s">
        <v>18</v>
      </c>
      <c r="I218">
        <v>41778</v>
      </c>
      <c r="J218">
        <v>4</v>
      </c>
      <c r="K218" t="s">
        <v>1189</v>
      </c>
      <c r="L218">
        <v>8</v>
      </c>
      <c r="M218">
        <v>1</v>
      </c>
      <c r="N218">
        <v>0.1</v>
      </c>
      <c r="O218" t="b">
        <v>0</v>
      </c>
      <c r="P218">
        <v>41772</v>
      </c>
      <c r="Q218">
        <v>6</v>
      </c>
    </row>
    <row r="219" spans="1:17" x14ac:dyDescent="0.2">
      <c r="A219" t="s">
        <v>1190</v>
      </c>
      <c r="B219" t="s">
        <v>533</v>
      </c>
      <c r="C219" t="s">
        <v>324</v>
      </c>
      <c r="D219" t="s">
        <v>9</v>
      </c>
      <c r="E219" t="s">
        <v>145</v>
      </c>
      <c r="F219" t="s">
        <v>119</v>
      </c>
      <c r="G219">
        <v>49201</v>
      </c>
      <c r="H219" t="s">
        <v>12</v>
      </c>
      <c r="I219">
        <v>42646</v>
      </c>
      <c r="J219">
        <v>3</v>
      </c>
      <c r="K219" t="s">
        <v>1191</v>
      </c>
      <c r="L219">
        <v>5</v>
      </c>
      <c r="M219">
        <v>1</v>
      </c>
      <c r="N219">
        <v>0.2</v>
      </c>
      <c r="O219" t="b">
        <v>0</v>
      </c>
      <c r="P219">
        <v>42642</v>
      </c>
      <c r="Q219">
        <v>4</v>
      </c>
    </row>
    <row r="220" spans="1:17" x14ac:dyDescent="0.2">
      <c r="A220" t="s">
        <v>1192</v>
      </c>
      <c r="B220" t="s">
        <v>454</v>
      </c>
      <c r="C220" t="s">
        <v>209</v>
      </c>
      <c r="D220" t="s">
        <v>150</v>
      </c>
      <c r="E220" t="s">
        <v>121</v>
      </c>
      <c r="F220" t="s">
        <v>22</v>
      </c>
      <c r="G220">
        <v>77041</v>
      </c>
      <c r="H220" t="s">
        <v>12</v>
      </c>
      <c r="I220">
        <v>42307</v>
      </c>
      <c r="J220">
        <v>4</v>
      </c>
      <c r="K220" t="s">
        <v>1193</v>
      </c>
      <c r="L220">
        <v>12</v>
      </c>
      <c r="M220">
        <v>1</v>
      </c>
      <c r="N220">
        <v>0.23333333333333334</v>
      </c>
      <c r="O220" t="b">
        <v>0</v>
      </c>
      <c r="P220">
        <v>42301</v>
      </c>
      <c r="Q220">
        <v>6</v>
      </c>
    </row>
    <row r="221" spans="1:17" x14ac:dyDescent="0.2">
      <c r="A221" t="s">
        <v>1196</v>
      </c>
      <c r="B221" t="s">
        <v>486</v>
      </c>
      <c r="C221" t="s">
        <v>256</v>
      </c>
      <c r="D221" t="s">
        <v>150</v>
      </c>
      <c r="E221" t="s">
        <v>25</v>
      </c>
      <c r="F221" t="s">
        <v>26</v>
      </c>
      <c r="G221">
        <v>10024</v>
      </c>
      <c r="H221" t="s">
        <v>27</v>
      </c>
      <c r="I221">
        <v>42976</v>
      </c>
      <c r="J221">
        <v>4</v>
      </c>
      <c r="K221" t="s">
        <v>992</v>
      </c>
      <c r="L221">
        <v>5</v>
      </c>
      <c r="M221">
        <v>1</v>
      </c>
      <c r="N221">
        <v>0.2</v>
      </c>
      <c r="O221" t="b">
        <v>0</v>
      </c>
      <c r="P221">
        <v>42971</v>
      </c>
      <c r="Q221">
        <v>5</v>
      </c>
    </row>
    <row r="222" spans="1:17" x14ac:dyDescent="0.2">
      <c r="A222" t="s">
        <v>1198</v>
      </c>
      <c r="B222" t="s">
        <v>513</v>
      </c>
      <c r="C222" t="s">
        <v>294</v>
      </c>
      <c r="D222" t="s">
        <v>150</v>
      </c>
      <c r="E222" t="s">
        <v>295</v>
      </c>
      <c r="F222" t="s">
        <v>22</v>
      </c>
      <c r="G222">
        <v>75051</v>
      </c>
      <c r="H222" t="s">
        <v>12</v>
      </c>
      <c r="I222">
        <v>41920</v>
      </c>
      <c r="J222">
        <v>4</v>
      </c>
      <c r="K222" t="s">
        <v>1199</v>
      </c>
      <c r="L222">
        <v>2</v>
      </c>
      <c r="M222">
        <v>0</v>
      </c>
      <c r="N222">
        <v>0</v>
      </c>
      <c r="O222" t="b">
        <v>0</v>
      </c>
      <c r="P222">
        <v>41918</v>
      </c>
      <c r="Q222">
        <v>2</v>
      </c>
    </row>
    <row r="223" spans="1:17" x14ac:dyDescent="0.2">
      <c r="A223" t="s">
        <v>1200</v>
      </c>
      <c r="B223" t="s">
        <v>501</v>
      </c>
      <c r="C223" t="s">
        <v>275</v>
      </c>
      <c r="D223" t="s">
        <v>9</v>
      </c>
      <c r="E223" t="s">
        <v>276</v>
      </c>
      <c r="F223" t="s">
        <v>31</v>
      </c>
      <c r="G223">
        <v>85301</v>
      </c>
      <c r="H223" t="s">
        <v>18</v>
      </c>
      <c r="I223">
        <v>42991</v>
      </c>
      <c r="J223">
        <v>4</v>
      </c>
      <c r="K223" t="s">
        <v>1201</v>
      </c>
      <c r="L223">
        <v>2</v>
      </c>
      <c r="M223">
        <v>1</v>
      </c>
      <c r="N223">
        <v>0.2</v>
      </c>
      <c r="O223" t="b">
        <v>0</v>
      </c>
      <c r="P223">
        <v>42987</v>
      </c>
      <c r="Q223">
        <v>4</v>
      </c>
    </row>
    <row r="224" spans="1:17" x14ac:dyDescent="0.2">
      <c r="A224" t="s">
        <v>1202</v>
      </c>
      <c r="B224" t="s">
        <v>416</v>
      </c>
      <c r="C224" t="s">
        <v>148</v>
      </c>
      <c r="D224" t="s">
        <v>90</v>
      </c>
      <c r="E224" t="s">
        <v>85</v>
      </c>
      <c r="F224" t="s">
        <v>86</v>
      </c>
      <c r="G224">
        <v>98103</v>
      </c>
      <c r="H224" t="s">
        <v>18</v>
      </c>
      <c r="I224">
        <v>42134</v>
      </c>
      <c r="J224">
        <v>2</v>
      </c>
      <c r="K224" t="s">
        <v>1203</v>
      </c>
      <c r="L224">
        <v>2</v>
      </c>
      <c r="M224">
        <v>0</v>
      </c>
      <c r="N224">
        <v>0</v>
      </c>
      <c r="O224" t="b">
        <v>0</v>
      </c>
      <c r="P224">
        <v>42132</v>
      </c>
      <c r="Q224">
        <v>2</v>
      </c>
    </row>
    <row r="225" spans="1:17" x14ac:dyDescent="0.2">
      <c r="A225" t="s">
        <v>1204</v>
      </c>
      <c r="B225" t="s">
        <v>444</v>
      </c>
      <c r="C225" t="s">
        <v>195</v>
      </c>
      <c r="D225" t="s">
        <v>9</v>
      </c>
      <c r="E225" t="s">
        <v>16</v>
      </c>
      <c r="F225" t="s">
        <v>17</v>
      </c>
      <c r="G225">
        <v>94109</v>
      </c>
      <c r="H225" t="s">
        <v>18</v>
      </c>
      <c r="I225">
        <v>42349</v>
      </c>
      <c r="J225">
        <v>4</v>
      </c>
      <c r="K225" t="s">
        <v>1205</v>
      </c>
      <c r="L225">
        <v>2</v>
      </c>
      <c r="M225">
        <v>0</v>
      </c>
      <c r="N225">
        <v>0</v>
      </c>
      <c r="O225" t="b">
        <v>0</v>
      </c>
      <c r="P225">
        <v>42344</v>
      </c>
      <c r="Q225">
        <v>5</v>
      </c>
    </row>
    <row r="226" spans="1:17" x14ac:dyDescent="0.2">
      <c r="A226" t="s">
        <v>1206</v>
      </c>
      <c r="B226" t="s">
        <v>400</v>
      </c>
      <c r="C226" t="s">
        <v>115</v>
      </c>
      <c r="D226" t="s">
        <v>9</v>
      </c>
      <c r="E226" t="s">
        <v>25</v>
      </c>
      <c r="F226" t="s">
        <v>26</v>
      </c>
      <c r="G226">
        <v>10011</v>
      </c>
      <c r="H226" t="s">
        <v>27</v>
      </c>
      <c r="I226">
        <v>42407</v>
      </c>
      <c r="J226">
        <v>4</v>
      </c>
      <c r="K226" t="s">
        <v>1207</v>
      </c>
      <c r="L226">
        <v>2</v>
      </c>
      <c r="M226">
        <v>0</v>
      </c>
      <c r="N226">
        <v>0</v>
      </c>
      <c r="O226" t="b">
        <v>1</v>
      </c>
      <c r="P226">
        <v>42402</v>
      </c>
      <c r="Q226">
        <v>5</v>
      </c>
    </row>
    <row r="227" spans="1:17" x14ac:dyDescent="0.2">
      <c r="A227" t="s">
        <v>1208</v>
      </c>
      <c r="B227" t="s">
        <v>556</v>
      </c>
      <c r="C227" t="s">
        <v>360</v>
      </c>
      <c r="D227" t="s">
        <v>90</v>
      </c>
      <c r="E227" t="s">
        <v>38</v>
      </c>
      <c r="F227" t="s">
        <v>17</v>
      </c>
      <c r="G227">
        <v>90004</v>
      </c>
      <c r="H227" t="s">
        <v>18</v>
      </c>
      <c r="I227">
        <v>42830</v>
      </c>
      <c r="J227">
        <v>3</v>
      </c>
      <c r="K227" t="s">
        <v>1209</v>
      </c>
      <c r="L227">
        <v>4</v>
      </c>
      <c r="M227">
        <v>0</v>
      </c>
      <c r="N227">
        <v>0</v>
      </c>
      <c r="O227" t="b">
        <v>0</v>
      </c>
      <c r="P227">
        <v>42827</v>
      </c>
      <c r="Q227">
        <v>3</v>
      </c>
    </row>
    <row r="228" spans="1:17" x14ac:dyDescent="0.2">
      <c r="A228" t="s">
        <v>1210</v>
      </c>
      <c r="B228" t="s">
        <v>496</v>
      </c>
      <c r="C228" t="s">
        <v>269</v>
      </c>
      <c r="D228" t="s">
        <v>150</v>
      </c>
      <c r="E228" t="s">
        <v>270</v>
      </c>
      <c r="F228" t="s">
        <v>95</v>
      </c>
      <c r="G228">
        <v>22153</v>
      </c>
      <c r="H228" t="s">
        <v>47</v>
      </c>
      <c r="I228">
        <v>42144</v>
      </c>
      <c r="J228">
        <v>4</v>
      </c>
      <c r="K228" t="s">
        <v>1211</v>
      </c>
      <c r="L228">
        <v>3</v>
      </c>
      <c r="M228">
        <v>0</v>
      </c>
      <c r="N228">
        <v>0</v>
      </c>
      <c r="O228" t="b">
        <v>0</v>
      </c>
      <c r="P228">
        <v>42139</v>
      </c>
      <c r="Q228">
        <v>5</v>
      </c>
    </row>
    <row r="229" spans="1:17" x14ac:dyDescent="0.2">
      <c r="A229" t="s">
        <v>1212</v>
      </c>
      <c r="B229" t="s">
        <v>455</v>
      </c>
      <c r="C229" t="s">
        <v>210</v>
      </c>
      <c r="D229" t="s">
        <v>150</v>
      </c>
      <c r="E229" t="s">
        <v>118</v>
      </c>
      <c r="F229" t="s">
        <v>119</v>
      </c>
      <c r="G229">
        <v>48234</v>
      </c>
      <c r="H229" t="s">
        <v>12</v>
      </c>
      <c r="I229">
        <v>42013</v>
      </c>
      <c r="J229">
        <v>4</v>
      </c>
      <c r="K229" t="s">
        <v>755</v>
      </c>
      <c r="L229">
        <v>14</v>
      </c>
      <c r="M229">
        <v>0</v>
      </c>
      <c r="N229">
        <v>0</v>
      </c>
      <c r="O229" t="b">
        <v>0</v>
      </c>
      <c r="P229">
        <v>42008</v>
      </c>
      <c r="Q229">
        <v>5</v>
      </c>
    </row>
    <row r="230" spans="1:17" x14ac:dyDescent="0.2">
      <c r="A230" t="s">
        <v>1213</v>
      </c>
      <c r="B230" t="s">
        <v>508</v>
      </c>
      <c r="C230" t="s">
        <v>286</v>
      </c>
      <c r="D230" t="s">
        <v>150</v>
      </c>
      <c r="E230" t="s">
        <v>287</v>
      </c>
      <c r="F230" t="s">
        <v>17</v>
      </c>
      <c r="G230">
        <v>92307</v>
      </c>
      <c r="H230" t="s">
        <v>18</v>
      </c>
      <c r="I230">
        <v>42935</v>
      </c>
      <c r="J230">
        <v>3</v>
      </c>
      <c r="K230" t="s">
        <v>1216</v>
      </c>
      <c r="L230">
        <v>17</v>
      </c>
      <c r="M230">
        <v>1</v>
      </c>
      <c r="N230">
        <v>3.7499999999999999E-2</v>
      </c>
      <c r="O230" t="b">
        <v>0</v>
      </c>
      <c r="P230">
        <v>42933</v>
      </c>
      <c r="Q230">
        <v>2</v>
      </c>
    </row>
    <row r="231" spans="1:17" x14ac:dyDescent="0.2">
      <c r="A231" t="s">
        <v>1218</v>
      </c>
      <c r="B231" t="s">
        <v>481</v>
      </c>
      <c r="C231" t="s">
        <v>248</v>
      </c>
      <c r="D231" t="s">
        <v>90</v>
      </c>
      <c r="E231" t="s">
        <v>41</v>
      </c>
      <c r="F231" t="s">
        <v>42</v>
      </c>
      <c r="G231">
        <v>97301</v>
      </c>
      <c r="H231" t="s">
        <v>18</v>
      </c>
      <c r="I231">
        <v>42725</v>
      </c>
      <c r="J231">
        <v>2</v>
      </c>
      <c r="K231" t="s">
        <v>1224</v>
      </c>
      <c r="L231">
        <v>25</v>
      </c>
      <c r="M231">
        <v>1</v>
      </c>
      <c r="N231">
        <v>0.31428571428571428</v>
      </c>
      <c r="O231" t="b">
        <v>1</v>
      </c>
      <c r="P231">
        <v>42722</v>
      </c>
      <c r="Q231">
        <v>3</v>
      </c>
    </row>
    <row r="232" spans="1:17" x14ac:dyDescent="0.2">
      <c r="A232" t="s">
        <v>1225</v>
      </c>
      <c r="B232" t="s">
        <v>491</v>
      </c>
      <c r="C232" t="s">
        <v>263</v>
      </c>
      <c r="D232" t="s">
        <v>9</v>
      </c>
      <c r="E232" t="s">
        <v>132</v>
      </c>
      <c r="F232" t="s">
        <v>22</v>
      </c>
      <c r="G232">
        <v>75217</v>
      </c>
      <c r="H232" t="s">
        <v>12</v>
      </c>
      <c r="I232">
        <v>42497</v>
      </c>
      <c r="J232">
        <v>3</v>
      </c>
      <c r="K232" t="s">
        <v>1226</v>
      </c>
      <c r="L232">
        <v>2</v>
      </c>
      <c r="M232">
        <v>1</v>
      </c>
      <c r="N232">
        <v>0.2</v>
      </c>
      <c r="O232" t="b">
        <v>0</v>
      </c>
      <c r="P232">
        <v>42495</v>
      </c>
      <c r="Q232">
        <v>2</v>
      </c>
    </row>
    <row r="233" spans="1:17" x14ac:dyDescent="0.2">
      <c r="A233" t="s">
        <v>1227</v>
      </c>
      <c r="B233" t="s">
        <v>464</v>
      </c>
      <c r="C233" t="s">
        <v>223</v>
      </c>
      <c r="D233" t="s">
        <v>90</v>
      </c>
      <c r="E233" t="s">
        <v>153</v>
      </c>
      <c r="F233" t="s">
        <v>124</v>
      </c>
      <c r="G233">
        <v>60623</v>
      </c>
      <c r="H233" t="s">
        <v>12</v>
      </c>
      <c r="I233">
        <v>43026</v>
      </c>
      <c r="J233">
        <v>4</v>
      </c>
      <c r="K233" t="s">
        <v>1229</v>
      </c>
      <c r="L233">
        <v>10</v>
      </c>
      <c r="M233">
        <v>1</v>
      </c>
      <c r="N233">
        <v>0.8</v>
      </c>
      <c r="O233" t="b">
        <v>1</v>
      </c>
      <c r="P233">
        <v>43022</v>
      </c>
      <c r="Q233">
        <v>4</v>
      </c>
    </row>
    <row r="234" spans="1:17" x14ac:dyDescent="0.2">
      <c r="A234" t="s">
        <v>1230</v>
      </c>
      <c r="B234" t="s">
        <v>467</v>
      </c>
      <c r="C234" t="s">
        <v>226</v>
      </c>
      <c r="D234" t="s">
        <v>9</v>
      </c>
      <c r="E234" t="s">
        <v>227</v>
      </c>
      <c r="F234" t="s">
        <v>184</v>
      </c>
      <c r="G234">
        <v>6708</v>
      </c>
      <c r="H234" t="s">
        <v>27</v>
      </c>
      <c r="I234">
        <v>43007</v>
      </c>
      <c r="J234">
        <v>2</v>
      </c>
      <c r="K234" t="s">
        <v>1231</v>
      </c>
      <c r="L234">
        <v>5</v>
      </c>
      <c r="M234">
        <v>0</v>
      </c>
      <c r="N234">
        <v>0</v>
      </c>
      <c r="O234" t="b">
        <v>0</v>
      </c>
      <c r="P234">
        <v>43003</v>
      </c>
      <c r="Q234">
        <v>4</v>
      </c>
    </row>
    <row r="235" spans="1:17" x14ac:dyDescent="0.2">
      <c r="A235" t="s">
        <v>1232</v>
      </c>
      <c r="B235" t="s">
        <v>497</v>
      </c>
      <c r="C235" t="s">
        <v>271</v>
      </c>
      <c r="D235" t="s">
        <v>150</v>
      </c>
      <c r="E235" t="s">
        <v>121</v>
      </c>
      <c r="F235" t="s">
        <v>22</v>
      </c>
      <c r="G235">
        <v>77095</v>
      </c>
      <c r="H235" t="s">
        <v>12</v>
      </c>
      <c r="I235">
        <v>42132</v>
      </c>
      <c r="J235">
        <v>4</v>
      </c>
      <c r="K235" t="s">
        <v>1233</v>
      </c>
      <c r="L235">
        <v>7</v>
      </c>
      <c r="M235">
        <v>1</v>
      </c>
      <c r="N235">
        <v>0.2</v>
      </c>
      <c r="O235" t="b">
        <v>0</v>
      </c>
      <c r="P235">
        <v>42128</v>
      </c>
      <c r="Q235">
        <v>4</v>
      </c>
    </row>
    <row r="236" spans="1:17" x14ac:dyDescent="0.2">
      <c r="A236" t="s">
        <v>1234</v>
      </c>
      <c r="B236" t="s">
        <v>549</v>
      </c>
      <c r="C236" t="s">
        <v>348</v>
      </c>
      <c r="D236" t="s">
        <v>9</v>
      </c>
      <c r="E236" t="s">
        <v>349</v>
      </c>
      <c r="F236" t="s">
        <v>137</v>
      </c>
      <c r="G236">
        <v>44105</v>
      </c>
      <c r="H236" t="s">
        <v>27</v>
      </c>
      <c r="I236">
        <v>42097</v>
      </c>
      <c r="J236">
        <v>3</v>
      </c>
      <c r="K236" t="s">
        <v>1147</v>
      </c>
      <c r="L236">
        <v>2</v>
      </c>
      <c r="M236">
        <v>0</v>
      </c>
      <c r="N236">
        <v>0</v>
      </c>
      <c r="O236" t="b">
        <v>0</v>
      </c>
      <c r="P236">
        <v>42092</v>
      </c>
      <c r="Q236">
        <v>5</v>
      </c>
    </row>
    <row r="237" spans="1:17" x14ac:dyDescent="0.2">
      <c r="A237" t="s">
        <v>1235</v>
      </c>
      <c r="B237" t="s">
        <v>530</v>
      </c>
      <c r="C237" t="s">
        <v>320</v>
      </c>
      <c r="D237" t="s">
        <v>150</v>
      </c>
      <c r="E237" t="s">
        <v>97</v>
      </c>
      <c r="F237" t="s">
        <v>67</v>
      </c>
      <c r="G237">
        <v>19143</v>
      </c>
      <c r="H237" t="s">
        <v>27</v>
      </c>
      <c r="I237">
        <v>42990</v>
      </c>
      <c r="J237">
        <v>3</v>
      </c>
      <c r="K237" t="s">
        <v>1236</v>
      </c>
      <c r="L237">
        <v>6</v>
      </c>
      <c r="M237">
        <v>1</v>
      </c>
      <c r="N237">
        <v>0.2</v>
      </c>
      <c r="O237" t="b">
        <v>0</v>
      </c>
      <c r="P237">
        <v>42986</v>
      </c>
      <c r="Q237">
        <v>4</v>
      </c>
    </row>
    <row r="238" spans="1:17" x14ac:dyDescent="0.2">
      <c r="A238" t="s">
        <v>1237</v>
      </c>
      <c r="B238" t="s">
        <v>529</v>
      </c>
      <c r="C238" t="s">
        <v>319</v>
      </c>
      <c r="D238" t="s">
        <v>9</v>
      </c>
      <c r="E238" t="s">
        <v>38</v>
      </c>
      <c r="F238" t="s">
        <v>17</v>
      </c>
      <c r="G238">
        <v>90045</v>
      </c>
      <c r="H238" t="s">
        <v>18</v>
      </c>
      <c r="I238">
        <v>41961</v>
      </c>
      <c r="J238">
        <v>4</v>
      </c>
      <c r="K238" t="s">
        <v>1238</v>
      </c>
      <c r="L238">
        <v>4</v>
      </c>
      <c r="M238">
        <v>1</v>
      </c>
      <c r="N238">
        <v>0.1</v>
      </c>
      <c r="O238" t="b">
        <v>1</v>
      </c>
      <c r="P238">
        <v>41954</v>
      </c>
      <c r="Q238">
        <v>7</v>
      </c>
    </row>
    <row r="239" spans="1:17" x14ac:dyDescent="0.2">
      <c r="A239" t="s">
        <v>1240</v>
      </c>
      <c r="B239" t="s">
        <v>426</v>
      </c>
      <c r="C239" t="s">
        <v>164</v>
      </c>
      <c r="D239" t="s">
        <v>9</v>
      </c>
      <c r="E239" t="s">
        <v>165</v>
      </c>
      <c r="F239" t="s">
        <v>166</v>
      </c>
      <c r="G239">
        <v>33024</v>
      </c>
      <c r="H239" t="s">
        <v>47</v>
      </c>
      <c r="I239">
        <v>42172</v>
      </c>
      <c r="J239">
        <v>2</v>
      </c>
      <c r="K239" t="s">
        <v>1241</v>
      </c>
      <c r="L239">
        <v>1</v>
      </c>
      <c r="M239">
        <v>1</v>
      </c>
      <c r="N239">
        <v>0.2</v>
      </c>
      <c r="O239" t="b">
        <v>0</v>
      </c>
      <c r="P239">
        <v>42170</v>
      </c>
      <c r="Q239">
        <v>2</v>
      </c>
    </row>
    <row r="240" spans="1:17" x14ac:dyDescent="0.2">
      <c r="A240" t="s">
        <v>1242</v>
      </c>
      <c r="B240" t="s">
        <v>532</v>
      </c>
      <c r="C240" t="s">
        <v>323</v>
      </c>
      <c r="D240" t="s">
        <v>9</v>
      </c>
      <c r="E240" t="s">
        <v>97</v>
      </c>
      <c r="F240" t="s">
        <v>67</v>
      </c>
      <c r="G240">
        <v>19134</v>
      </c>
      <c r="H240" t="s">
        <v>27</v>
      </c>
      <c r="I240">
        <v>41761</v>
      </c>
      <c r="J240">
        <v>4</v>
      </c>
      <c r="K240" t="s">
        <v>1243</v>
      </c>
      <c r="L240">
        <v>3</v>
      </c>
      <c r="M240">
        <v>1</v>
      </c>
      <c r="N240">
        <v>0.2</v>
      </c>
      <c r="O240" t="b">
        <v>0</v>
      </c>
      <c r="P240">
        <v>41761</v>
      </c>
      <c r="Q240">
        <v>0</v>
      </c>
    </row>
    <row r="241" spans="1:17" x14ac:dyDescent="0.2">
      <c r="A241" t="s">
        <v>1244</v>
      </c>
      <c r="B241" t="s">
        <v>497</v>
      </c>
      <c r="C241" t="s">
        <v>271</v>
      </c>
      <c r="D241" t="s">
        <v>150</v>
      </c>
      <c r="E241" t="s">
        <v>121</v>
      </c>
      <c r="F241" t="s">
        <v>22</v>
      </c>
      <c r="G241">
        <v>77095</v>
      </c>
      <c r="H241" t="s">
        <v>12</v>
      </c>
      <c r="I241">
        <v>42227</v>
      </c>
      <c r="J241">
        <v>4</v>
      </c>
      <c r="K241" t="s">
        <v>1246</v>
      </c>
      <c r="L241">
        <v>16</v>
      </c>
      <c r="M241">
        <v>1</v>
      </c>
      <c r="N241">
        <v>0.45</v>
      </c>
      <c r="O241" t="b">
        <v>0</v>
      </c>
      <c r="P241">
        <v>42221</v>
      </c>
      <c r="Q241">
        <v>6</v>
      </c>
    </row>
    <row r="242" spans="1:17" x14ac:dyDescent="0.2">
      <c r="A242" t="s">
        <v>1247</v>
      </c>
      <c r="B242" t="s">
        <v>451</v>
      </c>
      <c r="C242" t="s">
        <v>204</v>
      </c>
      <c r="D242" t="s">
        <v>9</v>
      </c>
      <c r="E242" t="s">
        <v>205</v>
      </c>
      <c r="F242" t="s">
        <v>137</v>
      </c>
      <c r="G242">
        <v>45231</v>
      </c>
      <c r="H242" t="s">
        <v>27</v>
      </c>
      <c r="I242">
        <v>42989</v>
      </c>
      <c r="J242">
        <v>4</v>
      </c>
      <c r="K242" t="s">
        <v>1248</v>
      </c>
      <c r="L242">
        <v>4</v>
      </c>
      <c r="M242">
        <v>0</v>
      </c>
      <c r="N242">
        <v>0</v>
      </c>
      <c r="O242" t="b">
        <v>0</v>
      </c>
      <c r="P242">
        <v>42985</v>
      </c>
      <c r="Q242">
        <v>4</v>
      </c>
    </row>
    <row r="243" spans="1:17" x14ac:dyDescent="0.2">
      <c r="A243" t="s">
        <v>1249</v>
      </c>
      <c r="B243" t="s">
        <v>566</v>
      </c>
      <c r="C243" t="s">
        <v>376</v>
      </c>
      <c r="D243" t="s">
        <v>150</v>
      </c>
      <c r="E243" t="s">
        <v>377</v>
      </c>
      <c r="F243" t="s">
        <v>17</v>
      </c>
      <c r="G243">
        <v>92054</v>
      </c>
      <c r="H243" t="s">
        <v>18</v>
      </c>
      <c r="I243">
        <v>41741</v>
      </c>
      <c r="J243">
        <v>3</v>
      </c>
      <c r="K243" t="s">
        <v>1251</v>
      </c>
      <c r="L243">
        <v>13</v>
      </c>
      <c r="M243">
        <v>0</v>
      </c>
      <c r="N243">
        <v>0</v>
      </c>
      <c r="O243" t="b">
        <v>0</v>
      </c>
      <c r="P243">
        <v>41735</v>
      </c>
      <c r="Q243">
        <v>6</v>
      </c>
    </row>
    <row r="244" spans="1:17" x14ac:dyDescent="0.2">
      <c r="A244" t="s">
        <v>1252</v>
      </c>
      <c r="B244" t="s">
        <v>428</v>
      </c>
      <c r="C244" t="s">
        <v>168</v>
      </c>
      <c r="D244" t="s">
        <v>150</v>
      </c>
      <c r="E244" t="s">
        <v>85</v>
      </c>
      <c r="F244" t="s">
        <v>86</v>
      </c>
      <c r="G244">
        <v>98115</v>
      </c>
      <c r="H244" t="s">
        <v>18</v>
      </c>
      <c r="I244">
        <v>42796</v>
      </c>
      <c r="J244">
        <v>4</v>
      </c>
      <c r="K244" t="s">
        <v>1254</v>
      </c>
      <c r="L244">
        <v>10</v>
      </c>
      <c r="M244">
        <v>1</v>
      </c>
      <c r="N244">
        <v>0.1</v>
      </c>
      <c r="O244" t="b">
        <v>0</v>
      </c>
      <c r="P244">
        <v>42789</v>
      </c>
      <c r="Q244">
        <v>7</v>
      </c>
    </row>
    <row r="245" spans="1:17" x14ac:dyDescent="0.2">
      <c r="A245" t="s">
        <v>1255</v>
      </c>
      <c r="B245" t="s">
        <v>493</v>
      </c>
      <c r="C245" t="s">
        <v>265</v>
      </c>
      <c r="D245" t="s">
        <v>9</v>
      </c>
      <c r="E245" t="s">
        <v>85</v>
      </c>
      <c r="F245" t="s">
        <v>86</v>
      </c>
      <c r="G245">
        <v>98105</v>
      </c>
      <c r="H245" t="s">
        <v>18</v>
      </c>
      <c r="I245">
        <v>42922</v>
      </c>
      <c r="J245">
        <v>3</v>
      </c>
      <c r="K245" t="s">
        <v>1121</v>
      </c>
      <c r="L245">
        <v>1</v>
      </c>
      <c r="M245">
        <v>1</v>
      </c>
      <c r="N245">
        <v>0.2</v>
      </c>
      <c r="O245" t="b">
        <v>0</v>
      </c>
      <c r="P245">
        <v>42922</v>
      </c>
      <c r="Q245">
        <v>0</v>
      </c>
    </row>
    <row r="246" spans="1:17" x14ac:dyDescent="0.2">
      <c r="A246" t="s">
        <v>1256</v>
      </c>
      <c r="B246" t="s">
        <v>70</v>
      </c>
      <c r="C246" t="s">
        <v>71</v>
      </c>
      <c r="D246" t="s">
        <v>9</v>
      </c>
      <c r="E246" t="s">
        <v>72</v>
      </c>
      <c r="F246" t="s">
        <v>73</v>
      </c>
      <c r="G246">
        <v>40324</v>
      </c>
      <c r="H246" t="s">
        <v>47</v>
      </c>
      <c r="I246">
        <v>42621</v>
      </c>
      <c r="J246">
        <v>4</v>
      </c>
      <c r="K246" t="s">
        <v>1258</v>
      </c>
      <c r="L246">
        <v>16</v>
      </c>
      <c r="M246">
        <v>0</v>
      </c>
      <c r="N246">
        <v>0</v>
      </c>
      <c r="O246" t="b">
        <v>0</v>
      </c>
      <c r="P246">
        <v>42617</v>
      </c>
      <c r="Q246">
        <v>4</v>
      </c>
    </row>
    <row r="247" spans="1:17" x14ac:dyDescent="0.2">
      <c r="A247" t="s">
        <v>1260</v>
      </c>
      <c r="B247" t="s">
        <v>476</v>
      </c>
      <c r="C247" t="s">
        <v>241</v>
      </c>
      <c r="D247" t="s">
        <v>150</v>
      </c>
      <c r="E247" t="s">
        <v>242</v>
      </c>
      <c r="F247" t="s">
        <v>53</v>
      </c>
      <c r="G247">
        <v>37918</v>
      </c>
      <c r="H247" t="s">
        <v>47</v>
      </c>
      <c r="I247">
        <v>42879</v>
      </c>
      <c r="J247">
        <v>3</v>
      </c>
      <c r="K247" t="s">
        <v>771</v>
      </c>
      <c r="L247">
        <v>10</v>
      </c>
      <c r="M247">
        <v>1</v>
      </c>
      <c r="N247">
        <v>0.2</v>
      </c>
      <c r="O247" t="b">
        <v>0</v>
      </c>
      <c r="P247">
        <v>42874</v>
      </c>
      <c r="Q247">
        <v>5</v>
      </c>
    </row>
    <row r="248" spans="1:17" x14ac:dyDescent="0.2">
      <c r="A248" t="s">
        <v>1262</v>
      </c>
      <c r="B248" t="s">
        <v>490</v>
      </c>
      <c r="C248" t="s">
        <v>262</v>
      </c>
      <c r="D248" t="s">
        <v>9</v>
      </c>
      <c r="E248" t="s">
        <v>25</v>
      </c>
      <c r="F248" t="s">
        <v>26</v>
      </c>
      <c r="G248">
        <v>10035</v>
      </c>
      <c r="H248" t="s">
        <v>27</v>
      </c>
      <c r="I248">
        <v>42027</v>
      </c>
      <c r="J248">
        <v>4</v>
      </c>
      <c r="K248" t="s">
        <v>1263</v>
      </c>
      <c r="L248">
        <v>8</v>
      </c>
      <c r="M248">
        <v>1</v>
      </c>
      <c r="N248">
        <v>0.2</v>
      </c>
      <c r="O248" t="b">
        <v>0</v>
      </c>
      <c r="P248">
        <v>42021</v>
      </c>
      <c r="Q248">
        <v>6</v>
      </c>
    </row>
    <row r="249" spans="1:17" x14ac:dyDescent="0.2">
      <c r="A249" t="s">
        <v>1264</v>
      </c>
      <c r="B249" t="s">
        <v>542</v>
      </c>
      <c r="C249" t="s">
        <v>337</v>
      </c>
      <c r="D249" t="s">
        <v>9</v>
      </c>
      <c r="E249" t="s">
        <v>153</v>
      </c>
      <c r="F249" t="s">
        <v>124</v>
      </c>
      <c r="G249">
        <v>60653</v>
      </c>
      <c r="H249" t="s">
        <v>12</v>
      </c>
      <c r="I249">
        <v>42629</v>
      </c>
      <c r="J249">
        <v>4</v>
      </c>
      <c r="K249" t="s">
        <v>1265</v>
      </c>
      <c r="L249">
        <v>5</v>
      </c>
      <c r="M249">
        <v>1</v>
      </c>
      <c r="N249">
        <v>0.5</v>
      </c>
      <c r="O249" t="b">
        <v>0</v>
      </c>
      <c r="P249">
        <v>42624</v>
      </c>
      <c r="Q249">
        <v>5</v>
      </c>
    </row>
    <row r="250" spans="1:17" x14ac:dyDescent="0.2">
      <c r="A250" t="s">
        <v>1267</v>
      </c>
      <c r="B250" t="s">
        <v>471</v>
      </c>
      <c r="C250" t="s">
        <v>235</v>
      </c>
      <c r="D250" t="s">
        <v>9</v>
      </c>
      <c r="E250" t="s">
        <v>76</v>
      </c>
      <c r="F250" t="s">
        <v>17</v>
      </c>
      <c r="G250">
        <v>92105</v>
      </c>
      <c r="H250" t="s">
        <v>18</v>
      </c>
      <c r="I250">
        <v>41940</v>
      </c>
      <c r="J250">
        <v>2</v>
      </c>
      <c r="K250" t="s">
        <v>1268</v>
      </c>
      <c r="L250">
        <v>4</v>
      </c>
      <c r="M250">
        <v>1</v>
      </c>
      <c r="N250">
        <v>0.2</v>
      </c>
      <c r="O250" t="b">
        <v>0</v>
      </c>
      <c r="P250">
        <v>41937</v>
      </c>
      <c r="Q250">
        <v>3</v>
      </c>
    </row>
    <row r="251" spans="1:17" x14ac:dyDescent="0.2">
      <c r="A251" t="s">
        <v>1269</v>
      </c>
      <c r="B251" t="s">
        <v>574</v>
      </c>
      <c r="C251" t="s">
        <v>573</v>
      </c>
      <c r="D251" t="s">
        <v>9</v>
      </c>
      <c r="E251" t="s">
        <v>38</v>
      </c>
      <c r="F251" t="s">
        <v>17</v>
      </c>
      <c r="G251">
        <v>90036</v>
      </c>
      <c r="H251" t="s">
        <v>18</v>
      </c>
      <c r="I251">
        <v>42998</v>
      </c>
      <c r="J251">
        <v>4</v>
      </c>
      <c r="K251" t="s">
        <v>1270</v>
      </c>
      <c r="L251">
        <v>5</v>
      </c>
      <c r="M251">
        <v>1</v>
      </c>
      <c r="N251">
        <v>0.2</v>
      </c>
      <c r="O251" t="b">
        <v>0</v>
      </c>
      <c r="P251">
        <v>42993</v>
      </c>
      <c r="Q251">
        <v>5</v>
      </c>
    </row>
    <row r="252" spans="1:17" x14ac:dyDescent="0.2">
      <c r="A252" t="s">
        <v>1271</v>
      </c>
      <c r="B252" t="s">
        <v>519</v>
      </c>
      <c r="C252" t="s">
        <v>304</v>
      </c>
      <c r="D252" t="s">
        <v>150</v>
      </c>
      <c r="E252" t="s">
        <v>38</v>
      </c>
      <c r="F252" t="s">
        <v>17</v>
      </c>
      <c r="G252">
        <v>90045</v>
      </c>
      <c r="H252" t="s">
        <v>18</v>
      </c>
      <c r="I252">
        <v>42601</v>
      </c>
      <c r="J252">
        <v>2</v>
      </c>
      <c r="K252" t="s">
        <v>1272</v>
      </c>
      <c r="L252">
        <v>2</v>
      </c>
      <c r="M252">
        <v>1</v>
      </c>
      <c r="N252">
        <v>0.2</v>
      </c>
      <c r="O252" t="b">
        <v>0</v>
      </c>
      <c r="P252">
        <v>42598</v>
      </c>
      <c r="Q252">
        <v>3</v>
      </c>
    </row>
    <row r="253" spans="1:17" x14ac:dyDescent="0.2">
      <c r="A253" t="s">
        <v>1273</v>
      </c>
      <c r="B253" t="s">
        <v>432</v>
      </c>
      <c r="C253" t="s">
        <v>174</v>
      </c>
      <c r="D253" t="s">
        <v>9</v>
      </c>
      <c r="E253" t="s">
        <v>16</v>
      </c>
      <c r="F253" t="s">
        <v>17</v>
      </c>
      <c r="G253">
        <v>94109</v>
      </c>
      <c r="H253" t="s">
        <v>18</v>
      </c>
      <c r="I253">
        <v>42550</v>
      </c>
      <c r="J253">
        <v>3</v>
      </c>
      <c r="K253" t="s">
        <v>1008</v>
      </c>
      <c r="L253">
        <v>2</v>
      </c>
      <c r="M253">
        <v>1</v>
      </c>
      <c r="N253">
        <v>0.2</v>
      </c>
      <c r="O253" t="b">
        <v>0</v>
      </c>
      <c r="P253">
        <v>42548</v>
      </c>
      <c r="Q253">
        <v>2</v>
      </c>
    </row>
    <row r="254" spans="1:17" x14ac:dyDescent="0.2">
      <c r="A254" t="s">
        <v>1274</v>
      </c>
      <c r="B254" t="s">
        <v>579</v>
      </c>
      <c r="C254" t="s">
        <v>577</v>
      </c>
      <c r="D254" t="s">
        <v>9</v>
      </c>
      <c r="E254" t="s">
        <v>578</v>
      </c>
      <c r="F254" t="s">
        <v>17</v>
      </c>
      <c r="G254">
        <v>95207</v>
      </c>
      <c r="H254" t="s">
        <v>18</v>
      </c>
      <c r="I254">
        <v>42587</v>
      </c>
      <c r="J254">
        <v>3</v>
      </c>
      <c r="K254" t="s">
        <v>1276</v>
      </c>
      <c r="L254">
        <v>15</v>
      </c>
      <c r="M254">
        <v>0</v>
      </c>
      <c r="N254">
        <v>0</v>
      </c>
      <c r="O254" t="b">
        <v>1</v>
      </c>
      <c r="P254">
        <v>42585</v>
      </c>
      <c r="Q254">
        <v>2</v>
      </c>
    </row>
    <row r="255" spans="1:17" x14ac:dyDescent="0.2">
      <c r="A255" t="s">
        <v>1277</v>
      </c>
      <c r="B255" t="s">
        <v>517</v>
      </c>
      <c r="C255" t="s">
        <v>301</v>
      </c>
      <c r="D255" t="s">
        <v>9</v>
      </c>
      <c r="E255" t="s">
        <v>302</v>
      </c>
      <c r="F255" t="s">
        <v>124</v>
      </c>
      <c r="G255">
        <v>60016</v>
      </c>
      <c r="H255" t="s">
        <v>12</v>
      </c>
      <c r="I255">
        <v>42833</v>
      </c>
      <c r="J255">
        <v>4</v>
      </c>
      <c r="K255" t="s">
        <v>1278</v>
      </c>
      <c r="L255">
        <v>4</v>
      </c>
      <c r="M255">
        <v>1</v>
      </c>
      <c r="N255">
        <v>0.2</v>
      </c>
      <c r="O255" t="b">
        <v>0</v>
      </c>
      <c r="P255">
        <v>42829</v>
      </c>
      <c r="Q255">
        <v>4</v>
      </c>
    </row>
    <row r="256" spans="1:17" x14ac:dyDescent="0.2">
      <c r="A256" t="s">
        <v>1279</v>
      </c>
      <c r="B256" t="s">
        <v>579</v>
      </c>
      <c r="C256" t="s">
        <v>577</v>
      </c>
      <c r="D256" t="s">
        <v>9</v>
      </c>
      <c r="E256" t="s">
        <v>578</v>
      </c>
      <c r="F256" t="s">
        <v>17</v>
      </c>
      <c r="G256">
        <v>95207</v>
      </c>
      <c r="H256" t="s">
        <v>18</v>
      </c>
      <c r="I256">
        <v>43095</v>
      </c>
      <c r="J256">
        <v>4</v>
      </c>
      <c r="K256" t="s">
        <v>1281</v>
      </c>
      <c r="L256">
        <v>15</v>
      </c>
      <c r="M256">
        <v>1</v>
      </c>
      <c r="N256">
        <v>0.4</v>
      </c>
      <c r="O256" t="b">
        <v>0</v>
      </c>
      <c r="P256">
        <v>43091</v>
      </c>
      <c r="Q256">
        <v>4</v>
      </c>
    </row>
    <row r="257" spans="1:17" x14ac:dyDescent="0.2">
      <c r="A257" t="s">
        <v>1282</v>
      </c>
      <c r="B257" t="s">
        <v>549</v>
      </c>
      <c r="C257" t="s">
        <v>348</v>
      </c>
      <c r="D257" t="s">
        <v>9</v>
      </c>
      <c r="E257" t="s">
        <v>349</v>
      </c>
      <c r="F257" t="s">
        <v>137</v>
      </c>
      <c r="G257">
        <v>44105</v>
      </c>
      <c r="H257" t="s">
        <v>27</v>
      </c>
      <c r="I257">
        <v>41927</v>
      </c>
      <c r="J257">
        <v>3</v>
      </c>
      <c r="K257" t="s">
        <v>679</v>
      </c>
      <c r="L257">
        <v>1</v>
      </c>
      <c r="M257">
        <v>0</v>
      </c>
      <c r="N257">
        <v>0</v>
      </c>
      <c r="O257" t="b">
        <v>0</v>
      </c>
      <c r="P257">
        <v>41923</v>
      </c>
      <c r="Q257">
        <v>4</v>
      </c>
    </row>
    <row r="258" spans="1:17" x14ac:dyDescent="0.2">
      <c r="A258" t="s">
        <v>1283</v>
      </c>
      <c r="B258" t="s">
        <v>421</v>
      </c>
      <c r="C258" t="s">
        <v>157</v>
      </c>
      <c r="D258" t="s">
        <v>150</v>
      </c>
      <c r="E258" t="s">
        <v>16</v>
      </c>
      <c r="F258" t="s">
        <v>17</v>
      </c>
      <c r="G258">
        <v>94122</v>
      </c>
      <c r="H258" t="s">
        <v>18</v>
      </c>
      <c r="I258">
        <v>42427</v>
      </c>
      <c r="J258">
        <v>4</v>
      </c>
      <c r="K258" t="s">
        <v>1284</v>
      </c>
      <c r="L258">
        <v>6</v>
      </c>
      <c r="M258">
        <v>1</v>
      </c>
      <c r="N258">
        <v>0.2</v>
      </c>
      <c r="O258" t="b">
        <v>0</v>
      </c>
      <c r="P258">
        <v>42423</v>
      </c>
      <c r="Q258">
        <v>4</v>
      </c>
    </row>
    <row r="259" spans="1:17" x14ac:dyDescent="0.2">
      <c r="A259" t="s">
        <v>1285</v>
      </c>
      <c r="B259" t="s">
        <v>556</v>
      </c>
      <c r="C259" t="s">
        <v>360</v>
      </c>
      <c r="D259" t="s">
        <v>90</v>
      </c>
      <c r="E259" t="s">
        <v>38</v>
      </c>
      <c r="F259" t="s">
        <v>17</v>
      </c>
      <c r="G259">
        <v>90004</v>
      </c>
      <c r="H259" t="s">
        <v>18</v>
      </c>
      <c r="I259">
        <v>42255</v>
      </c>
      <c r="J259">
        <v>3</v>
      </c>
      <c r="K259" t="s">
        <v>1286</v>
      </c>
      <c r="L259">
        <v>1</v>
      </c>
      <c r="M259">
        <v>1</v>
      </c>
      <c r="N259">
        <v>0.7</v>
      </c>
      <c r="O259" t="b">
        <v>0</v>
      </c>
      <c r="P259">
        <v>42253</v>
      </c>
      <c r="Q259">
        <v>2</v>
      </c>
    </row>
    <row r="260" spans="1:17" x14ac:dyDescent="0.2">
      <c r="A260" t="s">
        <v>1287</v>
      </c>
      <c r="B260" t="s">
        <v>535</v>
      </c>
      <c r="C260" t="s">
        <v>326</v>
      </c>
      <c r="D260" t="s">
        <v>150</v>
      </c>
      <c r="E260" t="s">
        <v>327</v>
      </c>
      <c r="F260" t="s">
        <v>86</v>
      </c>
      <c r="G260">
        <v>98661</v>
      </c>
      <c r="H260" t="s">
        <v>18</v>
      </c>
      <c r="I260">
        <v>43045</v>
      </c>
      <c r="J260">
        <v>3</v>
      </c>
      <c r="K260" t="s">
        <v>610</v>
      </c>
      <c r="L260">
        <v>2</v>
      </c>
      <c r="M260">
        <v>1</v>
      </c>
      <c r="N260">
        <v>0.2</v>
      </c>
      <c r="O260" t="b">
        <v>0</v>
      </c>
      <c r="P260">
        <v>43041</v>
      </c>
      <c r="Q260">
        <v>4</v>
      </c>
    </row>
    <row r="261" spans="1:17" x14ac:dyDescent="0.2">
      <c r="A261" t="s">
        <v>1288</v>
      </c>
      <c r="B261" t="s">
        <v>557</v>
      </c>
      <c r="C261" t="s">
        <v>361</v>
      </c>
      <c r="D261" t="s">
        <v>9</v>
      </c>
      <c r="E261" t="s">
        <v>362</v>
      </c>
      <c r="F261" t="s">
        <v>53</v>
      </c>
      <c r="G261">
        <v>37211</v>
      </c>
      <c r="H261" t="s">
        <v>47</v>
      </c>
      <c r="I261">
        <v>41951</v>
      </c>
      <c r="J261">
        <v>4</v>
      </c>
      <c r="K261" t="s">
        <v>1290</v>
      </c>
      <c r="L261">
        <v>11</v>
      </c>
      <c r="M261">
        <v>1</v>
      </c>
      <c r="N261">
        <v>0.2</v>
      </c>
      <c r="O261" t="b">
        <v>1</v>
      </c>
      <c r="P261">
        <v>41946</v>
      </c>
      <c r="Q261">
        <v>5</v>
      </c>
    </row>
    <row r="262" spans="1:17" x14ac:dyDescent="0.2">
      <c r="A262" t="s">
        <v>1291</v>
      </c>
      <c r="B262" t="s">
        <v>551</v>
      </c>
      <c r="C262" t="s">
        <v>351</v>
      </c>
      <c r="D262" t="s">
        <v>150</v>
      </c>
      <c r="E262" t="s">
        <v>352</v>
      </c>
      <c r="F262" t="s">
        <v>124</v>
      </c>
      <c r="G262">
        <v>60067</v>
      </c>
      <c r="H262" t="s">
        <v>12</v>
      </c>
      <c r="I262">
        <v>43081</v>
      </c>
      <c r="J262">
        <v>2</v>
      </c>
      <c r="K262" t="s">
        <v>1292</v>
      </c>
      <c r="L262">
        <v>7</v>
      </c>
      <c r="M262">
        <v>1</v>
      </c>
      <c r="N262">
        <v>0.2</v>
      </c>
      <c r="O262" t="b">
        <v>0</v>
      </c>
      <c r="P262">
        <v>43080</v>
      </c>
      <c r="Q262">
        <v>1</v>
      </c>
    </row>
    <row r="263" spans="1:17" x14ac:dyDescent="0.2">
      <c r="A263" t="s">
        <v>1293</v>
      </c>
      <c r="B263" t="s">
        <v>570</v>
      </c>
      <c r="C263" t="s">
        <v>382</v>
      </c>
      <c r="D263" t="s">
        <v>9</v>
      </c>
      <c r="E263" t="s">
        <v>76</v>
      </c>
      <c r="F263" t="s">
        <v>17</v>
      </c>
      <c r="G263">
        <v>92037</v>
      </c>
      <c r="H263" t="s">
        <v>18</v>
      </c>
      <c r="I263">
        <v>42120</v>
      </c>
      <c r="J263">
        <v>4</v>
      </c>
      <c r="K263" t="s">
        <v>693</v>
      </c>
      <c r="L263">
        <v>6</v>
      </c>
      <c r="M263">
        <v>1</v>
      </c>
      <c r="N263">
        <v>0.1</v>
      </c>
      <c r="O263" t="b">
        <v>0</v>
      </c>
      <c r="P263">
        <v>42116</v>
      </c>
      <c r="Q263">
        <v>4</v>
      </c>
    </row>
    <row r="264" spans="1:17" x14ac:dyDescent="0.2">
      <c r="A264" t="s">
        <v>1295</v>
      </c>
      <c r="B264" t="s">
        <v>504</v>
      </c>
      <c r="C264" t="s">
        <v>279</v>
      </c>
      <c r="D264" t="s">
        <v>150</v>
      </c>
      <c r="E264" t="s">
        <v>280</v>
      </c>
      <c r="F264" t="s">
        <v>79</v>
      </c>
      <c r="G264">
        <v>1915</v>
      </c>
      <c r="H264" t="s">
        <v>27</v>
      </c>
      <c r="I264">
        <v>42005</v>
      </c>
      <c r="J264">
        <v>3</v>
      </c>
      <c r="K264" t="s">
        <v>1297</v>
      </c>
      <c r="L264">
        <v>15</v>
      </c>
      <c r="M264">
        <v>0</v>
      </c>
      <c r="N264">
        <v>0</v>
      </c>
      <c r="O264" t="b">
        <v>0</v>
      </c>
      <c r="P264">
        <v>42001</v>
      </c>
      <c r="Q264">
        <v>4</v>
      </c>
    </row>
    <row r="265" spans="1:17" x14ac:dyDescent="0.2">
      <c r="A265" t="s">
        <v>1299</v>
      </c>
      <c r="B265" t="s">
        <v>489</v>
      </c>
      <c r="C265" t="s">
        <v>261</v>
      </c>
      <c r="D265" t="s">
        <v>9</v>
      </c>
      <c r="E265" t="s">
        <v>85</v>
      </c>
      <c r="F265" t="s">
        <v>86</v>
      </c>
      <c r="G265">
        <v>98105</v>
      </c>
      <c r="H265" t="s">
        <v>18</v>
      </c>
      <c r="I265">
        <v>43066</v>
      </c>
      <c r="J265">
        <v>2</v>
      </c>
      <c r="K265" t="s">
        <v>1300</v>
      </c>
      <c r="L265">
        <v>5</v>
      </c>
      <c r="M265">
        <v>1</v>
      </c>
      <c r="N265">
        <v>0.2</v>
      </c>
      <c r="O265" t="b">
        <v>0</v>
      </c>
      <c r="P265">
        <v>43062</v>
      </c>
      <c r="Q265">
        <v>4</v>
      </c>
    </row>
    <row r="266" spans="1:17" x14ac:dyDescent="0.2">
      <c r="A266" t="s">
        <v>1301</v>
      </c>
      <c r="B266" t="s">
        <v>501</v>
      </c>
      <c r="C266" t="s">
        <v>275</v>
      </c>
      <c r="D266" t="s">
        <v>9</v>
      </c>
      <c r="E266" t="s">
        <v>276</v>
      </c>
      <c r="F266" t="s">
        <v>31</v>
      </c>
      <c r="G266">
        <v>85301</v>
      </c>
      <c r="H266" t="s">
        <v>18</v>
      </c>
      <c r="I266">
        <v>42860</v>
      </c>
      <c r="J266">
        <v>4</v>
      </c>
      <c r="K266" t="s">
        <v>1302</v>
      </c>
      <c r="L266">
        <v>1</v>
      </c>
      <c r="M266">
        <v>0</v>
      </c>
      <c r="N266">
        <v>0</v>
      </c>
      <c r="O266" t="b">
        <v>0</v>
      </c>
      <c r="P266">
        <v>42860</v>
      </c>
      <c r="Q266">
        <v>0</v>
      </c>
    </row>
    <row r="267" spans="1:17" x14ac:dyDescent="0.2">
      <c r="A267" t="s">
        <v>1303</v>
      </c>
      <c r="B267" t="s">
        <v>467</v>
      </c>
      <c r="C267" t="s">
        <v>226</v>
      </c>
      <c r="D267" t="s">
        <v>9</v>
      </c>
      <c r="E267" t="s">
        <v>227</v>
      </c>
      <c r="F267" t="s">
        <v>184</v>
      </c>
      <c r="G267">
        <v>6708</v>
      </c>
      <c r="H267" t="s">
        <v>27</v>
      </c>
      <c r="I267">
        <v>42986</v>
      </c>
      <c r="J267">
        <v>2</v>
      </c>
      <c r="K267" t="s">
        <v>1304</v>
      </c>
      <c r="L267">
        <v>5</v>
      </c>
      <c r="M267">
        <v>1</v>
      </c>
      <c r="N267">
        <v>0.6</v>
      </c>
      <c r="O267" t="b">
        <v>0</v>
      </c>
      <c r="P267">
        <v>42981</v>
      </c>
      <c r="Q267">
        <v>5</v>
      </c>
    </row>
    <row r="268" spans="1:17" x14ac:dyDescent="0.2">
      <c r="A268" t="s">
        <v>1305</v>
      </c>
      <c r="B268" t="s">
        <v>563</v>
      </c>
      <c r="C268" t="s">
        <v>372</v>
      </c>
      <c r="D268" t="s">
        <v>90</v>
      </c>
      <c r="E268" t="s">
        <v>16</v>
      </c>
      <c r="F268" t="s">
        <v>17</v>
      </c>
      <c r="G268">
        <v>94110</v>
      </c>
      <c r="H268" t="s">
        <v>18</v>
      </c>
      <c r="I268">
        <v>42653</v>
      </c>
      <c r="J268">
        <v>2</v>
      </c>
      <c r="K268" t="s">
        <v>1306</v>
      </c>
      <c r="L268">
        <v>2</v>
      </c>
      <c r="M268">
        <v>1</v>
      </c>
      <c r="N268">
        <v>0.2</v>
      </c>
      <c r="O268" t="b">
        <v>0</v>
      </c>
      <c r="P268">
        <v>42650</v>
      </c>
      <c r="Q268">
        <v>3</v>
      </c>
    </row>
    <row r="269" spans="1:17" x14ac:dyDescent="0.2">
      <c r="A269" t="s">
        <v>1307</v>
      </c>
      <c r="B269" t="s">
        <v>482</v>
      </c>
      <c r="C269" t="s">
        <v>249</v>
      </c>
      <c r="D269" t="s">
        <v>90</v>
      </c>
      <c r="E269" t="s">
        <v>132</v>
      </c>
      <c r="F269" t="s">
        <v>22</v>
      </c>
      <c r="G269">
        <v>75217</v>
      </c>
      <c r="H269" t="s">
        <v>12</v>
      </c>
      <c r="I269">
        <v>43043</v>
      </c>
      <c r="J269">
        <v>4</v>
      </c>
      <c r="K269" t="s">
        <v>1308</v>
      </c>
      <c r="L269">
        <v>2</v>
      </c>
      <c r="M269">
        <v>1</v>
      </c>
      <c r="N269">
        <v>0.2</v>
      </c>
      <c r="O269" t="b">
        <v>0</v>
      </c>
      <c r="P269">
        <v>43039</v>
      </c>
      <c r="Q269">
        <v>4</v>
      </c>
    </row>
    <row r="270" spans="1:17" x14ac:dyDescent="0.2">
      <c r="A270" t="s">
        <v>1309</v>
      </c>
      <c r="B270" t="s">
        <v>483</v>
      </c>
      <c r="C270" t="s">
        <v>250</v>
      </c>
      <c r="D270" t="s">
        <v>90</v>
      </c>
      <c r="E270" t="s">
        <v>251</v>
      </c>
      <c r="F270" t="s">
        <v>73</v>
      </c>
      <c r="G270">
        <v>40214</v>
      </c>
      <c r="H270" t="s">
        <v>47</v>
      </c>
      <c r="I270">
        <v>42970</v>
      </c>
      <c r="J270">
        <v>4</v>
      </c>
      <c r="K270" t="s">
        <v>966</v>
      </c>
      <c r="L270">
        <v>9</v>
      </c>
      <c r="M270">
        <v>0</v>
      </c>
      <c r="N270">
        <v>0</v>
      </c>
      <c r="O270" t="b">
        <v>0</v>
      </c>
      <c r="P270">
        <v>42964</v>
      </c>
      <c r="Q270">
        <v>6</v>
      </c>
    </row>
    <row r="271" spans="1:17" x14ac:dyDescent="0.2">
      <c r="A271" t="s">
        <v>1311</v>
      </c>
      <c r="B271" t="s">
        <v>505</v>
      </c>
      <c r="C271" t="s">
        <v>281</v>
      </c>
      <c r="D271" t="s">
        <v>150</v>
      </c>
      <c r="E271" t="s">
        <v>282</v>
      </c>
      <c r="F271" t="s">
        <v>283</v>
      </c>
      <c r="G271">
        <v>21215</v>
      </c>
      <c r="H271" t="s">
        <v>27</v>
      </c>
      <c r="I271">
        <v>42872</v>
      </c>
      <c r="J271">
        <v>2</v>
      </c>
      <c r="K271" t="s">
        <v>956</v>
      </c>
      <c r="L271">
        <v>22</v>
      </c>
      <c r="M271">
        <v>0</v>
      </c>
      <c r="N271">
        <v>0</v>
      </c>
      <c r="O271" t="b">
        <v>0</v>
      </c>
      <c r="P271">
        <v>42869</v>
      </c>
      <c r="Q271">
        <v>3</v>
      </c>
    </row>
    <row r="272" spans="1:17" x14ac:dyDescent="0.2">
      <c r="A272" t="s">
        <v>1313</v>
      </c>
      <c r="B272" t="s">
        <v>555</v>
      </c>
      <c r="C272" t="s">
        <v>359</v>
      </c>
      <c r="D272" t="s">
        <v>90</v>
      </c>
      <c r="E272" t="s">
        <v>242</v>
      </c>
      <c r="F272" t="s">
        <v>53</v>
      </c>
      <c r="G272">
        <v>37918</v>
      </c>
      <c r="H272" t="s">
        <v>47</v>
      </c>
      <c r="I272">
        <v>42641</v>
      </c>
      <c r="J272">
        <v>4</v>
      </c>
      <c r="K272" t="s">
        <v>1314</v>
      </c>
      <c r="L272">
        <v>2</v>
      </c>
      <c r="M272">
        <v>0</v>
      </c>
      <c r="N272">
        <v>0</v>
      </c>
      <c r="O272" t="b">
        <v>0</v>
      </c>
      <c r="P272">
        <v>42635</v>
      </c>
      <c r="Q272">
        <v>6</v>
      </c>
    </row>
    <row r="273" spans="1:17" x14ac:dyDescent="0.2">
      <c r="A273" t="s">
        <v>1315</v>
      </c>
      <c r="B273" t="s">
        <v>51</v>
      </c>
      <c r="C273" t="s">
        <v>29</v>
      </c>
      <c r="D273" t="s">
        <v>9</v>
      </c>
      <c r="E273" t="s">
        <v>52</v>
      </c>
      <c r="F273" t="s">
        <v>53</v>
      </c>
      <c r="G273">
        <v>37087</v>
      </c>
      <c r="H273" t="s">
        <v>47</v>
      </c>
      <c r="I273">
        <v>42325</v>
      </c>
      <c r="J273">
        <v>4</v>
      </c>
      <c r="K273" t="s">
        <v>1316</v>
      </c>
      <c r="L273">
        <v>6</v>
      </c>
      <c r="M273">
        <v>1</v>
      </c>
      <c r="N273">
        <v>0.2</v>
      </c>
      <c r="O273" t="b">
        <v>0</v>
      </c>
      <c r="P273">
        <v>42321</v>
      </c>
      <c r="Q273">
        <v>4</v>
      </c>
    </row>
    <row r="274" spans="1:17" x14ac:dyDescent="0.2">
      <c r="A274" t="s">
        <v>1317</v>
      </c>
      <c r="B274" t="s">
        <v>533</v>
      </c>
      <c r="C274" t="s">
        <v>324</v>
      </c>
      <c r="D274" t="s">
        <v>9</v>
      </c>
      <c r="E274" t="s">
        <v>145</v>
      </c>
      <c r="F274" t="s">
        <v>119</v>
      </c>
      <c r="G274">
        <v>49201</v>
      </c>
      <c r="H274" t="s">
        <v>12</v>
      </c>
      <c r="I274">
        <v>42753</v>
      </c>
      <c r="J274">
        <v>3</v>
      </c>
      <c r="K274" t="s">
        <v>1319</v>
      </c>
      <c r="L274">
        <v>14</v>
      </c>
      <c r="M274">
        <v>0</v>
      </c>
      <c r="N274">
        <v>0</v>
      </c>
      <c r="O274" t="b">
        <v>0</v>
      </c>
      <c r="P274">
        <v>42751</v>
      </c>
      <c r="Q274">
        <v>2</v>
      </c>
    </row>
    <row r="275" spans="1:17" x14ac:dyDescent="0.2">
      <c r="A275" t="s">
        <v>1320</v>
      </c>
      <c r="B275" t="s">
        <v>518</v>
      </c>
      <c r="C275" t="s">
        <v>303</v>
      </c>
      <c r="D275" t="s">
        <v>9</v>
      </c>
      <c r="E275" t="s">
        <v>41</v>
      </c>
      <c r="F275" t="s">
        <v>95</v>
      </c>
      <c r="G275">
        <v>24153</v>
      </c>
      <c r="H275" t="s">
        <v>47</v>
      </c>
      <c r="I275">
        <v>42943</v>
      </c>
      <c r="J275">
        <v>4</v>
      </c>
      <c r="K275" t="s">
        <v>1322</v>
      </c>
      <c r="L275">
        <v>29</v>
      </c>
      <c r="M275">
        <v>0</v>
      </c>
      <c r="N275">
        <v>0</v>
      </c>
      <c r="O275" t="b">
        <v>1</v>
      </c>
      <c r="P275">
        <v>42937</v>
      </c>
      <c r="Q275">
        <v>6</v>
      </c>
    </row>
    <row r="276" spans="1:17" x14ac:dyDescent="0.2">
      <c r="A276" t="s">
        <v>1328</v>
      </c>
      <c r="B276" t="s">
        <v>455</v>
      </c>
      <c r="C276" t="s">
        <v>210</v>
      </c>
      <c r="D276" t="s">
        <v>150</v>
      </c>
      <c r="E276" t="s">
        <v>118</v>
      </c>
      <c r="F276" t="s">
        <v>119</v>
      </c>
      <c r="G276">
        <v>48234</v>
      </c>
      <c r="H276" t="s">
        <v>12</v>
      </c>
      <c r="I276">
        <v>42665</v>
      </c>
      <c r="J276">
        <v>2</v>
      </c>
      <c r="K276" t="s">
        <v>1329</v>
      </c>
      <c r="L276">
        <v>3</v>
      </c>
      <c r="M276">
        <v>1</v>
      </c>
      <c r="N276">
        <v>0.2</v>
      </c>
      <c r="O276" t="b">
        <v>0</v>
      </c>
      <c r="P276">
        <v>42663</v>
      </c>
      <c r="Q276">
        <v>2</v>
      </c>
    </row>
    <row r="277" spans="1:17" x14ac:dyDescent="0.2">
      <c r="A277" t="s">
        <v>1330</v>
      </c>
      <c r="B277" t="s">
        <v>503</v>
      </c>
      <c r="C277" t="s">
        <v>278</v>
      </c>
      <c r="D277" t="s">
        <v>150</v>
      </c>
      <c r="E277" t="s">
        <v>270</v>
      </c>
      <c r="F277" t="s">
        <v>95</v>
      </c>
      <c r="G277">
        <v>22153</v>
      </c>
      <c r="H277" t="s">
        <v>47</v>
      </c>
      <c r="I277">
        <v>41945</v>
      </c>
      <c r="J277">
        <v>4</v>
      </c>
      <c r="K277" t="s">
        <v>1331</v>
      </c>
      <c r="L277">
        <v>8</v>
      </c>
      <c r="M277">
        <v>1</v>
      </c>
      <c r="N277">
        <v>0.4</v>
      </c>
      <c r="O277" t="b">
        <v>0</v>
      </c>
      <c r="P277">
        <v>41943</v>
      </c>
      <c r="Q277">
        <v>2</v>
      </c>
    </row>
    <row r="278" spans="1:17" x14ac:dyDescent="0.2">
      <c r="A278" t="s">
        <v>1332</v>
      </c>
      <c r="B278" t="s">
        <v>54</v>
      </c>
      <c r="C278" t="s">
        <v>55</v>
      </c>
      <c r="D278" t="s">
        <v>9</v>
      </c>
      <c r="E278" t="s">
        <v>25</v>
      </c>
      <c r="F278" t="s">
        <v>26</v>
      </c>
      <c r="G278">
        <v>10035</v>
      </c>
      <c r="H278" t="s">
        <v>27</v>
      </c>
      <c r="I278">
        <v>43084</v>
      </c>
      <c r="J278">
        <v>4</v>
      </c>
      <c r="K278" t="s">
        <v>1335</v>
      </c>
      <c r="L278">
        <v>6</v>
      </c>
      <c r="M278">
        <v>1</v>
      </c>
      <c r="N278">
        <v>6.666666666666668E-2</v>
      </c>
      <c r="O278" t="b">
        <v>0</v>
      </c>
      <c r="P278">
        <v>43080</v>
      </c>
      <c r="Q278">
        <v>4</v>
      </c>
    </row>
    <row r="279" spans="1:17" x14ac:dyDescent="0.2">
      <c r="A279" t="s">
        <v>1336</v>
      </c>
      <c r="B279" t="s">
        <v>509</v>
      </c>
      <c r="C279" t="s">
        <v>288</v>
      </c>
      <c r="D279" t="s">
        <v>150</v>
      </c>
      <c r="E279" t="s">
        <v>270</v>
      </c>
      <c r="F279" t="s">
        <v>95</v>
      </c>
      <c r="G279">
        <v>22153</v>
      </c>
      <c r="H279" t="s">
        <v>47</v>
      </c>
      <c r="I279">
        <v>42630</v>
      </c>
      <c r="J279">
        <v>4</v>
      </c>
      <c r="K279" t="s">
        <v>1337</v>
      </c>
      <c r="L279">
        <v>15</v>
      </c>
      <c r="M279">
        <v>0</v>
      </c>
      <c r="N279">
        <v>0</v>
      </c>
      <c r="O279" t="b">
        <v>1</v>
      </c>
      <c r="P279">
        <v>42625</v>
      </c>
      <c r="Q279">
        <v>5</v>
      </c>
    </row>
    <row r="280" spans="1:17" x14ac:dyDescent="0.2">
      <c r="A280" t="s">
        <v>1341</v>
      </c>
      <c r="B280" t="s">
        <v>531</v>
      </c>
      <c r="C280" t="s">
        <v>321</v>
      </c>
      <c r="D280" t="s">
        <v>150</v>
      </c>
      <c r="E280" t="s">
        <v>322</v>
      </c>
      <c r="F280" t="s">
        <v>79</v>
      </c>
      <c r="G280">
        <v>2038</v>
      </c>
      <c r="H280" t="s">
        <v>27</v>
      </c>
      <c r="I280">
        <v>42875</v>
      </c>
      <c r="J280">
        <v>4</v>
      </c>
      <c r="K280" t="s">
        <v>633</v>
      </c>
      <c r="L280">
        <v>2</v>
      </c>
      <c r="M280">
        <v>0</v>
      </c>
      <c r="N280">
        <v>0</v>
      </c>
      <c r="O280" t="b">
        <v>0</v>
      </c>
      <c r="P280">
        <v>42875</v>
      </c>
      <c r="Q280">
        <v>0</v>
      </c>
    </row>
    <row r="281" spans="1:17" x14ac:dyDescent="0.2">
      <c r="A281" t="s">
        <v>1342</v>
      </c>
      <c r="B281" t="s">
        <v>522</v>
      </c>
      <c r="C281" t="s">
        <v>308</v>
      </c>
      <c r="D281" t="s">
        <v>90</v>
      </c>
      <c r="E281" t="s">
        <v>309</v>
      </c>
      <c r="F281" t="s">
        <v>166</v>
      </c>
      <c r="G281">
        <v>33311</v>
      </c>
      <c r="H281" t="s">
        <v>47</v>
      </c>
      <c r="I281">
        <v>43058</v>
      </c>
      <c r="J281">
        <v>1</v>
      </c>
      <c r="K281" t="s">
        <v>1343</v>
      </c>
      <c r="L281">
        <v>10</v>
      </c>
      <c r="M281">
        <v>1</v>
      </c>
      <c r="N281">
        <v>0.30000000000000004</v>
      </c>
      <c r="O281" t="b">
        <v>0</v>
      </c>
      <c r="P281">
        <v>43058</v>
      </c>
      <c r="Q281">
        <v>0</v>
      </c>
    </row>
    <row r="282" spans="1:17" x14ac:dyDescent="0.2">
      <c r="A282" t="s">
        <v>1344</v>
      </c>
      <c r="B282" t="s">
        <v>534</v>
      </c>
      <c r="C282" t="s">
        <v>325</v>
      </c>
      <c r="D282" t="s">
        <v>9</v>
      </c>
      <c r="E282" t="s">
        <v>218</v>
      </c>
      <c r="F282" t="s">
        <v>46</v>
      </c>
      <c r="G282">
        <v>31907</v>
      </c>
      <c r="H282" t="s">
        <v>47</v>
      </c>
      <c r="I282">
        <v>42570</v>
      </c>
      <c r="J282">
        <v>4</v>
      </c>
      <c r="K282" t="s">
        <v>1345</v>
      </c>
      <c r="L282">
        <v>6</v>
      </c>
      <c r="M282">
        <v>0</v>
      </c>
      <c r="N282">
        <v>0</v>
      </c>
      <c r="O282" t="b">
        <v>1</v>
      </c>
      <c r="P282">
        <v>42565</v>
      </c>
      <c r="Q282">
        <v>5</v>
      </c>
    </row>
    <row r="283" spans="1:17" x14ac:dyDescent="0.2">
      <c r="A283" t="s">
        <v>1347</v>
      </c>
      <c r="B283" t="s">
        <v>401</v>
      </c>
      <c r="C283" t="s">
        <v>116</v>
      </c>
      <c r="D283" t="s">
        <v>9</v>
      </c>
      <c r="E283" t="s">
        <v>106</v>
      </c>
      <c r="F283" t="s">
        <v>31</v>
      </c>
      <c r="G283">
        <v>85023</v>
      </c>
      <c r="H283" t="s">
        <v>18</v>
      </c>
      <c r="I283">
        <v>43003</v>
      </c>
      <c r="J283">
        <v>4</v>
      </c>
      <c r="K283" t="s">
        <v>1349</v>
      </c>
      <c r="L283">
        <v>10</v>
      </c>
      <c r="M283">
        <v>1</v>
      </c>
      <c r="N283">
        <v>0.32500000000000001</v>
      </c>
      <c r="O283" t="b">
        <v>0</v>
      </c>
      <c r="P283">
        <v>42997</v>
      </c>
      <c r="Q283">
        <v>6</v>
      </c>
    </row>
    <row r="284" spans="1:17" x14ac:dyDescent="0.2">
      <c r="A284" t="s">
        <v>1351</v>
      </c>
      <c r="B284" t="s">
        <v>450</v>
      </c>
      <c r="C284" t="s">
        <v>203</v>
      </c>
      <c r="D284" t="s">
        <v>150</v>
      </c>
      <c r="E284" t="s">
        <v>16</v>
      </c>
      <c r="F284" t="s">
        <v>17</v>
      </c>
      <c r="G284">
        <v>94122</v>
      </c>
      <c r="H284" t="s">
        <v>18</v>
      </c>
      <c r="I284">
        <v>42334</v>
      </c>
      <c r="J284">
        <v>4</v>
      </c>
      <c r="K284" t="s">
        <v>1352</v>
      </c>
      <c r="L284">
        <v>4</v>
      </c>
      <c r="M284">
        <v>0</v>
      </c>
      <c r="N284">
        <v>0</v>
      </c>
      <c r="O284" t="b">
        <v>0</v>
      </c>
      <c r="P284">
        <v>42327</v>
      </c>
      <c r="Q284">
        <v>7</v>
      </c>
    </row>
    <row r="285" spans="1:17" x14ac:dyDescent="0.2">
      <c r="A285" t="s">
        <v>1353</v>
      </c>
      <c r="B285" t="s">
        <v>528</v>
      </c>
      <c r="C285" t="s">
        <v>317</v>
      </c>
      <c r="D285" t="s">
        <v>9</v>
      </c>
      <c r="E285" t="s">
        <v>318</v>
      </c>
      <c r="F285" t="s">
        <v>315</v>
      </c>
      <c r="G285">
        <v>80219</v>
      </c>
      <c r="H285" t="s">
        <v>18</v>
      </c>
      <c r="I285">
        <v>41878</v>
      </c>
      <c r="J285">
        <v>4</v>
      </c>
      <c r="K285" t="s">
        <v>1356</v>
      </c>
      <c r="L285">
        <v>31</v>
      </c>
      <c r="M285">
        <v>1</v>
      </c>
      <c r="N285">
        <v>0.2</v>
      </c>
      <c r="O285" t="b">
        <v>1</v>
      </c>
      <c r="P285">
        <v>41874</v>
      </c>
      <c r="Q285">
        <v>4</v>
      </c>
    </row>
    <row r="286" spans="1:17" x14ac:dyDescent="0.2">
      <c r="A286" t="s">
        <v>1357</v>
      </c>
      <c r="B286" t="s">
        <v>558</v>
      </c>
      <c r="C286" t="s">
        <v>363</v>
      </c>
      <c r="D286" t="s">
        <v>9</v>
      </c>
      <c r="E286" t="s">
        <v>25</v>
      </c>
      <c r="F286" t="s">
        <v>26</v>
      </c>
      <c r="G286">
        <v>10009</v>
      </c>
      <c r="H286" t="s">
        <v>27</v>
      </c>
      <c r="I286">
        <v>43092</v>
      </c>
      <c r="J286">
        <v>4</v>
      </c>
      <c r="K286" t="s">
        <v>1358</v>
      </c>
      <c r="L286">
        <v>7</v>
      </c>
      <c r="M286">
        <v>1</v>
      </c>
      <c r="N286">
        <v>6.6666666666666666E-2</v>
      </c>
      <c r="O286" t="b">
        <v>0</v>
      </c>
      <c r="P286">
        <v>43086</v>
      </c>
      <c r="Q286">
        <v>6</v>
      </c>
    </row>
    <row r="287" spans="1:17" x14ac:dyDescent="0.2">
      <c r="A287" t="s">
        <v>1360</v>
      </c>
      <c r="B287" t="s">
        <v>551</v>
      </c>
      <c r="C287" t="s">
        <v>351</v>
      </c>
      <c r="D287" t="s">
        <v>150</v>
      </c>
      <c r="E287" t="s">
        <v>352</v>
      </c>
      <c r="F287" t="s">
        <v>124</v>
      </c>
      <c r="G287">
        <v>60067</v>
      </c>
      <c r="H287" t="s">
        <v>12</v>
      </c>
      <c r="I287">
        <v>42516</v>
      </c>
      <c r="J287">
        <v>2</v>
      </c>
      <c r="K287" t="s">
        <v>1362</v>
      </c>
      <c r="L287">
        <v>11</v>
      </c>
      <c r="M287">
        <v>1</v>
      </c>
      <c r="N287">
        <v>0.5</v>
      </c>
      <c r="O287" t="b">
        <v>0</v>
      </c>
      <c r="P287">
        <v>42511</v>
      </c>
      <c r="Q287">
        <v>5</v>
      </c>
    </row>
    <row r="288" spans="1:17" x14ac:dyDescent="0.2">
      <c r="A288" t="s">
        <v>1363</v>
      </c>
      <c r="B288" t="s">
        <v>535</v>
      </c>
      <c r="C288" t="s">
        <v>326</v>
      </c>
      <c r="D288" t="s">
        <v>150</v>
      </c>
      <c r="E288" t="s">
        <v>327</v>
      </c>
      <c r="F288" t="s">
        <v>86</v>
      </c>
      <c r="G288">
        <v>98661</v>
      </c>
      <c r="H288" t="s">
        <v>18</v>
      </c>
      <c r="I288">
        <v>42941</v>
      </c>
      <c r="J288">
        <v>3</v>
      </c>
      <c r="K288" t="s">
        <v>1070</v>
      </c>
      <c r="L288">
        <v>11</v>
      </c>
      <c r="M288">
        <v>1</v>
      </c>
      <c r="N288">
        <v>0.1</v>
      </c>
      <c r="O288" t="b">
        <v>0</v>
      </c>
      <c r="P288">
        <v>42937</v>
      </c>
      <c r="Q288">
        <v>4</v>
      </c>
    </row>
    <row r="289" spans="1:17" x14ac:dyDescent="0.2">
      <c r="A289" t="s">
        <v>1364</v>
      </c>
      <c r="B289" t="s">
        <v>477</v>
      </c>
      <c r="C289" t="s">
        <v>243</v>
      </c>
      <c r="D289" t="s">
        <v>150</v>
      </c>
      <c r="E289" t="s">
        <v>66</v>
      </c>
      <c r="F289" t="s">
        <v>67</v>
      </c>
      <c r="G289">
        <v>19013</v>
      </c>
      <c r="H289" t="s">
        <v>27</v>
      </c>
      <c r="I289">
        <v>43006</v>
      </c>
      <c r="J289">
        <v>2</v>
      </c>
      <c r="K289" t="s">
        <v>1366</v>
      </c>
      <c r="L289">
        <v>7</v>
      </c>
      <c r="M289">
        <v>1</v>
      </c>
      <c r="N289">
        <v>0.44999999999999996</v>
      </c>
      <c r="O289" t="b">
        <v>0</v>
      </c>
      <c r="P289">
        <v>43003</v>
      </c>
      <c r="Q289">
        <v>3</v>
      </c>
    </row>
    <row r="290" spans="1:17" x14ac:dyDescent="0.2">
      <c r="A290" t="s">
        <v>1367</v>
      </c>
      <c r="B290" t="s">
        <v>579</v>
      </c>
      <c r="C290" t="s">
        <v>577</v>
      </c>
      <c r="D290" t="s">
        <v>9</v>
      </c>
      <c r="E290" t="s">
        <v>578</v>
      </c>
      <c r="F290" t="s">
        <v>17</v>
      </c>
      <c r="G290">
        <v>95207</v>
      </c>
      <c r="H290" t="s">
        <v>18</v>
      </c>
      <c r="I290">
        <v>43094</v>
      </c>
      <c r="J290">
        <v>3</v>
      </c>
      <c r="K290" t="s">
        <v>1368</v>
      </c>
      <c r="L290">
        <v>2</v>
      </c>
      <c r="M290">
        <v>1</v>
      </c>
      <c r="N290">
        <v>0.5</v>
      </c>
      <c r="O290" t="b">
        <v>0</v>
      </c>
      <c r="P290">
        <v>43091</v>
      </c>
      <c r="Q290">
        <v>3</v>
      </c>
    </row>
    <row r="291" spans="1:17" x14ac:dyDescent="0.2">
      <c r="A291" t="s">
        <v>1369</v>
      </c>
      <c r="B291" t="s">
        <v>472</v>
      </c>
      <c r="C291" t="s">
        <v>236</v>
      </c>
      <c r="D291" t="s">
        <v>150</v>
      </c>
      <c r="E291" t="s">
        <v>237</v>
      </c>
      <c r="F291" t="s">
        <v>26</v>
      </c>
      <c r="G291">
        <v>12180</v>
      </c>
      <c r="H291" t="s">
        <v>27</v>
      </c>
      <c r="I291">
        <v>41753</v>
      </c>
      <c r="J291">
        <v>3</v>
      </c>
      <c r="K291" t="s">
        <v>1370</v>
      </c>
      <c r="L291">
        <v>11</v>
      </c>
      <c r="M291">
        <v>1</v>
      </c>
      <c r="N291">
        <v>0.1</v>
      </c>
      <c r="O291" t="b">
        <v>0</v>
      </c>
      <c r="P291">
        <v>41751</v>
      </c>
      <c r="Q291">
        <v>2</v>
      </c>
    </row>
    <row r="292" spans="1:17" x14ac:dyDescent="0.2">
      <c r="A292" t="s">
        <v>1371</v>
      </c>
      <c r="B292" t="s">
        <v>460</v>
      </c>
      <c r="C292" t="s">
        <v>217</v>
      </c>
      <c r="D292" t="s">
        <v>9</v>
      </c>
      <c r="E292" t="s">
        <v>218</v>
      </c>
      <c r="F292" t="s">
        <v>46</v>
      </c>
      <c r="G292">
        <v>31907</v>
      </c>
      <c r="H292" t="s">
        <v>47</v>
      </c>
      <c r="I292">
        <v>42389</v>
      </c>
      <c r="J292">
        <v>4</v>
      </c>
      <c r="K292" t="s">
        <v>1372</v>
      </c>
      <c r="L292">
        <v>10</v>
      </c>
      <c r="M292">
        <v>1</v>
      </c>
      <c r="N292">
        <v>0.2</v>
      </c>
      <c r="O292" t="b">
        <v>0</v>
      </c>
      <c r="P292">
        <v>42383</v>
      </c>
      <c r="Q292">
        <v>6</v>
      </c>
    </row>
    <row r="293" spans="1:17" x14ac:dyDescent="0.2">
      <c r="A293" t="s">
        <v>1374</v>
      </c>
      <c r="B293" t="s">
        <v>564</v>
      </c>
      <c r="C293" t="s">
        <v>373</v>
      </c>
      <c r="D293" t="s">
        <v>90</v>
      </c>
      <c r="E293" t="s">
        <v>374</v>
      </c>
      <c r="F293" t="s">
        <v>179</v>
      </c>
      <c r="G293">
        <v>59601</v>
      </c>
      <c r="H293" t="s">
        <v>18</v>
      </c>
      <c r="I293">
        <v>42325</v>
      </c>
      <c r="J293">
        <v>4</v>
      </c>
      <c r="K293" t="s">
        <v>1375</v>
      </c>
      <c r="L293">
        <v>12</v>
      </c>
      <c r="M293">
        <v>1</v>
      </c>
      <c r="N293">
        <v>0.1</v>
      </c>
      <c r="O293" t="b">
        <v>0</v>
      </c>
      <c r="P293">
        <v>42321</v>
      </c>
      <c r="Q293">
        <v>4</v>
      </c>
    </row>
    <row r="294" spans="1:17" x14ac:dyDescent="0.2">
      <c r="A294" t="s">
        <v>1377</v>
      </c>
      <c r="B294" t="s">
        <v>572</v>
      </c>
      <c r="C294" t="s">
        <v>571</v>
      </c>
      <c r="D294" t="s">
        <v>150</v>
      </c>
      <c r="E294" t="s">
        <v>212</v>
      </c>
      <c r="F294" t="s">
        <v>22</v>
      </c>
      <c r="G294">
        <v>77095</v>
      </c>
      <c r="H294" t="s">
        <v>47</v>
      </c>
      <c r="I294">
        <v>41889</v>
      </c>
      <c r="J294">
        <v>4</v>
      </c>
      <c r="K294" t="s">
        <v>1378</v>
      </c>
      <c r="L294">
        <v>6</v>
      </c>
      <c r="M294">
        <v>1</v>
      </c>
      <c r="N294">
        <v>0.4</v>
      </c>
      <c r="O294" t="b">
        <v>0</v>
      </c>
      <c r="P294">
        <v>41884</v>
      </c>
      <c r="Q294">
        <v>5</v>
      </c>
    </row>
    <row r="295" spans="1:17" x14ac:dyDescent="0.2">
      <c r="A295" t="s">
        <v>1379</v>
      </c>
      <c r="B295" t="s">
        <v>498</v>
      </c>
      <c r="C295" t="s">
        <v>272</v>
      </c>
      <c r="D295" t="s">
        <v>150</v>
      </c>
      <c r="E295" t="s">
        <v>118</v>
      </c>
      <c r="F295" t="s">
        <v>119</v>
      </c>
      <c r="G295">
        <v>48205</v>
      </c>
      <c r="H295" t="s">
        <v>12</v>
      </c>
      <c r="I295">
        <v>42371</v>
      </c>
      <c r="J295">
        <v>3</v>
      </c>
      <c r="K295" t="s">
        <v>1380</v>
      </c>
      <c r="L295">
        <v>8</v>
      </c>
      <c r="M295">
        <v>0</v>
      </c>
      <c r="N295">
        <v>0</v>
      </c>
      <c r="O295" t="b">
        <v>0</v>
      </c>
      <c r="P295">
        <v>42369</v>
      </c>
      <c r="Q295">
        <v>2</v>
      </c>
    </row>
    <row r="296" spans="1:17" x14ac:dyDescent="0.2">
      <c r="A296" t="s">
        <v>1381</v>
      </c>
      <c r="B296" t="s">
        <v>530</v>
      </c>
      <c r="C296" t="s">
        <v>320</v>
      </c>
      <c r="D296" t="s">
        <v>150</v>
      </c>
      <c r="E296" t="s">
        <v>97</v>
      </c>
      <c r="F296" t="s">
        <v>67</v>
      </c>
      <c r="G296">
        <v>19143</v>
      </c>
      <c r="H296" t="s">
        <v>27</v>
      </c>
      <c r="I296">
        <v>42007</v>
      </c>
      <c r="J296">
        <v>3</v>
      </c>
      <c r="K296" t="s">
        <v>1382</v>
      </c>
      <c r="L296">
        <v>9</v>
      </c>
      <c r="M296">
        <v>1</v>
      </c>
      <c r="N296">
        <v>0.4</v>
      </c>
      <c r="O296" t="b">
        <v>0</v>
      </c>
      <c r="P296">
        <v>42003</v>
      </c>
      <c r="Q296">
        <v>4</v>
      </c>
    </row>
    <row r="297" spans="1:17" x14ac:dyDescent="0.2">
      <c r="A297" t="s">
        <v>1383</v>
      </c>
      <c r="B297" t="s">
        <v>447</v>
      </c>
      <c r="C297" t="s">
        <v>200</v>
      </c>
      <c r="D297" t="s">
        <v>90</v>
      </c>
      <c r="E297" t="s">
        <v>34</v>
      </c>
      <c r="F297" t="s">
        <v>35</v>
      </c>
      <c r="G297">
        <v>68104</v>
      </c>
      <c r="H297" t="s">
        <v>12</v>
      </c>
      <c r="I297">
        <v>42631</v>
      </c>
      <c r="J297">
        <v>4</v>
      </c>
      <c r="K297" t="s">
        <v>1390</v>
      </c>
      <c r="L297">
        <v>46</v>
      </c>
      <c r="M297">
        <v>0</v>
      </c>
      <c r="N297">
        <v>0</v>
      </c>
      <c r="O297" t="b">
        <v>1</v>
      </c>
      <c r="P297">
        <v>42626</v>
      </c>
      <c r="Q297">
        <v>5</v>
      </c>
    </row>
    <row r="298" spans="1:17" x14ac:dyDescent="0.2">
      <c r="A298" t="s">
        <v>1391</v>
      </c>
      <c r="B298" t="s">
        <v>448</v>
      </c>
      <c r="C298" t="s">
        <v>201</v>
      </c>
      <c r="D298" t="s">
        <v>9</v>
      </c>
      <c r="E298" t="s">
        <v>25</v>
      </c>
      <c r="F298" t="s">
        <v>26</v>
      </c>
      <c r="G298">
        <v>10011</v>
      </c>
      <c r="H298" t="s">
        <v>27</v>
      </c>
      <c r="I298">
        <v>41844</v>
      </c>
      <c r="J298">
        <v>2</v>
      </c>
      <c r="K298" t="s">
        <v>749</v>
      </c>
      <c r="L298">
        <v>2</v>
      </c>
      <c r="M298">
        <v>0</v>
      </c>
      <c r="N298">
        <v>0</v>
      </c>
      <c r="O298" t="b">
        <v>0</v>
      </c>
      <c r="P298">
        <v>41843</v>
      </c>
      <c r="Q298">
        <v>1</v>
      </c>
    </row>
    <row r="299" spans="1:17" x14ac:dyDescent="0.2">
      <c r="A299" t="s">
        <v>1392</v>
      </c>
      <c r="B299" t="s">
        <v>533</v>
      </c>
      <c r="C299" t="s">
        <v>324</v>
      </c>
      <c r="D299" t="s">
        <v>9</v>
      </c>
      <c r="E299" t="s">
        <v>145</v>
      </c>
      <c r="F299" t="s">
        <v>119</v>
      </c>
      <c r="G299">
        <v>49201</v>
      </c>
      <c r="H299" t="s">
        <v>12</v>
      </c>
      <c r="I299">
        <v>42108</v>
      </c>
      <c r="J299">
        <v>3</v>
      </c>
      <c r="K299" t="s">
        <v>1393</v>
      </c>
      <c r="L299">
        <v>6</v>
      </c>
      <c r="M299">
        <v>1</v>
      </c>
      <c r="N299">
        <v>0.1</v>
      </c>
      <c r="O299" t="b">
        <v>0</v>
      </c>
      <c r="P299">
        <v>42105</v>
      </c>
      <c r="Q299">
        <v>3</v>
      </c>
    </row>
    <row r="300" spans="1:17" x14ac:dyDescent="0.2">
      <c r="A300" t="s">
        <v>1395</v>
      </c>
      <c r="B300" t="s">
        <v>498</v>
      </c>
      <c r="C300" t="s">
        <v>272</v>
      </c>
      <c r="D300" t="s">
        <v>150</v>
      </c>
      <c r="E300" t="s">
        <v>118</v>
      </c>
      <c r="F300" t="s">
        <v>119</v>
      </c>
      <c r="G300">
        <v>48205</v>
      </c>
      <c r="H300" t="s">
        <v>12</v>
      </c>
      <c r="I300">
        <v>42513</v>
      </c>
      <c r="J300">
        <v>4</v>
      </c>
      <c r="K300" t="s">
        <v>1396</v>
      </c>
      <c r="L300">
        <v>8</v>
      </c>
      <c r="M300">
        <v>0</v>
      </c>
      <c r="N300">
        <v>0</v>
      </c>
      <c r="O300" t="b">
        <v>0</v>
      </c>
      <c r="P300">
        <v>42509</v>
      </c>
      <c r="Q300">
        <v>4</v>
      </c>
    </row>
    <row r="301" spans="1:17" x14ac:dyDescent="0.2">
      <c r="A301" t="s">
        <v>1397</v>
      </c>
      <c r="B301" t="s">
        <v>23</v>
      </c>
      <c r="C301" t="s">
        <v>24</v>
      </c>
      <c r="D301" t="s">
        <v>9</v>
      </c>
      <c r="E301" t="s">
        <v>25</v>
      </c>
      <c r="F301" t="s">
        <v>26</v>
      </c>
      <c r="G301">
        <v>10011</v>
      </c>
      <c r="H301" t="s">
        <v>27</v>
      </c>
      <c r="I301">
        <v>41902</v>
      </c>
      <c r="J301">
        <v>4</v>
      </c>
      <c r="K301" t="s">
        <v>1398</v>
      </c>
      <c r="L301">
        <v>5</v>
      </c>
      <c r="M301">
        <v>0</v>
      </c>
      <c r="N301">
        <v>0</v>
      </c>
      <c r="O301" t="b">
        <v>1</v>
      </c>
      <c r="P301">
        <v>41897</v>
      </c>
      <c r="Q301">
        <v>5</v>
      </c>
    </row>
    <row r="302" spans="1:17" x14ac:dyDescent="0.2">
      <c r="A302" t="s">
        <v>1400</v>
      </c>
      <c r="B302" t="s">
        <v>429</v>
      </c>
      <c r="C302" t="s">
        <v>169</v>
      </c>
      <c r="D302" t="s">
        <v>150</v>
      </c>
      <c r="E302" t="s">
        <v>97</v>
      </c>
      <c r="F302" t="s">
        <v>67</v>
      </c>
      <c r="G302">
        <v>19143</v>
      </c>
      <c r="H302" t="s">
        <v>27</v>
      </c>
      <c r="I302">
        <v>42267</v>
      </c>
      <c r="J302">
        <v>4</v>
      </c>
      <c r="K302" t="s">
        <v>825</v>
      </c>
      <c r="L302">
        <v>6</v>
      </c>
      <c r="M302">
        <v>1</v>
      </c>
      <c r="N302">
        <v>0.44999999999999996</v>
      </c>
      <c r="O302" t="b">
        <v>0</v>
      </c>
      <c r="P302">
        <v>42262</v>
      </c>
      <c r="Q302">
        <v>5</v>
      </c>
    </row>
    <row r="303" spans="1:17" x14ac:dyDescent="0.2">
      <c r="A303" t="s">
        <v>1402</v>
      </c>
      <c r="B303" t="s">
        <v>74</v>
      </c>
      <c r="C303" t="s">
        <v>75</v>
      </c>
      <c r="D303" t="s">
        <v>9</v>
      </c>
      <c r="E303" t="s">
        <v>76</v>
      </c>
      <c r="F303" t="s">
        <v>17</v>
      </c>
      <c r="G303">
        <v>92105</v>
      </c>
      <c r="H303" t="s">
        <v>18</v>
      </c>
      <c r="I303">
        <v>43048</v>
      </c>
      <c r="J303">
        <v>4</v>
      </c>
      <c r="K303" t="s">
        <v>1403</v>
      </c>
      <c r="L303">
        <v>2</v>
      </c>
      <c r="M303">
        <v>0</v>
      </c>
      <c r="N303">
        <v>0</v>
      </c>
      <c r="O303" t="b">
        <v>0</v>
      </c>
      <c r="P303">
        <v>43044</v>
      </c>
      <c r="Q303">
        <v>4</v>
      </c>
    </row>
    <row r="304" spans="1:17" x14ac:dyDescent="0.2">
      <c r="A304" t="s">
        <v>1404</v>
      </c>
      <c r="B304" t="s">
        <v>576</v>
      </c>
      <c r="C304" t="s">
        <v>575</v>
      </c>
      <c r="D304" t="s">
        <v>9</v>
      </c>
      <c r="E304" t="s">
        <v>251</v>
      </c>
      <c r="F304" t="s">
        <v>73</v>
      </c>
      <c r="G304">
        <v>40214</v>
      </c>
      <c r="H304" t="s">
        <v>47</v>
      </c>
      <c r="I304">
        <v>41773</v>
      </c>
      <c r="J304">
        <v>3</v>
      </c>
      <c r="K304" t="s">
        <v>1406</v>
      </c>
      <c r="L304">
        <v>12</v>
      </c>
      <c r="M304">
        <v>1</v>
      </c>
      <c r="N304">
        <v>0.35</v>
      </c>
      <c r="O304" t="b">
        <v>1</v>
      </c>
      <c r="P304">
        <v>41769</v>
      </c>
      <c r="Q304">
        <v>4</v>
      </c>
    </row>
    <row r="305" spans="1:17" x14ac:dyDescent="0.2">
      <c r="A305" t="s">
        <v>1407</v>
      </c>
      <c r="B305" t="s">
        <v>559</v>
      </c>
      <c r="C305" t="s">
        <v>364</v>
      </c>
      <c r="D305" t="s">
        <v>90</v>
      </c>
      <c r="E305" t="s">
        <v>365</v>
      </c>
      <c r="F305" t="s">
        <v>191</v>
      </c>
      <c r="G305">
        <v>7960</v>
      </c>
      <c r="H305" t="s">
        <v>27</v>
      </c>
      <c r="I305">
        <v>42335</v>
      </c>
      <c r="J305">
        <v>3</v>
      </c>
      <c r="K305" t="s">
        <v>1409</v>
      </c>
      <c r="L305">
        <v>11</v>
      </c>
      <c r="M305">
        <v>0</v>
      </c>
      <c r="N305">
        <v>0</v>
      </c>
      <c r="O305" t="b">
        <v>0</v>
      </c>
      <c r="P305">
        <v>42331</v>
      </c>
      <c r="Q305">
        <v>4</v>
      </c>
    </row>
    <row r="306" spans="1:17" x14ac:dyDescent="0.2">
      <c r="A306" t="s">
        <v>1410</v>
      </c>
      <c r="B306" t="s">
        <v>502</v>
      </c>
      <c r="C306" t="s">
        <v>277</v>
      </c>
      <c r="D306" t="s">
        <v>9</v>
      </c>
      <c r="E306" t="s">
        <v>258</v>
      </c>
      <c r="F306" t="s">
        <v>17</v>
      </c>
      <c r="G306">
        <v>94513</v>
      </c>
      <c r="H306" t="s">
        <v>18</v>
      </c>
      <c r="I306">
        <v>42007</v>
      </c>
      <c r="J306">
        <v>1</v>
      </c>
      <c r="K306" t="s">
        <v>1412</v>
      </c>
      <c r="L306">
        <v>10</v>
      </c>
      <c r="M306">
        <v>1</v>
      </c>
      <c r="N306">
        <v>0.1</v>
      </c>
      <c r="O306" t="b">
        <v>0</v>
      </c>
      <c r="P306">
        <v>42002</v>
      </c>
      <c r="Q306">
        <v>5</v>
      </c>
    </row>
    <row r="307" spans="1:17" x14ac:dyDescent="0.2">
      <c r="A307" t="s">
        <v>1413</v>
      </c>
      <c r="B307" t="s">
        <v>482</v>
      </c>
      <c r="C307" t="s">
        <v>249</v>
      </c>
      <c r="D307" t="s">
        <v>90</v>
      </c>
      <c r="E307" t="s">
        <v>132</v>
      </c>
      <c r="F307" t="s">
        <v>22</v>
      </c>
      <c r="G307">
        <v>75217</v>
      </c>
      <c r="H307" t="s">
        <v>12</v>
      </c>
      <c r="I307">
        <v>42921</v>
      </c>
      <c r="J307">
        <v>4</v>
      </c>
      <c r="K307" t="s">
        <v>1414</v>
      </c>
      <c r="L307">
        <v>9</v>
      </c>
      <c r="M307">
        <v>1</v>
      </c>
      <c r="N307">
        <v>0.5</v>
      </c>
      <c r="O307" t="b">
        <v>1</v>
      </c>
      <c r="P307">
        <v>42918</v>
      </c>
      <c r="Q307">
        <v>3</v>
      </c>
    </row>
    <row r="308" spans="1:17" x14ac:dyDescent="0.2">
      <c r="A308" t="s">
        <v>1416</v>
      </c>
      <c r="B308" t="s">
        <v>60</v>
      </c>
      <c r="C308" t="s">
        <v>61</v>
      </c>
      <c r="D308" t="s">
        <v>9</v>
      </c>
      <c r="E308" t="s">
        <v>30</v>
      </c>
      <c r="F308" t="s">
        <v>63</v>
      </c>
      <c r="G308">
        <v>85204</v>
      </c>
      <c r="H308" t="s">
        <v>18</v>
      </c>
      <c r="I308">
        <v>42615</v>
      </c>
      <c r="J308">
        <v>4</v>
      </c>
      <c r="K308" t="s">
        <v>1382</v>
      </c>
      <c r="L308">
        <v>15</v>
      </c>
      <c r="M308">
        <v>0</v>
      </c>
      <c r="N308">
        <v>0</v>
      </c>
      <c r="O308" t="b">
        <v>0</v>
      </c>
      <c r="P308">
        <v>42608</v>
      </c>
      <c r="Q308">
        <v>7</v>
      </c>
    </row>
    <row r="309" spans="1:17" x14ac:dyDescent="0.2">
      <c r="A309" t="s">
        <v>1420</v>
      </c>
      <c r="B309" t="s">
        <v>530</v>
      </c>
      <c r="C309" t="s">
        <v>320</v>
      </c>
      <c r="D309" t="s">
        <v>150</v>
      </c>
      <c r="E309" t="s">
        <v>97</v>
      </c>
      <c r="F309" t="s">
        <v>67</v>
      </c>
      <c r="G309">
        <v>19143</v>
      </c>
      <c r="H309" t="s">
        <v>27</v>
      </c>
      <c r="I309">
        <v>42261</v>
      </c>
      <c r="J309">
        <v>3</v>
      </c>
      <c r="K309" t="s">
        <v>1421</v>
      </c>
      <c r="L309">
        <v>1</v>
      </c>
      <c r="M309">
        <v>1</v>
      </c>
      <c r="N309">
        <v>0.3</v>
      </c>
      <c r="O309" t="b">
        <v>0</v>
      </c>
      <c r="P309">
        <v>42257</v>
      </c>
      <c r="Q309">
        <v>4</v>
      </c>
    </row>
    <row r="310" spans="1:17" x14ac:dyDescent="0.2">
      <c r="A310" t="s">
        <v>1422</v>
      </c>
      <c r="B310" t="s">
        <v>579</v>
      </c>
      <c r="C310" t="s">
        <v>577</v>
      </c>
      <c r="D310" t="s">
        <v>9</v>
      </c>
      <c r="E310" t="s">
        <v>578</v>
      </c>
      <c r="F310" t="s">
        <v>17</v>
      </c>
      <c r="G310">
        <v>95207</v>
      </c>
      <c r="H310" t="s">
        <v>18</v>
      </c>
      <c r="I310">
        <v>43089</v>
      </c>
      <c r="J310">
        <v>2</v>
      </c>
      <c r="K310" t="s">
        <v>1423</v>
      </c>
      <c r="L310">
        <v>9</v>
      </c>
      <c r="M310">
        <v>1</v>
      </c>
      <c r="N310">
        <v>0.2</v>
      </c>
      <c r="O310" t="b">
        <v>0</v>
      </c>
      <c r="P310">
        <v>43087</v>
      </c>
      <c r="Q310">
        <v>2</v>
      </c>
    </row>
    <row r="311" spans="1:17" x14ac:dyDescent="0.2">
      <c r="A311" t="s">
        <v>1424</v>
      </c>
      <c r="B311" t="s">
        <v>420</v>
      </c>
      <c r="C311" t="s">
        <v>155</v>
      </c>
      <c r="D311" t="s">
        <v>150</v>
      </c>
      <c r="E311" t="s">
        <v>156</v>
      </c>
      <c r="F311" t="s">
        <v>63</v>
      </c>
      <c r="G311">
        <v>28540</v>
      </c>
      <c r="H311" t="s">
        <v>47</v>
      </c>
      <c r="I311">
        <v>42341</v>
      </c>
      <c r="J311">
        <v>2</v>
      </c>
      <c r="K311" t="s">
        <v>1425</v>
      </c>
      <c r="L311">
        <v>2</v>
      </c>
      <c r="M311">
        <v>1</v>
      </c>
      <c r="N311">
        <v>0.2</v>
      </c>
      <c r="O311" t="b">
        <v>0</v>
      </c>
      <c r="P311">
        <v>42338</v>
      </c>
      <c r="Q311">
        <v>3</v>
      </c>
    </row>
    <row r="312" spans="1:17" x14ac:dyDescent="0.2">
      <c r="A312" t="s">
        <v>1426</v>
      </c>
      <c r="B312" t="s">
        <v>477</v>
      </c>
      <c r="C312" t="s">
        <v>243</v>
      </c>
      <c r="D312" t="s">
        <v>150</v>
      </c>
      <c r="E312" t="s">
        <v>66</v>
      </c>
      <c r="F312" t="s">
        <v>67</v>
      </c>
      <c r="G312">
        <v>19013</v>
      </c>
      <c r="H312" t="s">
        <v>27</v>
      </c>
      <c r="I312">
        <v>42361</v>
      </c>
      <c r="J312">
        <v>2</v>
      </c>
      <c r="K312" t="s">
        <v>1006</v>
      </c>
      <c r="L312">
        <v>2</v>
      </c>
      <c r="M312">
        <v>1</v>
      </c>
      <c r="N312">
        <v>0.2</v>
      </c>
      <c r="O312" t="b">
        <v>0</v>
      </c>
      <c r="P312">
        <v>42359</v>
      </c>
      <c r="Q312">
        <v>2</v>
      </c>
    </row>
    <row r="313" spans="1:17" x14ac:dyDescent="0.2">
      <c r="A313" t="s">
        <v>1427</v>
      </c>
      <c r="B313" t="s">
        <v>558</v>
      </c>
      <c r="C313" t="s">
        <v>363</v>
      </c>
      <c r="D313" t="s">
        <v>9</v>
      </c>
      <c r="E313" t="s">
        <v>25</v>
      </c>
      <c r="F313" t="s">
        <v>26</v>
      </c>
      <c r="G313">
        <v>10009</v>
      </c>
      <c r="H313" t="s">
        <v>27</v>
      </c>
      <c r="I313">
        <v>42573</v>
      </c>
      <c r="J313">
        <v>4</v>
      </c>
      <c r="K313" t="s">
        <v>1428</v>
      </c>
      <c r="L313">
        <v>2</v>
      </c>
      <c r="M313">
        <v>0</v>
      </c>
      <c r="N313">
        <v>0</v>
      </c>
      <c r="O313" t="b">
        <v>0</v>
      </c>
      <c r="P313">
        <v>42568</v>
      </c>
      <c r="Q313">
        <v>5</v>
      </c>
    </row>
    <row r="314" spans="1:17" x14ac:dyDescent="0.2">
      <c r="A314" t="s">
        <v>1429</v>
      </c>
      <c r="B314" t="s">
        <v>451</v>
      </c>
      <c r="C314" t="s">
        <v>204</v>
      </c>
      <c r="D314" t="s">
        <v>9</v>
      </c>
      <c r="E314" t="s">
        <v>205</v>
      </c>
      <c r="F314" t="s">
        <v>137</v>
      </c>
      <c r="G314">
        <v>45231</v>
      </c>
      <c r="H314" t="s">
        <v>27</v>
      </c>
      <c r="I314">
        <v>41752</v>
      </c>
      <c r="J314">
        <v>3</v>
      </c>
      <c r="K314" t="s">
        <v>1431</v>
      </c>
      <c r="L314">
        <v>14</v>
      </c>
      <c r="M314">
        <v>0</v>
      </c>
      <c r="N314">
        <v>0</v>
      </c>
      <c r="O314" t="b">
        <v>0</v>
      </c>
      <c r="P314">
        <v>41748</v>
      </c>
      <c r="Q314">
        <v>4</v>
      </c>
    </row>
    <row r="315" spans="1:17" x14ac:dyDescent="0.2">
      <c r="A315" t="s">
        <v>1432</v>
      </c>
      <c r="B315" t="s">
        <v>543</v>
      </c>
      <c r="C315" t="s">
        <v>338</v>
      </c>
      <c r="D315" t="s">
        <v>9</v>
      </c>
      <c r="E315" t="s">
        <v>339</v>
      </c>
      <c r="F315" t="s">
        <v>22</v>
      </c>
      <c r="G315">
        <v>75061</v>
      </c>
      <c r="H315" t="s">
        <v>12</v>
      </c>
      <c r="I315">
        <v>42496</v>
      </c>
      <c r="J315">
        <v>4</v>
      </c>
      <c r="K315" t="s">
        <v>1216</v>
      </c>
      <c r="L315">
        <v>8</v>
      </c>
      <c r="M315">
        <v>1</v>
      </c>
      <c r="N315">
        <v>0.2</v>
      </c>
      <c r="O315" t="b">
        <v>0</v>
      </c>
      <c r="P315">
        <v>42492</v>
      </c>
      <c r="Q315">
        <v>4</v>
      </c>
    </row>
    <row r="316" spans="1:17" x14ac:dyDescent="0.2">
      <c r="A316" t="s">
        <v>1434</v>
      </c>
      <c r="B316" t="s">
        <v>77</v>
      </c>
      <c r="C316" t="s">
        <v>65</v>
      </c>
      <c r="D316" t="s">
        <v>9</v>
      </c>
      <c r="E316" t="s">
        <v>78</v>
      </c>
      <c r="F316" t="s">
        <v>79</v>
      </c>
      <c r="G316">
        <v>1852</v>
      </c>
      <c r="H316" t="s">
        <v>27</v>
      </c>
      <c r="I316">
        <v>41976</v>
      </c>
      <c r="J316">
        <v>2</v>
      </c>
      <c r="K316" t="s">
        <v>1435</v>
      </c>
      <c r="L316">
        <v>7</v>
      </c>
      <c r="M316">
        <v>0</v>
      </c>
      <c r="N316">
        <v>0</v>
      </c>
      <c r="O316" t="b">
        <v>0</v>
      </c>
      <c r="P316">
        <v>41974</v>
      </c>
      <c r="Q316">
        <v>2</v>
      </c>
    </row>
    <row r="317" spans="1:17" x14ac:dyDescent="0.2">
      <c r="A317" t="s">
        <v>1438</v>
      </c>
      <c r="B317" t="s">
        <v>80</v>
      </c>
      <c r="C317" t="s">
        <v>81</v>
      </c>
      <c r="D317" t="s">
        <v>9</v>
      </c>
      <c r="E317" t="s">
        <v>82</v>
      </c>
      <c r="F317" t="s">
        <v>83</v>
      </c>
      <c r="G317">
        <v>73120</v>
      </c>
      <c r="H317" t="s">
        <v>12</v>
      </c>
      <c r="I317">
        <v>42332</v>
      </c>
      <c r="J317">
        <v>4</v>
      </c>
      <c r="K317" t="s">
        <v>1439</v>
      </c>
      <c r="L317">
        <v>12</v>
      </c>
      <c r="M317">
        <v>0</v>
      </c>
      <c r="N317">
        <v>0</v>
      </c>
      <c r="O317" t="b">
        <v>0</v>
      </c>
      <c r="P317">
        <v>42325</v>
      </c>
      <c r="Q317">
        <v>7</v>
      </c>
    </row>
    <row r="318" spans="1:17" x14ac:dyDescent="0.2">
      <c r="A318" t="s">
        <v>1440</v>
      </c>
      <c r="B318" t="s">
        <v>449</v>
      </c>
      <c r="C318" t="s">
        <v>202</v>
      </c>
      <c r="D318" t="s">
        <v>9</v>
      </c>
      <c r="E318" t="s">
        <v>176</v>
      </c>
      <c r="F318" t="s">
        <v>79</v>
      </c>
      <c r="G318">
        <v>1841</v>
      </c>
      <c r="H318" t="s">
        <v>27</v>
      </c>
      <c r="I318">
        <v>42269</v>
      </c>
      <c r="J318">
        <v>2</v>
      </c>
      <c r="K318" t="s">
        <v>1441</v>
      </c>
      <c r="L318">
        <v>6</v>
      </c>
      <c r="M318">
        <v>0</v>
      </c>
      <c r="N318">
        <v>0</v>
      </c>
      <c r="O318" t="b">
        <v>0</v>
      </c>
      <c r="P318">
        <v>42267</v>
      </c>
      <c r="Q318">
        <v>2</v>
      </c>
    </row>
    <row r="319" spans="1:17" x14ac:dyDescent="0.2">
      <c r="A319" t="s">
        <v>1442</v>
      </c>
      <c r="B319" t="s">
        <v>554</v>
      </c>
      <c r="C319" t="s">
        <v>357</v>
      </c>
      <c r="D319" t="s">
        <v>90</v>
      </c>
      <c r="E319" t="s">
        <v>358</v>
      </c>
      <c r="F319" t="s">
        <v>166</v>
      </c>
      <c r="G319">
        <v>33437</v>
      </c>
      <c r="H319" t="s">
        <v>47</v>
      </c>
      <c r="I319">
        <v>41986</v>
      </c>
      <c r="J319">
        <v>4</v>
      </c>
      <c r="K319" t="s">
        <v>1443</v>
      </c>
      <c r="L319">
        <v>7</v>
      </c>
      <c r="M319">
        <v>0</v>
      </c>
      <c r="N319">
        <v>0</v>
      </c>
      <c r="O319" t="b">
        <v>0</v>
      </c>
      <c r="P319">
        <v>41980</v>
      </c>
      <c r="Q319">
        <v>6</v>
      </c>
    </row>
    <row r="320" spans="1:17" x14ac:dyDescent="0.2">
      <c r="A320" t="s">
        <v>1444</v>
      </c>
      <c r="B320" t="s">
        <v>570</v>
      </c>
      <c r="C320" t="s">
        <v>382</v>
      </c>
      <c r="D320" t="s">
        <v>9</v>
      </c>
      <c r="E320" t="s">
        <v>76</v>
      </c>
      <c r="F320" t="s">
        <v>17</v>
      </c>
      <c r="G320">
        <v>92037</v>
      </c>
      <c r="H320" t="s">
        <v>18</v>
      </c>
      <c r="I320">
        <v>42410</v>
      </c>
      <c r="J320">
        <v>4</v>
      </c>
      <c r="K320" t="s">
        <v>1446</v>
      </c>
      <c r="L320">
        <v>14</v>
      </c>
      <c r="M320">
        <v>1</v>
      </c>
      <c r="N320">
        <v>0.1</v>
      </c>
      <c r="O320" t="b">
        <v>0</v>
      </c>
      <c r="P320">
        <v>42405</v>
      </c>
      <c r="Q320">
        <v>5</v>
      </c>
    </row>
    <row r="321" spans="1:17" x14ac:dyDescent="0.2">
      <c r="A321" t="s">
        <v>1447</v>
      </c>
      <c r="B321" t="s">
        <v>461</v>
      </c>
      <c r="C321" t="s">
        <v>219</v>
      </c>
      <c r="D321" t="s">
        <v>9</v>
      </c>
      <c r="E321" t="s">
        <v>41</v>
      </c>
      <c r="F321" t="s">
        <v>95</v>
      </c>
      <c r="G321">
        <v>24153</v>
      </c>
      <c r="H321" t="s">
        <v>47</v>
      </c>
      <c r="I321">
        <v>42900</v>
      </c>
      <c r="J321">
        <v>4</v>
      </c>
      <c r="K321" t="s">
        <v>1448</v>
      </c>
      <c r="L321">
        <v>4</v>
      </c>
      <c r="M321">
        <v>0</v>
      </c>
      <c r="N321">
        <v>0</v>
      </c>
      <c r="O321" t="b">
        <v>0</v>
      </c>
      <c r="P321">
        <v>42895</v>
      </c>
      <c r="Q321">
        <v>5</v>
      </c>
    </row>
    <row r="322" spans="1:17" x14ac:dyDescent="0.2">
      <c r="A322" t="s">
        <v>1449</v>
      </c>
      <c r="B322" t="s">
        <v>498</v>
      </c>
      <c r="C322" t="s">
        <v>272</v>
      </c>
      <c r="D322" t="s">
        <v>150</v>
      </c>
      <c r="E322" t="s">
        <v>118</v>
      </c>
      <c r="F322" t="s">
        <v>119</v>
      </c>
      <c r="G322">
        <v>48205</v>
      </c>
      <c r="H322" t="s">
        <v>12</v>
      </c>
      <c r="I322">
        <v>42587</v>
      </c>
      <c r="J322">
        <v>4</v>
      </c>
      <c r="K322" t="s">
        <v>1450</v>
      </c>
      <c r="L322">
        <v>7</v>
      </c>
      <c r="M322">
        <v>1</v>
      </c>
      <c r="N322">
        <v>0.2</v>
      </c>
      <c r="O322" t="b">
        <v>0</v>
      </c>
      <c r="P322">
        <v>42582</v>
      </c>
      <c r="Q322">
        <v>5</v>
      </c>
    </row>
    <row r="323" spans="1:17" x14ac:dyDescent="0.2">
      <c r="A323" t="s">
        <v>1451</v>
      </c>
      <c r="B323" t="s">
        <v>393</v>
      </c>
      <c r="C323" t="s">
        <v>101</v>
      </c>
      <c r="D323" t="s">
        <v>90</v>
      </c>
      <c r="E323" t="s">
        <v>85</v>
      </c>
      <c r="F323" t="s">
        <v>86</v>
      </c>
      <c r="G323">
        <v>98105</v>
      </c>
      <c r="H323" t="s">
        <v>18</v>
      </c>
      <c r="I323">
        <v>43052</v>
      </c>
      <c r="J323">
        <v>4</v>
      </c>
      <c r="K323" t="s">
        <v>1452</v>
      </c>
      <c r="L323">
        <v>12</v>
      </c>
      <c r="M323">
        <v>1</v>
      </c>
      <c r="N323">
        <v>6.6666666666666666E-2</v>
      </c>
      <c r="O323" t="b">
        <v>1</v>
      </c>
      <c r="P323">
        <v>43045</v>
      </c>
      <c r="Q323">
        <v>7</v>
      </c>
    </row>
    <row r="324" spans="1:17" x14ac:dyDescent="0.2">
      <c r="A324" t="s">
        <v>1453</v>
      </c>
      <c r="B324" t="s">
        <v>468</v>
      </c>
      <c r="C324" t="s">
        <v>228</v>
      </c>
      <c r="D324" t="s">
        <v>150</v>
      </c>
      <c r="E324" t="s">
        <v>229</v>
      </c>
      <c r="F324" t="s">
        <v>230</v>
      </c>
      <c r="G324">
        <v>89115</v>
      </c>
      <c r="H324" t="s">
        <v>18</v>
      </c>
      <c r="I324">
        <v>42264</v>
      </c>
      <c r="J324">
        <v>3</v>
      </c>
      <c r="K324" t="s">
        <v>1454</v>
      </c>
      <c r="L324">
        <v>5</v>
      </c>
      <c r="M324">
        <v>1</v>
      </c>
      <c r="N324">
        <v>0.25</v>
      </c>
      <c r="O324" t="b">
        <v>0</v>
      </c>
      <c r="P324">
        <v>42260</v>
      </c>
      <c r="Q324">
        <v>4</v>
      </c>
    </row>
    <row r="325" spans="1:17" x14ac:dyDescent="0.2">
      <c r="A325" t="s">
        <v>1455</v>
      </c>
      <c r="B325" t="s">
        <v>445</v>
      </c>
      <c r="C325" t="s">
        <v>196</v>
      </c>
      <c r="D325" t="s">
        <v>9</v>
      </c>
      <c r="E325" t="s">
        <v>153</v>
      </c>
      <c r="F325" t="s">
        <v>124</v>
      </c>
      <c r="G325">
        <v>60610</v>
      </c>
      <c r="H325" t="s">
        <v>12</v>
      </c>
      <c r="I325">
        <v>42855</v>
      </c>
      <c r="J325">
        <v>4</v>
      </c>
      <c r="K325" t="s">
        <v>1456</v>
      </c>
      <c r="L325">
        <v>6</v>
      </c>
      <c r="M325">
        <v>1</v>
      </c>
      <c r="N325">
        <v>0.5</v>
      </c>
      <c r="O325" t="b">
        <v>0</v>
      </c>
      <c r="P325">
        <v>42849</v>
      </c>
      <c r="Q325">
        <v>6</v>
      </c>
    </row>
    <row r="326" spans="1:17" x14ac:dyDescent="0.2">
      <c r="A326" t="s">
        <v>1457</v>
      </c>
      <c r="B326" t="s">
        <v>385</v>
      </c>
      <c r="C326" t="s">
        <v>84</v>
      </c>
      <c r="D326" t="s">
        <v>9</v>
      </c>
      <c r="E326" t="s">
        <v>87</v>
      </c>
      <c r="F326" t="s">
        <v>22</v>
      </c>
      <c r="G326">
        <v>76017</v>
      </c>
      <c r="H326" t="s">
        <v>12</v>
      </c>
      <c r="I326">
        <v>41694</v>
      </c>
      <c r="J326">
        <v>4</v>
      </c>
      <c r="K326" t="s">
        <v>1348</v>
      </c>
      <c r="L326">
        <v>2</v>
      </c>
      <c r="M326">
        <v>1</v>
      </c>
      <c r="N326">
        <v>0.2</v>
      </c>
      <c r="O326" t="b">
        <v>0</v>
      </c>
      <c r="P326">
        <v>41688</v>
      </c>
      <c r="Q326">
        <v>6</v>
      </c>
    </row>
    <row r="327" spans="1:17" x14ac:dyDescent="0.2">
      <c r="A327" t="s">
        <v>1458</v>
      </c>
      <c r="B327" t="s">
        <v>517</v>
      </c>
      <c r="C327" t="s">
        <v>301</v>
      </c>
      <c r="D327" t="s">
        <v>9</v>
      </c>
      <c r="E327" t="s">
        <v>302</v>
      </c>
      <c r="F327" t="s">
        <v>124</v>
      </c>
      <c r="G327">
        <v>60016</v>
      </c>
      <c r="H327" t="s">
        <v>12</v>
      </c>
      <c r="I327">
        <v>42264</v>
      </c>
      <c r="J327">
        <v>4</v>
      </c>
      <c r="K327" t="s">
        <v>1459</v>
      </c>
      <c r="L327">
        <v>4</v>
      </c>
      <c r="M327">
        <v>1</v>
      </c>
      <c r="N327">
        <v>0.7</v>
      </c>
      <c r="O327" t="b">
        <v>0</v>
      </c>
      <c r="P327">
        <v>42260</v>
      </c>
      <c r="Q327">
        <v>4</v>
      </c>
    </row>
    <row r="328" spans="1:17" x14ac:dyDescent="0.2">
      <c r="A328" t="s">
        <v>1460</v>
      </c>
      <c r="B328" t="s">
        <v>512</v>
      </c>
      <c r="C328" t="s">
        <v>292</v>
      </c>
      <c r="D328" t="s">
        <v>9</v>
      </c>
      <c r="E328" t="s">
        <v>293</v>
      </c>
      <c r="F328" t="s">
        <v>26</v>
      </c>
      <c r="G328">
        <v>14609</v>
      </c>
      <c r="H328" t="s">
        <v>27</v>
      </c>
      <c r="I328">
        <v>42008</v>
      </c>
      <c r="J328">
        <v>4</v>
      </c>
      <c r="K328" t="s">
        <v>726</v>
      </c>
      <c r="L328">
        <v>10</v>
      </c>
      <c r="M328">
        <v>1</v>
      </c>
      <c r="N328">
        <v>0.1</v>
      </c>
      <c r="O328" t="b">
        <v>1</v>
      </c>
      <c r="P328">
        <v>42003</v>
      </c>
      <c r="Q328">
        <v>5</v>
      </c>
    </row>
    <row r="329" spans="1:17" x14ac:dyDescent="0.2">
      <c r="A329" t="s">
        <v>1462</v>
      </c>
      <c r="B329" t="s">
        <v>432</v>
      </c>
      <c r="C329" t="s">
        <v>174</v>
      </c>
      <c r="D329" t="s">
        <v>9</v>
      </c>
      <c r="E329" t="s">
        <v>16</v>
      </c>
      <c r="F329" t="s">
        <v>17</v>
      </c>
      <c r="G329">
        <v>94109</v>
      </c>
      <c r="H329" t="s">
        <v>18</v>
      </c>
      <c r="I329">
        <v>42448</v>
      </c>
      <c r="J329">
        <v>3</v>
      </c>
      <c r="K329" t="s">
        <v>1463</v>
      </c>
      <c r="L329">
        <v>2</v>
      </c>
      <c r="M329">
        <v>1</v>
      </c>
      <c r="N329">
        <v>0.2</v>
      </c>
      <c r="O329" t="b">
        <v>0</v>
      </c>
      <c r="P329">
        <v>42446</v>
      </c>
      <c r="Q329">
        <v>2</v>
      </c>
    </row>
    <row r="330" spans="1:17" x14ac:dyDescent="0.2">
      <c r="A330" t="s">
        <v>1464</v>
      </c>
      <c r="B330" t="s">
        <v>478</v>
      </c>
      <c r="C330" t="s">
        <v>244</v>
      </c>
      <c r="D330" t="s">
        <v>150</v>
      </c>
      <c r="E330" t="s">
        <v>87</v>
      </c>
      <c r="F330" t="s">
        <v>22</v>
      </c>
      <c r="G330">
        <v>76017</v>
      </c>
      <c r="H330" t="s">
        <v>12</v>
      </c>
      <c r="I330">
        <v>42725</v>
      </c>
      <c r="J330">
        <v>4</v>
      </c>
      <c r="K330" t="s">
        <v>1465</v>
      </c>
      <c r="L330">
        <v>13</v>
      </c>
      <c r="M330">
        <v>1</v>
      </c>
      <c r="N330">
        <v>0.2</v>
      </c>
      <c r="O330" t="b">
        <v>0</v>
      </c>
      <c r="P330">
        <v>42721</v>
      </c>
      <c r="Q330">
        <v>4</v>
      </c>
    </row>
    <row r="331" spans="1:17" x14ac:dyDescent="0.2">
      <c r="A331" t="s">
        <v>1466</v>
      </c>
      <c r="B331" t="s">
        <v>517</v>
      </c>
      <c r="C331" t="s">
        <v>301</v>
      </c>
      <c r="D331" t="s">
        <v>9</v>
      </c>
      <c r="E331" t="s">
        <v>302</v>
      </c>
      <c r="F331" t="s">
        <v>124</v>
      </c>
      <c r="G331">
        <v>60016</v>
      </c>
      <c r="H331" t="s">
        <v>12</v>
      </c>
      <c r="I331">
        <v>42273</v>
      </c>
      <c r="J331">
        <v>4</v>
      </c>
      <c r="K331" t="s">
        <v>1467</v>
      </c>
      <c r="L331">
        <v>11</v>
      </c>
      <c r="M331">
        <v>1</v>
      </c>
      <c r="N331">
        <v>0.2</v>
      </c>
      <c r="O331" t="b">
        <v>0</v>
      </c>
      <c r="P331">
        <v>42267</v>
      </c>
      <c r="Q331">
        <v>6</v>
      </c>
    </row>
    <row r="332" spans="1:17" x14ac:dyDescent="0.2">
      <c r="A332" t="s">
        <v>1468</v>
      </c>
      <c r="B332" t="s">
        <v>501</v>
      </c>
      <c r="C332" t="s">
        <v>275</v>
      </c>
      <c r="D332" t="s">
        <v>9</v>
      </c>
      <c r="E332" t="s">
        <v>276</v>
      </c>
      <c r="F332" t="s">
        <v>31</v>
      </c>
      <c r="G332">
        <v>85301</v>
      </c>
      <c r="H332" t="s">
        <v>18</v>
      </c>
      <c r="I332">
        <v>41759</v>
      </c>
      <c r="J332">
        <v>4</v>
      </c>
      <c r="K332" t="s">
        <v>1469</v>
      </c>
      <c r="L332">
        <v>5</v>
      </c>
      <c r="M332">
        <v>1</v>
      </c>
      <c r="N332">
        <v>0.2</v>
      </c>
      <c r="O332" t="b">
        <v>0</v>
      </c>
      <c r="P332">
        <v>41757</v>
      </c>
      <c r="Q332">
        <v>2</v>
      </c>
    </row>
    <row r="333" spans="1:17" x14ac:dyDescent="0.2">
      <c r="A333" t="s">
        <v>1470</v>
      </c>
      <c r="B333" t="s">
        <v>560</v>
      </c>
      <c r="C333" t="s">
        <v>366</v>
      </c>
      <c r="D333" t="s">
        <v>9</v>
      </c>
      <c r="E333" t="s">
        <v>367</v>
      </c>
      <c r="F333" t="s">
        <v>184</v>
      </c>
      <c r="G333">
        <v>6010</v>
      </c>
      <c r="H333" t="s">
        <v>27</v>
      </c>
      <c r="I333">
        <v>41886</v>
      </c>
      <c r="J333">
        <v>1</v>
      </c>
      <c r="K333" t="s">
        <v>801</v>
      </c>
      <c r="L333">
        <v>8</v>
      </c>
      <c r="M333">
        <v>0</v>
      </c>
      <c r="N333">
        <v>0</v>
      </c>
      <c r="O333" t="b">
        <v>0</v>
      </c>
      <c r="P333">
        <v>41881</v>
      </c>
      <c r="Q333">
        <v>5</v>
      </c>
    </row>
    <row r="334" spans="1:17" x14ac:dyDescent="0.2">
      <c r="A334" t="s">
        <v>1472</v>
      </c>
      <c r="B334" t="s">
        <v>574</v>
      </c>
      <c r="C334" t="s">
        <v>573</v>
      </c>
      <c r="D334" t="s">
        <v>9</v>
      </c>
      <c r="E334" t="s">
        <v>38</v>
      </c>
      <c r="F334" t="s">
        <v>17</v>
      </c>
      <c r="G334">
        <v>90036</v>
      </c>
      <c r="H334" t="s">
        <v>18</v>
      </c>
      <c r="I334">
        <v>42139</v>
      </c>
      <c r="J334">
        <v>4</v>
      </c>
      <c r="K334" t="s">
        <v>1241</v>
      </c>
      <c r="L334">
        <v>4</v>
      </c>
      <c r="M334">
        <v>1</v>
      </c>
      <c r="N334">
        <v>0.2</v>
      </c>
      <c r="O334" t="b">
        <v>0</v>
      </c>
      <c r="P334">
        <v>42134</v>
      </c>
      <c r="Q334">
        <v>5</v>
      </c>
    </row>
    <row r="335" spans="1:17" x14ac:dyDescent="0.2">
      <c r="A335" t="s">
        <v>1473</v>
      </c>
      <c r="B335" t="s">
        <v>552</v>
      </c>
      <c r="C335" t="s">
        <v>353</v>
      </c>
      <c r="D335" t="s">
        <v>150</v>
      </c>
      <c r="E335" t="s">
        <v>354</v>
      </c>
      <c r="F335" t="s">
        <v>104</v>
      </c>
      <c r="G335">
        <v>46060</v>
      </c>
      <c r="H335" t="s">
        <v>12</v>
      </c>
      <c r="I335">
        <v>42691</v>
      </c>
      <c r="J335">
        <v>4</v>
      </c>
      <c r="K335" t="s">
        <v>1474</v>
      </c>
      <c r="L335">
        <v>6</v>
      </c>
      <c r="M335">
        <v>0</v>
      </c>
      <c r="N335">
        <v>0</v>
      </c>
      <c r="O335" t="b">
        <v>0</v>
      </c>
      <c r="P335">
        <v>42685</v>
      </c>
      <c r="Q335">
        <v>6</v>
      </c>
    </row>
    <row r="336" spans="1:17" x14ac:dyDescent="0.2">
      <c r="A336" t="s">
        <v>1475</v>
      </c>
      <c r="B336" t="s">
        <v>559</v>
      </c>
      <c r="C336" t="s">
        <v>364</v>
      </c>
      <c r="D336" t="s">
        <v>90</v>
      </c>
      <c r="E336" t="s">
        <v>365</v>
      </c>
      <c r="F336" t="s">
        <v>191</v>
      </c>
      <c r="G336">
        <v>7960</v>
      </c>
      <c r="H336" t="s">
        <v>27</v>
      </c>
      <c r="I336">
        <v>42927</v>
      </c>
      <c r="J336">
        <v>3</v>
      </c>
      <c r="K336" t="s">
        <v>1476</v>
      </c>
      <c r="L336">
        <v>3</v>
      </c>
      <c r="M336">
        <v>0</v>
      </c>
      <c r="N336">
        <v>0</v>
      </c>
      <c r="O336" t="b">
        <v>0</v>
      </c>
      <c r="P336">
        <v>42923</v>
      </c>
      <c r="Q336">
        <v>4</v>
      </c>
    </row>
    <row r="337" spans="1:17" x14ac:dyDescent="0.2">
      <c r="A337" t="s">
        <v>1477</v>
      </c>
      <c r="B337" t="s">
        <v>546</v>
      </c>
      <c r="C337" t="s">
        <v>342</v>
      </c>
      <c r="D337" t="s">
        <v>150</v>
      </c>
      <c r="E337" t="s">
        <v>343</v>
      </c>
      <c r="F337" t="s">
        <v>299</v>
      </c>
      <c r="G337">
        <v>36116</v>
      </c>
      <c r="H337" t="s">
        <v>47</v>
      </c>
      <c r="I337">
        <v>42712</v>
      </c>
      <c r="J337">
        <v>3</v>
      </c>
      <c r="K337" t="s">
        <v>1465</v>
      </c>
      <c r="L337">
        <v>3</v>
      </c>
      <c r="M337">
        <v>1</v>
      </c>
      <c r="N337">
        <v>0.2</v>
      </c>
      <c r="O337" t="b">
        <v>0</v>
      </c>
      <c r="P337">
        <v>42706</v>
      </c>
      <c r="Q337">
        <v>6</v>
      </c>
    </row>
    <row r="338" spans="1:17" x14ac:dyDescent="0.2">
      <c r="A338" t="s">
        <v>1478</v>
      </c>
      <c r="B338" t="s">
        <v>409</v>
      </c>
      <c r="C338" t="s">
        <v>133</v>
      </c>
      <c r="D338" t="s">
        <v>9</v>
      </c>
      <c r="E338" t="s">
        <v>134</v>
      </c>
      <c r="F338" t="s">
        <v>26</v>
      </c>
      <c r="G338">
        <v>10701</v>
      </c>
      <c r="H338" t="s">
        <v>27</v>
      </c>
      <c r="I338">
        <v>41706</v>
      </c>
      <c r="J338">
        <v>3</v>
      </c>
      <c r="K338" t="s">
        <v>1480</v>
      </c>
      <c r="L338">
        <v>16</v>
      </c>
      <c r="M338">
        <v>1</v>
      </c>
      <c r="N338">
        <v>0.04</v>
      </c>
      <c r="O338" t="b">
        <v>0</v>
      </c>
      <c r="P338">
        <v>41703</v>
      </c>
      <c r="Q338">
        <v>3</v>
      </c>
    </row>
    <row r="339" spans="1:17" x14ac:dyDescent="0.2">
      <c r="A339" t="s">
        <v>1481</v>
      </c>
      <c r="B339" t="s">
        <v>572</v>
      </c>
      <c r="C339" t="s">
        <v>571</v>
      </c>
      <c r="D339" t="s">
        <v>150</v>
      </c>
      <c r="E339" t="s">
        <v>212</v>
      </c>
      <c r="F339" t="s">
        <v>22</v>
      </c>
      <c r="G339">
        <v>77095</v>
      </c>
      <c r="H339" t="s">
        <v>47</v>
      </c>
      <c r="I339">
        <v>42259</v>
      </c>
      <c r="J339">
        <v>4</v>
      </c>
      <c r="K339" t="s">
        <v>1483</v>
      </c>
      <c r="L339">
        <v>32</v>
      </c>
      <c r="M339">
        <v>1</v>
      </c>
      <c r="N339">
        <v>0.12000000000000002</v>
      </c>
      <c r="O339" t="b">
        <v>0</v>
      </c>
      <c r="P339">
        <v>42254</v>
      </c>
      <c r="Q339">
        <v>5</v>
      </c>
    </row>
    <row r="340" spans="1:17" x14ac:dyDescent="0.2">
      <c r="A340" t="s">
        <v>1487</v>
      </c>
      <c r="B340" t="s">
        <v>574</v>
      </c>
      <c r="C340" t="s">
        <v>573</v>
      </c>
      <c r="D340" t="s">
        <v>9</v>
      </c>
      <c r="E340" t="s">
        <v>38</v>
      </c>
      <c r="F340" t="s">
        <v>17</v>
      </c>
      <c r="G340">
        <v>90036</v>
      </c>
      <c r="H340" t="s">
        <v>18</v>
      </c>
      <c r="I340">
        <v>42826</v>
      </c>
      <c r="J340">
        <v>3</v>
      </c>
      <c r="K340" t="s">
        <v>1488</v>
      </c>
      <c r="L340">
        <v>5</v>
      </c>
      <c r="M340">
        <v>0</v>
      </c>
      <c r="N340">
        <v>0</v>
      </c>
      <c r="O340" t="b">
        <v>0</v>
      </c>
      <c r="P340">
        <v>42824</v>
      </c>
      <c r="Q340">
        <v>2</v>
      </c>
    </row>
    <row r="341" spans="1:17" x14ac:dyDescent="0.2">
      <c r="A341" t="s">
        <v>1489</v>
      </c>
      <c r="B341" t="s">
        <v>501</v>
      </c>
      <c r="C341" t="s">
        <v>275</v>
      </c>
      <c r="D341" t="s">
        <v>9</v>
      </c>
      <c r="E341" t="s">
        <v>276</v>
      </c>
      <c r="F341" t="s">
        <v>31</v>
      </c>
      <c r="G341">
        <v>85301</v>
      </c>
      <c r="H341" t="s">
        <v>18</v>
      </c>
      <c r="I341">
        <v>42363</v>
      </c>
      <c r="J341">
        <v>4</v>
      </c>
      <c r="K341" t="s">
        <v>1490</v>
      </c>
      <c r="L341">
        <v>4</v>
      </c>
      <c r="M341">
        <v>0</v>
      </c>
      <c r="N341">
        <v>0</v>
      </c>
      <c r="O341" t="b">
        <v>0</v>
      </c>
      <c r="P341">
        <v>42358</v>
      </c>
      <c r="Q341">
        <v>5</v>
      </c>
    </row>
    <row r="342" spans="1:17" x14ac:dyDescent="0.2">
      <c r="A342" t="s">
        <v>1491</v>
      </c>
      <c r="B342" t="s">
        <v>475</v>
      </c>
      <c r="C342" t="s">
        <v>240</v>
      </c>
      <c r="D342" t="s">
        <v>150</v>
      </c>
      <c r="E342" t="s">
        <v>108</v>
      </c>
      <c r="F342" t="s">
        <v>230</v>
      </c>
      <c r="G342">
        <v>89015</v>
      </c>
      <c r="H342" t="s">
        <v>18</v>
      </c>
      <c r="I342">
        <v>42547</v>
      </c>
      <c r="J342">
        <v>2</v>
      </c>
      <c r="K342" t="s">
        <v>1327</v>
      </c>
      <c r="L342">
        <v>9</v>
      </c>
      <c r="M342">
        <v>0</v>
      </c>
      <c r="N342">
        <v>0</v>
      </c>
      <c r="O342" t="b">
        <v>0</v>
      </c>
      <c r="P342">
        <v>42547</v>
      </c>
      <c r="Q342">
        <v>0</v>
      </c>
    </row>
    <row r="343" spans="1:17" x14ac:dyDescent="0.2">
      <c r="A343" t="s">
        <v>1494</v>
      </c>
      <c r="B343" t="s">
        <v>567</v>
      </c>
      <c r="C343" t="s">
        <v>378</v>
      </c>
      <c r="D343" t="s">
        <v>150</v>
      </c>
      <c r="E343" t="s">
        <v>97</v>
      </c>
      <c r="F343" t="s">
        <v>67</v>
      </c>
      <c r="G343">
        <v>19140</v>
      </c>
      <c r="H343" t="s">
        <v>27</v>
      </c>
      <c r="I343">
        <v>42003</v>
      </c>
      <c r="J343">
        <v>2</v>
      </c>
      <c r="K343" t="s">
        <v>1495</v>
      </c>
      <c r="L343">
        <v>3</v>
      </c>
      <c r="M343">
        <v>1</v>
      </c>
      <c r="N343">
        <v>0.2</v>
      </c>
      <c r="O343" t="b">
        <v>0</v>
      </c>
      <c r="P343">
        <v>41999</v>
      </c>
      <c r="Q343">
        <v>4</v>
      </c>
    </row>
    <row r="344" spans="1:17" x14ac:dyDescent="0.2">
      <c r="A344" t="s">
        <v>1496</v>
      </c>
      <c r="B344" t="s">
        <v>565</v>
      </c>
      <c r="C344" t="s">
        <v>375</v>
      </c>
      <c r="D344" t="s">
        <v>90</v>
      </c>
      <c r="E344" t="s">
        <v>121</v>
      </c>
      <c r="F344" t="s">
        <v>22</v>
      </c>
      <c r="G344">
        <v>77070</v>
      </c>
      <c r="H344" t="s">
        <v>12</v>
      </c>
      <c r="I344">
        <v>42537</v>
      </c>
      <c r="J344">
        <v>3</v>
      </c>
      <c r="K344" t="s">
        <v>1501</v>
      </c>
      <c r="L344">
        <v>30</v>
      </c>
      <c r="M344">
        <v>1</v>
      </c>
      <c r="N344">
        <v>0.44285714285714284</v>
      </c>
      <c r="O344" t="b">
        <v>1</v>
      </c>
      <c r="P344">
        <v>42533</v>
      </c>
      <c r="Q344">
        <v>4</v>
      </c>
    </row>
    <row r="345" spans="1:17" x14ac:dyDescent="0.2">
      <c r="A345" t="s">
        <v>1502</v>
      </c>
      <c r="B345" t="s">
        <v>464</v>
      </c>
      <c r="C345" t="s">
        <v>223</v>
      </c>
      <c r="D345" t="s">
        <v>90</v>
      </c>
      <c r="E345" t="s">
        <v>153</v>
      </c>
      <c r="F345" t="s">
        <v>124</v>
      </c>
      <c r="G345">
        <v>60623</v>
      </c>
      <c r="H345" t="s">
        <v>12</v>
      </c>
      <c r="I345">
        <v>42317</v>
      </c>
      <c r="J345">
        <v>1</v>
      </c>
      <c r="K345" t="s">
        <v>1503</v>
      </c>
      <c r="L345">
        <v>3</v>
      </c>
      <c r="M345">
        <v>0</v>
      </c>
      <c r="N345">
        <v>0</v>
      </c>
      <c r="O345" t="b">
        <v>0</v>
      </c>
      <c r="P345">
        <v>42317</v>
      </c>
      <c r="Q345">
        <v>0</v>
      </c>
    </row>
    <row r="346" spans="1:17" x14ac:dyDescent="0.2">
      <c r="A346" t="s">
        <v>1504</v>
      </c>
      <c r="B346" t="s">
        <v>555</v>
      </c>
      <c r="C346" t="s">
        <v>359</v>
      </c>
      <c r="D346" t="s">
        <v>90</v>
      </c>
      <c r="E346" t="s">
        <v>242</v>
      </c>
      <c r="F346" t="s">
        <v>53</v>
      </c>
      <c r="G346">
        <v>37918</v>
      </c>
      <c r="H346" t="s">
        <v>47</v>
      </c>
      <c r="I346">
        <v>42817</v>
      </c>
      <c r="J346">
        <v>4</v>
      </c>
      <c r="K346" t="s">
        <v>810</v>
      </c>
      <c r="L346">
        <v>2</v>
      </c>
      <c r="M346">
        <v>1</v>
      </c>
      <c r="N346">
        <v>0.2</v>
      </c>
      <c r="O346" t="b">
        <v>0</v>
      </c>
      <c r="P346">
        <v>42811</v>
      </c>
      <c r="Q346">
        <v>6</v>
      </c>
    </row>
    <row r="347" spans="1:17" x14ac:dyDescent="0.2">
      <c r="A347" t="s">
        <v>1505</v>
      </c>
      <c r="B347" t="s">
        <v>572</v>
      </c>
      <c r="C347" t="s">
        <v>571</v>
      </c>
      <c r="D347" t="s">
        <v>150</v>
      </c>
      <c r="E347" t="s">
        <v>212</v>
      </c>
      <c r="F347" t="s">
        <v>22</v>
      </c>
      <c r="G347">
        <v>77095</v>
      </c>
      <c r="H347" t="s">
        <v>47</v>
      </c>
      <c r="I347">
        <v>42259</v>
      </c>
      <c r="J347">
        <v>4</v>
      </c>
      <c r="K347" t="s">
        <v>997</v>
      </c>
      <c r="L347">
        <v>18</v>
      </c>
      <c r="M347">
        <v>0</v>
      </c>
      <c r="N347">
        <v>0</v>
      </c>
      <c r="O347" t="b">
        <v>0</v>
      </c>
      <c r="P347">
        <v>42253</v>
      </c>
      <c r="Q347">
        <v>6</v>
      </c>
    </row>
    <row r="348" spans="1:17" x14ac:dyDescent="0.2">
      <c r="A348" t="s">
        <v>1506</v>
      </c>
      <c r="B348" t="s">
        <v>386</v>
      </c>
      <c r="C348" t="s">
        <v>88</v>
      </c>
      <c r="D348" t="s">
        <v>9</v>
      </c>
      <c r="E348" t="s">
        <v>82</v>
      </c>
      <c r="F348" t="s">
        <v>83</v>
      </c>
      <c r="G348">
        <v>73120</v>
      </c>
      <c r="H348" t="s">
        <v>12</v>
      </c>
      <c r="I348">
        <v>42686</v>
      </c>
      <c r="J348">
        <v>2</v>
      </c>
      <c r="K348" t="s">
        <v>1507</v>
      </c>
      <c r="L348">
        <v>4</v>
      </c>
      <c r="M348">
        <v>0</v>
      </c>
      <c r="N348">
        <v>0</v>
      </c>
      <c r="O348" t="b">
        <v>0</v>
      </c>
      <c r="P348">
        <v>42684</v>
      </c>
      <c r="Q348">
        <v>2</v>
      </c>
    </row>
    <row r="349" spans="1:17" x14ac:dyDescent="0.2">
      <c r="A349" t="s">
        <v>1509</v>
      </c>
      <c r="B349" t="s">
        <v>473</v>
      </c>
      <c r="C349" t="s">
        <v>238</v>
      </c>
      <c r="D349" t="s">
        <v>150</v>
      </c>
      <c r="E349" t="s">
        <v>25</v>
      </c>
      <c r="F349" t="s">
        <v>26</v>
      </c>
      <c r="G349">
        <v>10035</v>
      </c>
      <c r="H349" t="s">
        <v>27</v>
      </c>
      <c r="I349">
        <v>42005</v>
      </c>
      <c r="J349">
        <v>2</v>
      </c>
      <c r="K349" t="s">
        <v>1510</v>
      </c>
      <c r="L349">
        <v>6</v>
      </c>
      <c r="M349">
        <v>0</v>
      </c>
      <c r="N349">
        <v>0</v>
      </c>
      <c r="O349" t="b">
        <v>1</v>
      </c>
      <c r="P349">
        <v>42004</v>
      </c>
      <c r="Q349">
        <v>1</v>
      </c>
    </row>
    <row r="350" spans="1:17" x14ac:dyDescent="0.2">
      <c r="A350" t="s">
        <v>1512</v>
      </c>
      <c r="B350" t="s">
        <v>468</v>
      </c>
      <c r="C350" t="s">
        <v>228</v>
      </c>
      <c r="D350" t="s">
        <v>150</v>
      </c>
      <c r="E350" t="s">
        <v>229</v>
      </c>
      <c r="F350" t="s">
        <v>230</v>
      </c>
      <c r="G350">
        <v>89115</v>
      </c>
      <c r="H350" t="s">
        <v>18</v>
      </c>
      <c r="I350">
        <v>42360</v>
      </c>
      <c r="J350">
        <v>2</v>
      </c>
      <c r="K350" t="s">
        <v>810</v>
      </c>
      <c r="L350">
        <v>3</v>
      </c>
      <c r="M350">
        <v>1</v>
      </c>
      <c r="N350">
        <v>0.2</v>
      </c>
      <c r="O350" t="b">
        <v>0</v>
      </c>
      <c r="P350">
        <v>42357</v>
      </c>
      <c r="Q350">
        <v>3</v>
      </c>
    </row>
    <row r="351" spans="1:17" x14ac:dyDescent="0.2">
      <c r="A351" t="s">
        <v>1513</v>
      </c>
      <c r="B351" t="s">
        <v>514</v>
      </c>
      <c r="C351" t="s">
        <v>296</v>
      </c>
      <c r="D351" t="s">
        <v>150</v>
      </c>
      <c r="E351" t="s">
        <v>38</v>
      </c>
      <c r="F351" t="s">
        <v>17</v>
      </c>
      <c r="G351">
        <v>90032</v>
      </c>
      <c r="H351" t="s">
        <v>18</v>
      </c>
      <c r="I351">
        <v>42088</v>
      </c>
      <c r="J351">
        <v>1</v>
      </c>
      <c r="K351" t="s">
        <v>1134</v>
      </c>
      <c r="L351">
        <v>14</v>
      </c>
      <c r="M351">
        <v>0</v>
      </c>
      <c r="N351">
        <v>0</v>
      </c>
      <c r="O351" t="b">
        <v>0</v>
      </c>
      <c r="P351">
        <v>42086</v>
      </c>
      <c r="Q351">
        <v>2</v>
      </c>
    </row>
    <row r="352" spans="1:17" x14ac:dyDescent="0.2">
      <c r="A352" t="s">
        <v>1515</v>
      </c>
      <c r="B352" t="s">
        <v>483</v>
      </c>
      <c r="C352" t="s">
        <v>250</v>
      </c>
      <c r="D352" t="s">
        <v>90</v>
      </c>
      <c r="E352" t="s">
        <v>251</v>
      </c>
      <c r="F352" t="s">
        <v>73</v>
      </c>
      <c r="G352">
        <v>40214</v>
      </c>
      <c r="H352" t="s">
        <v>47</v>
      </c>
      <c r="I352">
        <v>42554</v>
      </c>
      <c r="J352">
        <v>4</v>
      </c>
      <c r="K352" t="s">
        <v>766</v>
      </c>
      <c r="L352">
        <v>7</v>
      </c>
      <c r="M352">
        <v>1</v>
      </c>
      <c r="N352">
        <v>0.2</v>
      </c>
      <c r="O352" t="b">
        <v>1</v>
      </c>
      <c r="P352">
        <v>42551</v>
      </c>
      <c r="Q352">
        <v>3</v>
      </c>
    </row>
    <row r="353" spans="1:17" x14ac:dyDescent="0.2">
      <c r="A353" t="s">
        <v>1516</v>
      </c>
      <c r="B353" t="s">
        <v>567</v>
      </c>
      <c r="C353" t="s">
        <v>378</v>
      </c>
      <c r="D353" t="s">
        <v>150</v>
      </c>
      <c r="E353" t="s">
        <v>97</v>
      </c>
      <c r="F353" t="s">
        <v>67</v>
      </c>
      <c r="G353">
        <v>19140</v>
      </c>
      <c r="H353" t="s">
        <v>27</v>
      </c>
      <c r="I353">
        <v>42724</v>
      </c>
      <c r="J353">
        <v>2</v>
      </c>
      <c r="K353" t="s">
        <v>688</v>
      </c>
      <c r="L353">
        <v>7</v>
      </c>
      <c r="M353">
        <v>1</v>
      </c>
      <c r="N353">
        <v>0.2</v>
      </c>
      <c r="O353" t="b">
        <v>0</v>
      </c>
      <c r="P353">
        <v>42722</v>
      </c>
      <c r="Q353">
        <v>2</v>
      </c>
    </row>
    <row r="354" spans="1:17" x14ac:dyDescent="0.2">
      <c r="A354" t="s">
        <v>1517</v>
      </c>
      <c r="B354" t="s">
        <v>494</v>
      </c>
      <c r="C354" t="s">
        <v>266</v>
      </c>
      <c r="D354" t="s">
        <v>150</v>
      </c>
      <c r="E354" t="s">
        <v>267</v>
      </c>
      <c r="F354" t="s">
        <v>166</v>
      </c>
      <c r="G354">
        <v>33317</v>
      </c>
      <c r="H354" t="s">
        <v>47</v>
      </c>
      <c r="I354">
        <v>41737</v>
      </c>
      <c r="J354">
        <v>4</v>
      </c>
      <c r="K354" t="s">
        <v>1518</v>
      </c>
      <c r="L354">
        <v>2</v>
      </c>
      <c r="M354">
        <v>0</v>
      </c>
      <c r="N354">
        <v>0</v>
      </c>
      <c r="O354" t="b">
        <v>0</v>
      </c>
      <c r="P354">
        <v>41731</v>
      </c>
      <c r="Q354">
        <v>6</v>
      </c>
    </row>
    <row r="355" spans="1:17" x14ac:dyDescent="0.2">
      <c r="A355" t="s">
        <v>1519</v>
      </c>
      <c r="B355" t="s">
        <v>494</v>
      </c>
      <c r="C355" t="s">
        <v>266</v>
      </c>
      <c r="D355" t="s">
        <v>150</v>
      </c>
      <c r="E355" t="s">
        <v>267</v>
      </c>
      <c r="F355" t="s">
        <v>166</v>
      </c>
      <c r="G355">
        <v>33317</v>
      </c>
      <c r="H355" t="s">
        <v>47</v>
      </c>
      <c r="I355">
        <v>42651</v>
      </c>
      <c r="J355">
        <v>4</v>
      </c>
      <c r="K355" t="s">
        <v>1520</v>
      </c>
      <c r="L355">
        <v>6</v>
      </c>
      <c r="M355">
        <v>1</v>
      </c>
      <c r="N355">
        <v>0.2</v>
      </c>
      <c r="O355" t="b">
        <v>0</v>
      </c>
      <c r="P355">
        <v>42647</v>
      </c>
      <c r="Q355">
        <v>4</v>
      </c>
    </row>
    <row r="356" spans="1:17" x14ac:dyDescent="0.2">
      <c r="A356" t="s">
        <v>1521</v>
      </c>
      <c r="B356" t="s">
        <v>540</v>
      </c>
      <c r="C356" t="s">
        <v>335</v>
      </c>
      <c r="D356" t="s">
        <v>9</v>
      </c>
      <c r="E356" t="s">
        <v>97</v>
      </c>
      <c r="F356" t="s">
        <v>67</v>
      </c>
      <c r="G356">
        <v>19143</v>
      </c>
      <c r="H356" t="s">
        <v>27</v>
      </c>
      <c r="I356">
        <v>41999</v>
      </c>
      <c r="J356">
        <v>2</v>
      </c>
      <c r="K356" t="s">
        <v>1522</v>
      </c>
      <c r="L356">
        <v>1</v>
      </c>
      <c r="M356">
        <v>0</v>
      </c>
      <c r="N356">
        <v>0</v>
      </c>
      <c r="O356" t="b">
        <v>0</v>
      </c>
      <c r="P356">
        <v>41997</v>
      </c>
      <c r="Q356">
        <v>2</v>
      </c>
    </row>
    <row r="357" spans="1:17" x14ac:dyDescent="0.2">
      <c r="A357" t="s">
        <v>1523</v>
      </c>
      <c r="B357" t="s">
        <v>402</v>
      </c>
      <c r="C357" t="s">
        <v>117</v>
      </c>
      <c r="D357" t="s">
        <v>9</v>
      </c>
      <c r="E357" t="s">
        <v>118</v>
      </c>
      <c r="F357" t="s">
        <v>119</v>
      </c>
      <c r="G357">
        <v>48205</v>
      </c>
      <c r="H357" t="s">
        <v>12</v>
      </c>
      <c r="I357">
        <v>42725</v>
      </c>
      <c r="J357">
        <v>4</v>
      </c>
      <c r="K357" t="s">
        <v>1524</v>
      </c>
      <c r="L357">
        <v>13</v>
      </c>
      <c r="M357">
        <v>0</v>
      </c>
      <c r="N357">
        <v>0</v>
      </c>
      <c r="O357" t="b">
        <v>1</v>
      </c>
      <c r="P357">
        <v>42721</v>
      </c>
      <c r="Q357">
        <v>4</v>
      </c>
    </row>
    <row r="358" spans="1:17" x14ac:dyDescent="0.2">
      <c r="A358" t="s">
        <v>1525</v>
      </c>
      <c r="B358" t="s">
        <v>503</v>
      </c>
      <c r="C358" t="s">
        <v>278</v>
      </c>
      <c r="D358" t="s">
        <v>150</v>
      </c>
      <c r="E358" t="s">
        <v>270</v>
      </c>
      <c r="F358" t="s">
        <v>95</v>
      </c>
      <c r="G358">
        <v>22153</v>
      </c>
      <c r="H358" t="s">
        <v>47</v>
      </c>
      <c r="I358">
        <v>42146</v>
      </c>
      <c r="J358">
        <v>4</v>
      </c>
      <c r="K358" t="s">
        <v>869</v>
      </c>
      <c r="L358">
        <v>2</v>
      </c>
      <c r="M358">
        <v>0</v>
      </c>
      <c r="N358">
        <v>0</v>
      </c>
      <c r="O358" t="b">
        <v>0</v>
      </c>
      <c r="P358">
        <v>42142</v>
      </c>
      <c r="Q358">
        <v>4</v>
      </c>
    </row>
    <row r="359" spans="1:17" x14ac:dyDescent="0.2">
      <c r="A359" t="s">
        <v>1526</v>
      </c>
      <c r="B359" t="s">
        <v>535</v>
      </c>
      <c r="C359" t="s">
        <v>326</v>
      </c>
      <c r="D359" t="s">
        <v>150</v>
      </c>
      <c r="E359" t="s">
        <v>327</v>
      </c>
      <c r="F359" t="s">
        <v>86</v>
      </c>
      <c r="G359">
        <v>98661</v>
      </c>
      <c r="H359" t="s">
        <v>18</v>
      </c>
      <c r="I359">
        <v>42539</v>
      </c>
      <c r="J359">
        <v>3</v>
      </c>
      <c r="K359" t="s">
        <v>1527</v>
      </c>
      <c r="L359">
        <v>7</v>
      </c>
      <c r="M359">
        <v>0</v>
      </c>
      <c r="N359">
        <v>0</v>
      </c>
      <c r="O359" t="b">
        <v>0</v>
      </c>
      <c r="P359">
        <v>42535</v>
      </c>
      <c r="Q359">
        <v>4</v>
      </c>
    </row>
    <row r="360" spans="1:17" x14ac:dyDescent="0.2">
      <c r="A360" t="s">
        <v>1528</v>
      </c>
      <c r="B360" t="s">
        <v>489</v>
      </c>
      <c r="C360" t="s">
        <v>261</v>
      </c>
      <c r="D360" t="s">
        <v>9</v>
      </c>
      <c r="E360" t="s">
        <v>85</v>
      </c>
      <c r="F360" t="s">
        <v>86</v>
      </c>
      <c r="G360">
        <v>98105</v>
      </c>
      <c r="H360" t="s">
        <v>18</v>
      </c>
      <c r="I360">
        <v>43023</v>
      </c>
      <c r="J360">
        <v>2</v>
      </c>
      <c r="K360" t="s">
        <v>1529</v>
      </c>
      <c r="L360">
        <v>8</v>
      </c>
      <c r="M360">
        <v>0</v>
      </c>
      <c r="N360">
        <v>0</v>
      </c>
      <c r="O360" t="b">
        <v>0</v>
      </c>
      <c r="P360">
        <v>43021</v>
      </c>
      <c r="Q360">
        <v>2</v>
      </c>
    </row>
    <row r="361" spans="1:17" x14ac:dyDescent="0.2">
      <c r="A361" t="s">
        <v>1530</v>
      </c>
      <c r="B361" t="s">
        <v>511</v>
      </c>
      <c r="C361" t="s">
        <v>291</v>
      </c>
      <c r="D361" t="s">
        <v>9</v>
      </c>
      <c r="E361" t="s">
        <v>118</v>
      </c>
      <c r="F361" t="s">
        <v>119</v>
      </c>
      <c r="G361">
        <v>48227</v>
      </c>
      <c r="H361" t="s">
        <v>12</v>
      </c>
      <c r="I361">
        <v>42160</v>
      </c>
      <c r="J361">
        <v>4</v>
      </c>
      <c r="K361" t="s">
        <v>757</v>
      </c>
      <c r="L361">
        <v>17</v>
      </c>
      <c r="M361">
        <v>0</v>
      </c>
      <c r="N361">
        <v>0</v>
      </c>
      <c r="O361" t="b">
        <v>0</v>
      </c>
      <c r="P361">
        <v>42156</v>
      </c>
      <c r="Q361">
        <v>4</v>
      </c>
    </row>
    <row r="362" spans="1:17" x14ac:dyDescent="0.2">
      <c r="A362" t="s">
        <v>1533</v>
      </c>
      <c r="B362" t="s">
        <v>403</v>
      </c>
      <c r="C362" t="s">
        <v>120</v>
      </c>
      <c r="D362" t="s">
        <v>9</v>
      </c>
      <c r="E362" t="s">
        <v>121</v>
      </c>
      <c r="F362" t="s">
        <v>22</v>
      </c>
      <c r="G362">
        <v>77041</v>
      </c>
      <c r="H362" t="s">
        <v>12</v>
      </c>
      <c r="I362">
        <v>42320</v>
      </c>
      <c r="J362">
        <v>4</v>
      </c>
      <c r="K362" t="s">
        <v>1537</v>
      </c>
      <c r="L362">
        <v>25</v>
      </c>
      <c r="M362">
        <v>1</v>
      </c>
      <c r="N362">
        <v>0.4</v>
      </c>
      <c r="O362" t="b">
        <v>0</v>
      </c>
      <c r="P362">
        <v>42315</v>
      </c>
      <c r="Q362">
        <v>5</v>
      </c>
    </row>
    <row r="363" spans="1:17" x14ac:dyDescent="0.2">
      <c r="A363" t="s">
        <v>1538</v>
      </c>
      <c r="B363" t="s">
        <v>538</v>
      </c>
      <c r="C363" t="s">
        <v>331</v>
      </c>
      <c r="D363" t="s">
        <v>150</v>
      </c>
      <c r="E363" t="s">
        <v>332</v>
      </c>
      <c r="F363" t="s">
        <v>42</v>
      </c>
      <c r="G363">
        <v>97756</v>
      </c>
      <c r="H363" t="s">
        <v>18</v>
      </c>
      <c r="I363">
        <v>42983</v>
      </c>
      <c r="J363">
        <v>2</v>
      </c>
      <c r="K363" t="s">
        <v>1539</v>
      </c>
      <c r="L363">
        <v>7</v>
      </c>
      <c r="M363">
        <v>1</v>
      </c>
      <c r="N363">
        <v>0.7</v>
      </c>
      <c r="O363" t="b">
        <v>0</v>
      </c>
      <c r="P363">
        <v>42982</v>
      </c>
      <c r="Q363">
        <v>1</v>
      </c>
    </row>
    <row r="364" spans="1:17" x14ac:dyDescent="0.2">
      <c r="A364" t="s">
        <v>1540</v>
      </c>
      <c r="B364" t="s">
        <v>469</v>
      </c>
      <c r="C364" t="s">
        <v>231</v>
      </c>
      <c r="D364" t="s">
        <v>9</v>
      </c>
      <c r="E364" t="s">
        <v>232</v>
      </c>
      <c r="F364" t="s">
        <v>233</v>
      </c>
      <c r="G364">
        <v>54703</v>
      </c>
      <c r="H364" t="s">
        <v>12</v>
      </c>
      <c r="I364">
        <v>42716</v>
      </c>
      <c r="J364">
        <v>4</v>
      </c>
      <c r="K364" t="s">
        <v>1541</v>
      </c>
      <c r="L364">
        <v>10</v>
      </c>
      <c r="M364">
        <v>0</v>
      </c>
      <c r="N364">
        <v>0</v>
      </c>
      <c r="O364" t="b">
        <v>0</v>
      </c>
      <c r="P364">
        <v>42712</v>
      </c>
      <c r="Q364">
        <v>4</v>
      </c>
    </row>
    <row r="365" spans="1:17" x14ac:dyDescent="0.2">
      <c r="A365" t="s">
        <v>1542</v>
      </c>
      <c r="B365" t="s">
        <v>404</v>
      </c>
      <c r="C365" t="s">
        <v>122</v>
      </c>
      <c r="D365" t="s">
        <v>9</v>
      </c>
      <c r="E365" t="s">
        <v>123</v>
      </c>
      <c r="F365" t="s">
        <v>124</v>
      </c>
      <c r="G365">
        <v>61701</v>
      </c>
      <c r="H365" t="s">
        <v>12</v>
      </c>
      <c r="I365">
        <v>42954</v>
      </c>
      <c r="J365">
        <v>4</v>
      </c>
      <c r="K365" t="s">
        <v>1543</v>
      </c>
      <c r="L365">
        <v>3</v>
      </c>
      <c r="M365">
        <v>1</v>
      </c>
      <c r="N365">
        <v>0.2</v>
      </c>
      <c r="O365" t="b">
        <v>0</v>
      </c>
      <c r="P365">
        <v>42950</v>
      </c>
      <c r="Q365">
        <v>4</v>
      </c>
    </row>
    <row r="366" spans="1:17" x14ac:dyDescent="0.2">
      <c r="A366" t="s">
        <v>1544</v>
      </c>
      <c r="B366" t="s">
        <v>502</v>
      </c>
      <c r="C366" t="s">
        <v>277</v>
      </c>
      <c r="D366" t="s">
        <v>9</v>
      </c>
      <c r="E366" t="s">
        <v>258</v>
      </c>
      <c r="F366" t="s">
        <v>17</v>
      </c>
      <c r="G366">
        <v>94513</v>
      </c>
      <c r="H366" t="s">
        <v>18</v>
      </c>
      <c r="I366">
        <v>42082</v>
      </c>
      <c r="J366">
        <v>1</v>
      </c>
      <c r="K366" t="s">
        <v>717</v>
      </c>
      <c r="L366">
        <v>3</v>
      </c>
      <c r="M366">
        <v>0</v>
      </c>
      <c r="N366">
        <v>0</v>
      </c>
      <c r="O366" t="b">
        <v>0</v>
      </c>
      <c r="P366">
        <v>42077</v>
      </c>
      <c r="Q366">
        <v>5</v>
      </c>
    </row>
    <row r="367" spans="1:17" x14ac:dyDescent="0.2">
      <c r="A367" t="s">
        <v>1545</v>
      </c>
      <c r="B367" t="s">
        <v>564</v>
      </c>
      <c r="C367" t="s">
        <v>373</v>
      </c>
      <c r="D367" t="s">
        <v>90</v>
      </c>
      <c r="E367" t="s">
        <v>374</v>
      </c>
      <c r="F367" t="s">
        <v>179</v>
      </c>
      <c r="G367">
        <v>59601</v>
      </c>
      <c r="H367" t="s">
        <v>18</v>
      </c>
      <c r="I367">
        <v>43056</v>
      </c>
      <c r="J367">
        <v>4</v>
      </c>
      <c r="K367" t="s">
        <v>1546</v>
      </c>
      <c r="L367">
        <v>2</v>
      </c>
      <c r="M367">
        <v>0</v>
      </c>
      <c r="N367">
        <v>0</v>
      </c>
      <c r="O367" t="b">
        <v>0</v>
      </c>
      <c r="P367">
        <v>43053</v>
      </c>
      <c r="Q367">
        <v>3</v>
      </c>
    </row>
    <row r="368" spans="1:17" x14ac:dyDescent="0.2">
      <c r="A368" t="s">
        <v>1547</v>
      </c>
      <c r="B368" t="s">
        <v>489</v>
      </c>
      <c r="C368" t="s">
        <v>261</v>
      </c>
      <c r="D368" t="s">
        <v>9</v>
      </c>
      <c r="E368" t="s">
        <v>85</v>
      </c>
      <c r="F368" t="s">
        <v>86</v>
      </c>
      <c r="G368">
        <v>98105</v>
      </c>
      <c r="H368" t="s">
        <v>18</v>
      </c>
      <c r="I368">
        <v>42984</v>
      </c>
      <c r="J368">
        <v>2</v>
      </c>
      <c r="K368" t="s">
        <v>700</v>
      </c>
      <c r="L368">
        <v>3</v>
      </c>
      <c r="M368">
        <v>0</v>
      </c>
      <c r="N368">
        <v>0</v>
      </c>
      <c r="O368" t="b">
        <v>0</v>
      </c>
      <c r="P368">
        <v>42980</v>
      </c>
      <c r="Q368">
        <v>4</v>
      </c>
    </row>
    <row r="369" spans="1:17" x14ac:dyDescent="0.2">
      <c r="A369" t="s">
        <v>1548</v>
      </c>
      <c r="B369" t="s">
        <v>513</v>
      </c>
      <c r="C369" t="s">
        <v>294</v>
      </c>
      <c r="D369" t="s">
        <v>150</v>
      </c>
      <c r="E369" t="s">
        <v>295</v>
      </c>
      <c r="F369" t="s">
        <v>22</v>
      </c>
      <c r="G369">
        <v>75051</v>
      </c>
      <c r="H369" t="s">
        <v>12</v>
      </c>
      <c r="I369">
        <v>42887</v>
      </c>
      <c r="J369">
        <v>4</v>
      </c>
      <c r="K369" t="s">
        <v>1549</v>
      </c>
      <c r="L369">
        <v>7</v>
      </c>
      <c r="M369">
        <v>1</v>
      </c>
      <c r="N369">
        <v>0.35</v>
      </c>
      <c r="O369" t="b">
        <v>0</v>
      </c>
      <c r="P369">
        <v>42883</v>
      </c>
      <c r="Q369">
        <v>4</v>
      </c>
    </row>
    <row r="370" spans="1:17" x14ac:dyDescent="0.2">
      <c r="A370" t="s">
        <v>1551</v>
      </c>
      <c r="B370" t="s">
        <v>455</v>
      </c>
      <c r="C370" t="s">
        <v>210</v>
      </c>
      <c r="D370" t="s">
        <v>150</v>
      </c>
      <c r="E370" t="s">
        <v>118</v>
      </c>
      <c r="F370" t="s">
        <v>119</v>
      </c>
      <c r="G370">
        <v>48234</v>
      </c>
      <c r="H370" t="s">
        <v>12</v>
      </c>
      <c r="I370">
        <v>42319</v>
      </c>
      <c r="J370">
        <v>1</v>
      </c>
      <c r="K370" t="s">
        <v>1552</v>
      </c>
      <c r="L370">
        <v>9</v>
      </c>
      <c r="M370">
        <v>1</v>
      </c>
      <c r="N370">
        <v>0.05</v>
      </c>
      <c r="O370" t="b">
        <v>0</v>
      </c>
      <c r="P370">
        <v>42319</v>
      </c>
      <c r="Q370">
        <v>0</v>
      </c>
    </row>
    <row r="371" spans="1:17" x14ac:dyDescent="0.2">
      <c r="A371" t="s">
        <v>1554</v>
      </c>
      <c r="B371" t="s">
        <v>536</v>
      </c>
      <c r="C371" t="s">
        <v>328</v>
      </c>
      <c r="D371" t="s">
        <v>150</v>
      </c>
      <c r="E371" t="s">
        <v>329</v>
      </c>
      <c r="F371" t="s">
        <v>22</v>
      </c>
      <c r="G371">
        <v>78745</v>
      </c>
      <c r="H371" t="s">
        <v>12</v>
      </c>
      <c r="I371">
        <v>42941</v>
      </c>
      <c r="J371">
        <v>4</v>
      </c>
      <c r="K371" t="s">
        <v>675</v>
      </c>
      <c r="L371">
        <v>8</v>
      </c>
      <c r="M371">
        <v>1</v>
      </c>
      <c r="N371">
        <v>3.3333333333333333E-2</v>
      </c>
      <c r="O371" t="b">
        <v>0</v>
      </c>
      <c r="P371">
        <v>42936</v>
      </c>
      <c r="Q371">
        <v>5</v>
      </c>
    </row>
    <row r="372" spans="1:17" x14ac:dyDescent="0.2">
      <c r="A372" t="s">
        <v>1556</v>
      </c>
      <c r="B372" t="s">
        <v>510</v>
      </c>
      <c r="C372" t="s">
        <v>289</v>
      </c>
      <c r="D372" t="s">
        <v>9</v>
      </c>
      <c r="E372" t="s">
        <v>290</v>
      </c>
      <c r="F372" t="s">
        <v>63</v>
      </c>
      <c r="G372">
        <v>28403</v>
      </c>
      <c r="H372" t="s">
        <v>47</v>
      </c>
      <c r="I372">
        <v>42338</v>
      </c>
      <c r="J372">
        <v>3</v>
      </c>
      <c r="K372" t="s">
        <v>1557</v>
      </c>
      <c r="L372">
        <v>4</v>
      </c>
      <c r="M372">
        <v>0</v>
      </c>
      <c r="N372">
        <v>0</v>
      </c>
      <c r="O372" t="b">
        <v>0</v>
      </c>
      <c r="P372">
        <v>42336</v>
      </c>
      <c r="Q372">
        <v>2</v>
      </c>
    </row>
    <row r="373" spans="1:17" x14ac:dyDescent="0.2">
      <c r="A373" t="s">
        <v>1558</v>
      </c>
      <c r="B373" t="s">
        <v>469</v>
      </c>
      <c r="C373" t="s">
        <v>231</v>
      </c>
      <c r="D373" t="s">
        <v>9</v>
      </c>
      <c r="E373" t="s">
        <v>232</v>
      </c>
      <c r="F373" t="s">
        <v>233</v>
      </c>
      <c r="G373">
        <v>54703</v>
      </c>
      <c r="H373" t="s">
        <v>12</v>
      </c>
      <c r="I373">
        <v>42857</v>
      </c>
      <c r="J373">
        <v>2</v>
      </c>
      <c r="K373" t="s">
        <v>1560</v>
      </c>
      <c r="L373">
        <v>5</v>
      </c>
      <c r="M373">
        <v>1</v>
      </c>
      <c r="N373">
        <v>0.2</v>
      </c>
      <c r="O373" t="b">
        <v>1</v>
      </c>
      <c r="P373">
        <v>42856</v>
      </c>
      <c r="Q373">
        <v>1</v>
      </c>
    </row>
    <row r="374" spans="1:17" x14ac:dyDescent="0.2">
      <c r="A374" t="s">
        <v>1561</v>
      </c>
      <c r="B374" t="s">
        <v>510</v>
      </c>
      <c r="C374" t="s">
        <v>289</v>
      </c>
      <c r="D374" t="s">
        <v>9</v>
      </c>
      <c r="E374" t="s">
        <v>290</v>
      </c>
      <c r="F374" t="s">
        <v>63</v>
      </c>
      <c r="G374">
        <v>28403</v>
      </c>
      <c r="H374" t="s">
        <v>47</v>
      </c>
      <c r="I374">
        <v>42357</v>
      </c>
      <c r="J374">
        <v>3</v>
      </c>
      <c r="K374" t="s">
        <v>1562</v>
      </c>
      <c r="L374">
        <v>2</v>
      </c>
      <c r="M374">
        <v>0</v>
      </c>
      <c r="N374">
        <v>0</v>
      </c>
      <c r="O374" t="b">
        <v>0</v>
      </c>
      <c r="P374">
        <v>42352</v>
      </c>
      <c r="Q374">
        <v>5</v>
      </c>
    </row>
    <row r="375" spans="1:17" x14ac:dyDescent="0.2">
      <c r="A375" t="s">
        <v>1563</v>
      </c>
      <c r="B375" t="s">
        <v>492</v>
      </c>
      <c r="C375" t="s">
        <v>264</v>
      </c>
      <c r="D375" t="s">
        <v>9</v>
      </c>
      <c r="E375" t="s">
        <v>153</v>
      </c>
      <c r="F375" t="s">
        <v>124</v>
      </c>
      <c r="G375">
        <v>60623</v>
      </c>
      <c r="H375" t="s">
        <v>12</v>
      </c>
      <c r="I375">
        <v>42633</v>
      </c>
      <c r="J375">
        <v>4</v>
      </c>
      <c r="K375" t="s">
        <v>1564</v>
      </c>
      <c r="L375">
        <v>5</v>
      </c>
      <c r="M375">
        <v>0</v>
      </c>
      <c r="N375">
        <v>0</v>
      </c>
      <c r="O375" t="b">
        <v>0</v>
      </c>
      <c r="P375">
        <v>42628</v>
      </c>
      <c r="Q375">
        <v>5</v>
      </c>
    </row>
    <row r="376" spans="1:17" x14ac:dyDescent="0.2">
      <c r="A376" t="s">
        <v>1565</v>
      </c>
      <c r="B376" t="s">
        <v>433</v>
      </c>
      <c r="C376" t="s">
        <v>175</v>
      </c>
      <c r="D376" t="s">
        <v>9</v>
      </c>
      <c r="E376" t="s">
        <v>176</v>
      </c>
      <c r="F376" t="s">
        <v>104</v>
      </c>
      <c r="G376">
        <v>46226</v>
      </c>
      <c r="H376" t="s">
        <v>12</v>
      </c>
      <c r="I376">
        <v>42641</v>
      </c>
      <c r="J376">
        <v>4</v>
      </c>
      <c r="K376" t="s">
        <v>1334</v>
      </c>
      <c r="L376">
        <v>6</v>
      </c>
      <c r="M376">
        <v>0</v>
      </c>
      <c r="N376">
        <v>0</v>
      </c>
      <c r="O376" t="b">
        <v>0</v>
      </c>
      <c r="P376">
        <v>42635</v>
      </c>
      <c r="Q376">
        <v>6</v>
      </c>
    </row>
    <row r="377" spans="1:17" x14ac:dyDescent="0.2">
      <c r="A377" t="s">
        <v>1566</v>
      </c>
      <c r="B377" t="s">
        <v>416</v>
      </c>
      <c r="C377" t="s">
        <v>148</v>
      </c>
      <c r="D377" t="s">
        <v>90</v>
      </c>
      <c r="E377" t="s">
        <v>85</v>
      </c>
      <c r="F377" t="s">
        <v>86</v>
      </c>
      <c r="G377">
        <v>98103</v>
      </c>
      <c r="H377" t="s">
        <v>18</v>
      </c>
      <c r="I377">
        <v>41848</v>
      </c>
      <c r="J377">
        <v>4</v>
      </c>
      <c r="K377" t="s">
        <v>1567</v>
      </c>
      <c r="L377">
        <v>6</v>
      </c>
      <c r="M377">
        <v>0</v>
      </c>
      <c r="N377">
        <v>0</v>
      </c>
      <c r="O377" t="b">
        <v>0</v>
      </c>
      <c r="P377">
        <v>41842</v>
      </c>
      <c r="Q377">
        <v>6</v>
      </c>
    </row>
    <row r="378" spans="1:17" x14ac:dyDescent="0.2">
      <c r="A378" t="s">
        <v>1568</v>
      </c>
      <c r="B378" t="s">
        <v>394</v>
      </c>
      <c r="C378" t="s">
        <v>102</v>
      </c>
      <c r="D378" t="s">
        <v>90</v>
      </c>
      <c r="E378" t="s">
        <v>103</v>
      </c>
      <c r="F378" t="s">
        <v>104</v>
      </c>
      <c r="G378">
        <v>46142</v>
      </c>
      <c r="H378" t="s">
        <v>12</v>
      </c>
      <c r="I378">
        <v>43046</v>
      </c>
      <c r="J378">
        <v>2</v>
      </c>
      <c r="K378" t="s">
        <v>1571</v>
      </c>
      <c r="L378">
        <v>14</v>
      </c>
      <c r="M378">
        <v>0</v>
      </c>
      <c r="N378">
        <v>0</v>
      </c>
      <c r="O378" t="b">
        <v>0</v>
      </c>
      <c r="P378">
        <v>43044</v>
      </c>
      <c r="Q378">
        <v>2</v>
      </c>
    </row>
    <row r="379" spans="1:17" x14ac:dyDescent="0.2">
      <c r="A379" t="s">
        <v>1572</v>
      </c>
      <c r="B379" t="s">
        <v>430</v>
      </c>
      <c r="C379" t="s">
        <v>170</v>
      </c>
      <c r="D379" t="s">
        <v>150</v>
      </c>
      <c r="E379" t="s">
        <v>171</v>
      </c>
      <c r="F379" t="s">
        <v>22</v>
      </c>
      <c r="G379">
        <v>77705</v>
      </c>
      <c r="H379" t="s">
        <v>12</v>
      </c>
      <c r="I379">
        <v>42819</v>
      </c>
      <c r="J379">
        <v>1</v>
      </c>
      <c r="K379" t="s">
        <v>1573</v>
      </c>
      <c r="L379">
        <v>2</v>
      </c>
      <c r="M379">
        <v>1</v>
      </c>
      <c r="N379">
        <v>0.2</v>
      </c>
      <c r="O379" t="b">
        <v>0</v>
      </c>
      <c r="P379">
        <v>42818</v>
      </c>
      <c r="Q379">
        <v>1</v>
      </c>
    </row>
    <row r="380" spans="1:17" x14ac:dyDescent="0.2">
      <c r="A380" t="s">
        <v>1574</v>
      </c>
      <c r="B380" t="s">
        <v>537</v>
      </c>
      <c r="C380" t="s">
        <v>330</v>
      </c>
      <c r="D380" t="s">
        <v>150</v>
      </c>
      <c r="E380" t="s">
        <v>156</v>
      </c>
      <c r="F380" t="s">
        <v>63</v>
      </c>
      <c r="G380">
        <v>28540</v>
      </c>
      <c r="H380" t="s">
        <v>47</v>
      </c>
      <c r="I380">
        <v>42640</v>
      </c>
      <c r="J380">
        <v>2</v>
      </c>
      <c r="K380" t="s">
        <v>1217</v>
      </c>
      <c r="L380">
        <v>2</v>
      </c>
      <c r="M380">
        <v>1</v>
      </c>
      <c r="N380">
        <v>0.15</v>
      </c>
      <c r="O380" t="b">
        <v>0</v>
      </c>
      <c r="P380">
        <v>42638</v>
      </c>
      <c r="Q380">
        <v>2</v>
      </c>
    </row>
    <row r="381" spans="1:17" x14ac:dyDescent="0.2">
      <c r="A381" t="s">
        <v>1575</v>
      </c>
      <c r="B381" t="s">
        <v>56</v>
      </c>
      <c r="C381" t="s">
        <v>57</v>
      </c>
      <c r="D381" t="s">
        <v>9</v>
      </c>
      <c r="E381" t="s">
        <v>58</v>
      </c>
      <c r="F381" t="s">
        <v>59</v>
      </c>
      <c r="G381">
        <v>2908</v>
      </c>
      <c r="H381" t="s">
        <v>27</v>
      </c>
      <c r="I381">
        <v>42987</v>
      </c>
      <c r="J381">
        <v>2</v>
      </c>
      <c r="K381" t="s">
        <v>1576</v>
      </c>
      <c r="L381">
        <v>7</v>
      </c>
      <c r="M381">
        <v>0</v>
      </c>
      <c r="N381">
        <v>0</v>
      </c>
      <c r="O381" t="b">
        <v>1</v>
      </c>
      <c r="P381">
        <v>42985</v>
      </c>
      <c r="Q381">
        <v>2</v>
      </c>
    </row>
    <row r="382" spans="1:17" x14ac:dyDescent="0.2">
      <c r="A382" t="s">
        <v>1578</v>
      </c>
      <c r="B382" t="s">
        <v>570</v>
      </c>
      <c r="C382" t="s">
        <v>382</v>
      </c>
      <c r="D382" t="s">
        <v>9</v>
      </c>
      <c r="E382" t="s">
        <v>76</v>
      </c>
      <c r="F382" t="s">
        <v>17</v>
      </c>
      <c r="G382">
        <v>92037</v>
      </c>
      <c r="H382" t="s">
        <v>18</v>
      </c>
      <c r="I382">
        <v>42944</v>
      </c>
      <c r="J382">
        <v>4</v>
      </c>
      <c r="K382" t="s">
        <v>1579</v>
      </c>
      <c r="L382">
        <v>4</v>
      </c>
      <c r="M382">
        <v>1</v>
      </c>
      <c r="N382">
        <v>0.2</v>
      </c>
      <c r="O382" t="b">
        <v>0</v>
      </c>
      <c r="P382">
        <v>42939</v>
      </c>
      <c r="Q382">
        <v>5</v>
      </c>
    </row>
    <row r="383" spans="1:17" x14ac:dyDescent="0.2">
      <c r="A383" t="s">
        <v>1580</v>
      </c>
      <c r="B383" t="s">
        <v>544</v>
      </c>
      <c r="C383" t="s">
        <v>340</v>
      </c>
      <c r="D383" t="s">
        <v>9</v>
      </c>
      <c r="E383" t="s">
        <v>25</v>
      </c>
      <c r="F383" t="s">
        <v>26</v>
      </c>
      <c r="G383">
        <v>10035</v>
      </c>
      <c r="H383" t="s">
        <v>27</v>
      </c>
      <c r="I383">
        <v>41911</v>
      </c>
      <c r="J383">
        <v>4</v>
      </c>
      <c r="K383" t="s">
        <v>1326</v>
      </c>
      <c r="L383">
        <v>12</v>
      </c>
      <c r="M383">
        <v>1</v>
      </c>
      <c r="N383">
        <v>7.5000000000000011E-2</v>
      </c>
      <c r="O383" t="b">
        <v>1</v>
      </c>
      <c r="P383">
        <v>41904</v>
      </c>
      <c r="Q383">
        <v>7</v>
      </c>
    </row>
    <row r="384" spans="1:17" x14ac:dyDescent="0.2">
      <c r="A384" t="s">
        <v>1584</v>
      </c>
      <c r="B384" t="s">
        <v>445</v>
      </c>
      <c r="C384" t="s">
        <v>196</v>
      </c>
      <c r="D384" t="s">
        <v>9</v>
      </c>
      <c r="E384" t="s">
        <v>153</v>
      </c>
      <c r="F384" t="s">
        <v>124</v>
      </c>
      <c r="G384">
        <v>60610</v>
      </c>
      <c r="H384" t="s">
        <v>12</v>
      </c>
      <c r="I384">
        <v>42487</v>
      </c>
      <c r="J384">
        <v>4</v>
      </c>
      <c r="K384" t="s">
        <v>1284</v>
      </c>
      <c r="L384">
        <v>10</v>
      </c>
      <c r="M384">
        <v>1</v>
      </c>
      <c r="N384">
        <v>0.1</v>
      </c>
      <c r="O384" t="b">
        <v>0</v>
      </c>
      <c r="P384">
        <v>42483</v>
      </c>
      <c r="Q384">
        <v>4</v>
      </c>
    </row>
    <row r="385" spans="1:17" x14ac:dyDescent="0.2">
      <c r="A385" t="s">
        <v>1586</v>
      </c>
      <c r="B385" t="s">
        <v>490</v>
      </c>
      <c r="C385" t="s">
        <v>262</v>
      </c>
      <c r="D385" t="s">
        <v>9</v>
      </c>
      <c r="E385" t="s">
        <v>25</v>
      </c>
      <c r="F385" t="s">
        <v>26</v>
      </c>
      <c r="G385">
        <v>10035</v>
      </c>
      <c r="H385" t="s">
        <v>27</v>
      </c>
      <c r="I385">
        <v>42831</v>
      </c>
      <c r="J385">
        <v>4</v>
      </c>
      <c r="K385" t="s">
        <v>705</v>
      </c>
      <c r="L385">
        <v>3</v>
      </c>
      <c r="M385">
        <v>0</v>
      </c>
      <c r="N385">
        <v>0</v>
      </c>
      <c r="O385" t="b">
        <v>0</v>
      </c>
      <c r="P385">
        <v>42827</v>
      </c>
      <c r="Q385">
        <v>4</v>
      </c>
    </row>
    <row r="386" spans="1:17" x14ac:dyDescent="0.2">
      <c r="A386" t="s">
        <v>1587</v>
      </c>
      <c r="B386" t="s">
        <v>473</v>
      </c>
      <c r="C386" t="s">
        <v>238</v>
      </c>
      <c r="D386" t="s">
        <v>150</v>
      </c>
      <c r="E386" t="s">
        <v>25</v>
      </c>
      <c r="F386" t="s">
        <v>26</v>
      </c>
      <c r="G386">
        <v>10035</v>
      </c>
      <c r="H386" t="s">
        <v>27</v>
      </c>
      <c r="I386">
        <v>42369</v>
      </c>
      <c r="J386">
        <v>2</v>
      </c>
      <c r="K386" t="s">
        <v>1589</v>
      </c>
      <c r="L386">
        <v>11</v>
      </c>
      <c r="M386">
        <v>1</v>
      </c>
      <c r="N386">
        <v>0.1</v>
      </c>
      <c r="O386" t="b">
        <v>0</v>
      </c>
      <c r="P386">
        <v>42365</v>
      </c>
      <c r="Q386">
        <v>4</v>
      </c>
    </row>
    <row r="387" spans="1:17" x14ac:dyDescent="0.2">
      <c r="A387" t="s">
        <v>1590</v>
      </c>
      <c r="B387" t="s">
        <v>559</v>
      </c>
      <c r="C387" t="s">
        <v>364</v>
      </c>
      <c r="D387" t="s">
        <v>90</v>
      </c>
      <c r="E387" t="s">
        <v>365</v>
      </c>
      <c r="F387" t="s">
        <v>191</v>
      </c>
      <c r="G387">
        <v>7960</v>
      </c>
      <c r="H387" t="s">
        <v>27</v>
      </c>
      <c r="I387">
        <v>42521</v>
      </c>
      <c r="J387">
        <v>3</v>
      </c>
      <c r="K387" t="s">
        <v>1591</v>
      </c>
      <c r="L387">
        <v>10</v>
      </c>
      <c r="M387">
        <v>1</v>
      </c>
      <c r="N387">
        <v>0.2</v>
      </c>
      <c r="O387" t="b">
        <v>1</v>
      </c>
      <c r="P387">
        <v>42520</v>
      </c>
      <c r="Q387">
        <v>1</v>
      </c>
    </row>
    <row r="388" spans="1:17" x14ac:dyDescent="0.2">
      <c r="A388" t="s">
        <v>1592</v>
      </c>
      <c r="B388" t="s">
        <v>439</v>
      </c>
      <c r="C388" t="s">
        <v>186</v>
      </c>
      <c r="D388" t="s">
        <v>90</v>
      </c>
      <c r="E388" t="s">
        <v>97</v>
      </c>
      <c r="F388" t="s">
        <v>67</v>
      </c>
      <c r="G388">
        <v>19134</v>
      </c>
      <c r="H388" t="s">
        <v>27</v>
      </c>
      <c r="I388">
        <v>41965</v>
      </c>
      <c r="J388">
        <v>3</v>
      </c>
      <c r="K388" t="s">
        <v>1593</v>
      </c>
      <c r="L388">
        <v>1</v>
      </c>
      <c r="M388">
        <v>1</v>
      </c>
      <c r="N388">
        <v>0.2</v>
      </c>
      <c r="O388" t="b">
        <v>0</v>
      </c>
      <c r="P388">
        <v>41962</v>
      </c>
      <c r="Q388">
        <v>3</v>
      </c>
    </row>
    <row r="389" spans="1:17" x14ac:dyDescent="0.2">
      <c r="A389" t="s">
        <v>1594</v>
      </c>
      <c r="B389" t="s">
        <v>522</v>
      </c>
      <c r="C389" t="s">
        <v>308</v>
      </c>
      <c r="D389" t="s">
        <v>90</v>
      </c>
      <c r="E389" t="s">
        <v>309</v>
      </c>
      <c r="F389" t="s">
        <v>166</v>
      </c>
      <c r="G389">
        <v>33311</v>
      </c>
      <c r="H389" t="s">
        <v>47</v>
      </c>
      <c r="I389">
        <v>42669</v>
      </c>
      <c r="J389">
        <v>1</v>
      </c>
      <c r="K389" t="s">
        <v>1596</v>
      </c>
      <c r="L389">
        <v>10</v>
      </c>
      <c r="M389">
        <v>1</v>
      </c>
      <c r="N389">
        <v>0.44999999999999996</v>
      </c>
      <c r="O389" t="b">
        <v>0</v>
      </c>
      <c r="P389">
        <v>42664</v>
      </c>
      <c r="Q389">
        <v>5</v>
      </c>
    </row>
    <row r="390" spans="1:17" x14ac:dyDescent="0.2">
      <c r="A390" t="s">
        <v>1597</v>
      </c>
      <c r="B390" t="s">
        <v>456</v>
      </c>
      <c r="C390" t="s">
        <v>211</v>
      </c>
      <c r="D390" t="s">
        <v>150</v>
      </c>
      <c r="E390" t="s">
        <v>212</v>
      </c>
      <c r="F390" t="s">
        <v>166</v>
      </c>
      <c r="G390">
        <v>33710</v>
      </c>
      <c r="H390" t="s">
        <v>47</v>
      </c>
      <c r="I390">
        <v>42167</v>
      </c>
      <c r="J390">
        <v>4</v>
      </c>
      <c r="K390" t="s">
        <v>1588</v>
      </c>
      <c r="L390">
        <v>35</v>
      </c>
      <c r="M390">
        <v>1</v>
      </c>
      <c r="N390">
        <v>0.27142857142857146</v>
      </c>
      <c r="O390" t="b">
        <v>0</v>
      </c>
      <c r="P390">
        <v>42163</v>
      </c>
      <c r="Q390">
        <v>4</v>
      </c>
    </row>
    <row r="391" spans="1:17" x14ac:dyDescent="0.2">
      <c r="A391" t="s">
        <v>1602</v>
      </c>
      <c r="B391" t="s">
        <v>556</v>
      </c>
      <c r="C391" t="s">
        <v>360</v>
      </c>
      <c r="D391" t="s">
        <v>90</v>
      </c>
      <c r="E391" t="s">
        <v>38</v>
      </c>
      <c r="F391" t="s">
        <v>17</v>
      </c>
      <c r="G391">
        <v>90004</v>
      </c>
      <c r="H391" t="s">
        <v>18</v>
      </c>
      <c r="I391">
        <v>41973</v>
      </c>
      <c r="J391">
        <v>3</v>
      </c>
      <c r="K391" t="s">
        <v>1603</v>
      </c>
      <c r="L391">
        <v>3</v>
      </c>
      <c r="M391">
        <v>1</v>
      </c>
      <c r="N391">
        <v>0.7</v>
      </c>
      <c r="O391" t="b">
        <v>0</v>
      </c>
      <c r="P391">
        <v>41967</v>
      </c>
      <c r="Q391">
        <v>6</v>
      </c>
    </row>
    <row r="392" spans="1:17" x14ac:dyDescent="0.2">
      <c r="A392" t="s">
        <v>1604</v>
      </c>
      <c r="B392" t="s">
        <v>550</v>
      </c>
      <c r="C392" t="s">
        <v>350</v>
      </c>
      <c r="D392" t="s">
        <v>9</v>
      </c>
      <c r="E392" t="s">
        <v>97</v>
      </c>
      <c r="F392" t="s">
        <v>67</v>
      </c>
      <c r="G392">
        <v>19120</v>
      </c>
      <c r="H392" t="s">
        <v>27</v>
      </c>
      <c r="I392">
        <v>42472</v>
      </c>
      <c r="J392">
        <v>4</v>
      </c>
      <c r="K392" t="s">
        <v>1605</v>
      </c>
      <c r="L392">
        <v>6</v>
      </c>
      <c r="M392">
        <v>1</v>
      </c>
      <c r="N392">
        <v>0.2</v>
      </c>
      <c r="O392" t="b">
        <v>0</v>
      </c>
      <c r="P392">
        <v>42467</v>
      </c>
      <c r="Q392">
        <v>5</v>
      </c>
    </row>
    <row r="393" spans="1:17" x14ac:dyDescent="0.2">
      <c r="A393" t="s">
        <v>1606</v>
      </c>
      <c r="B393" t="s">
        <v>510</v>
      </c>
      <c r="C393" t="s">
        <v>289</v>
      </c>
      <c r="D393" t="s">
        <v>9</v>
      </c>
      <c r="E393" t="s">
        <v>290</v>
      </c>
      <c r="F393" t="s">
        <v>63</v>
      </c>
      <c r="G393">
        <v>28403</v>
      </c>
      <c r="H393" t="s">
        <v>47</v>
      </c>
      <c r="I393">
        <v>43019</v>
      </c>
      <c r="J393">
        <v>3</v>
      </c>
      <c r="K393" t="s">
        <v>1607</v>
      </c>
      <c r="L393">
        <v>2</v>
      </c>
      <c r="M393">
        <v>1</v>
      </c>
      <c r="N393">
        <v>0.2</v>
      </c>
      <c r="O393" t="b">
        <v>0</v>
      </c>
      <c r="P393">
        <v>43014</v>
      </c>
      <c r="Q393">
        <v>5</v>
      </c>
    </row>
    <row r="394" spans="1:17" x14ac:dyDescent="0.2">
      <c r="A394" t="s">
        <v>1608</v>
      </c>
      <c r="B394" t="s">
        <v>550</v>
      </c>
      <c r="C394" t="s">
        <v>350</v>
      </c>
      <c r="D394" t="s">
        <v>9</v>
      </c>
      <c r="E394" t="s">
        <v>97</v>
      </c>
      <c r="F394" t="s">
        <v>67</v>
      </c>
      <c r="G394">
        <v>19120</v>
      </c>
      <c r="H394" t="s">
        <v>27</v>
      </c>
      <c r="I394">
        <v>42211</v>
      </c>
      <c r="J394">
        <v>1</v>
      </c>
      <c r="K394" t="s">
        <v>1609</v>
      </c>
      <c r="L394">
        <v>2</v>
      </c>
      <c r="M394">
        <v>1</v>
      </c>
      <c r="N394">
        <v>0.2</v>
      </c>
      <c r="O394" t="b">
        <v>0</v>
      </c>
      <c r="P394">
        <v>42211</v>
      </c>
      <c r="Q394">
        <v>0</v>
      </c>
    </row>
    <row r="395" spans="1:17" x14ac:dyDescent="0.2">
      <c r="A395" t="s">
        <v>1610</v>
      </c>
      <c r="B395" t="s">
        <v>523</v>
      </c>
      <c r="C395" t="s">
        <v>310</v>
      </c>
      <c r="D395" t="s">
        <v>90</v>
      </c>
      <c r="E395" t="s">
        <v>38</v>
      </c>
      <c r="F395" t="s">
        <v>17</v>
      </c>
      <c r="G395">
        <v>90032</v>
      </c>
      <c r="H395" t="s">
        <v>18</v>
      </c>
      <c r="I395">
        <v>42714</v>
      </c>
      <c r="J395">
        <v>4</v>
      </c>
      <c r="K395" t="s">
        <v>1611</v>
      </c>
      <c r="L395">
        <v>41</v>
      </c>
      <c r="M395">
        <v>1</v>
      </c>
      <c r="N395">
        <v>0.11428571428571428</v>
      </c>
      <c r="O395" t="b">
        <v>0</v>
      </c>
      <c r="P395">
        <v>42710</v>
      </c>
      <c r="Q395">
        <v>4</v>
      </c>
    </row>
  </sheetData>
  <phoneticPr fontId="2" type="noConversion"/>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0BF6-5E7A-DE49-B323-8CCB8ACB51E2}">
  <dimension ref="A1:Z395"/>
  <sheetViews>
    <sheetView topLeftCell="G1" workbookViewId="0">
      <selection activeCell="V15" sqref="V15"/>
    </sheetView>
  </sheetViews>
  <sheetFormatPr baseColWidth="10" defaultRowHeight="15" x14ac:dyDescent="0.2"/>
  <cols>
    <col min="26" max="26" width="12.1640625" bestFit="1" customWidth="1"/>
  </cols>
  <sheetData>
    <row r="1" spans="1:26" x14ac:dyDescent="0.2">
      <c r="A1" t="s">
        <v>581</v>
      </c>
      <c r="B1" t="s">
        <v>383</v>
      </c>
      <c r="C1" t="s">
        <v>0</v>
      </c>
      <c r="D1" t="s">
        <v>1</v>
      </c>
      <c r="E1" t="s">
        <v>2</v>
      </c>
      <c r="F1" t="s">
        <v>3</v>
      </c>
      <c r="G1" t="s">
        <v>4</v>
      </c>
      <c r="H1" t="s">
        <v>2309</v>
      </c>
      <c r="I1" t="s">
        <v>583</v>
      </c>
      <c r="J1" t="s">
        <v>584</v>
      </c>
      <c r="K1" t="s">
        <v>586</v>
      </c>
      <c r="L1" t="s">
        <v>589</v>
      </c>
      <c r="M1" t="s">
        <v>590</v>
      </c>
      <c r="N1" t="s">
        <v>582</v>
      </c>
      <c r="O1" t="s">
        <v>2277</v>
      </c>
      <c r="P1" t="s">
        <v>2274</v>
      </c>
      <c r="Q1" t="s">
        <v>2275</v>
      </c>
      <c r="R1" t="s">
        <v>1620</v>
      </c>
      <c r="S1" t="s">
        <v>1627</v>
      </c>
      <c r="T1" t="s">
        <v>1625</v>
      </c>
      <c r="U1" t="s">
        <v>2280</v>
      </c>
      <c r="V1" t="s">
        <v>2279</v>
      </c>
      <c r="W1" t="s">
        <v>2278</v>
      </c>
      <c r="X1" t="s">
        <v>2310</v>
      </c>
      <c r="Y1" t="s">
        <v>587</v>
      </c>
      <c r="Z1" t="s">
        <v>2308</v>
      </c>
    </row>
    <row r="2" spans="1:26" x14ac:dyDescent="0.2">
      <c r="A2" t="s">
        <v>720</v>
      </c>
      <c r="B2" t="s">
        <v>7</v>
      </c>
      <c r="C2" t="s">
        <v>8</v>
      </c>
      <c r="D2" t="s">
        <v>9</v>
      </c>
      <c r="E2" t="s">
        <v>10</v>
      </c>
      <c r="F2" t="s">
        <v>11</v>
      </c>
      <c r="G2">
        <v>55407</v>
      </c>
      <c r="H2" t="s">
        <v>12</v>
      </c>
      <c r="I2">
        <v>42920</v>
      </c>
      <c r="J2">
        <v>4</v>
      </c>
      <c r="K2" t="s">
        <v>722</v>
      </c>
      <c r="L2">
        <v>0</v>
      </c>
      <c r="M2" t="b">
        <v>0</v>
      </c>
      <c r="N2">
        <v>42915</v>
      </c>
      <c r="O2">
        <v>5</v>
      </c>
      <c r="P2">
        <f>IF($D2="CON",1,0)</f>
        <v>1</v>
      </c>
      <c r="Q2">
        <f>IF(CO_Combined4[[#This Row],[Segment]]="COR",1,0)</f>
        <v>0</v>
      </c>
      <c r="R2">
        <f>IF(CO_Combined4[[#This Row],[Region ]]="E",1,0)</f>
        <v>0</v>
      </c>
      <c r="S2">
        <f>IF(CO_Combined4[[#This Row],[Region ]]="W",1,0)</f>
        <v>0</v>
      </c>
      <c r="T2">
        <f>IF(CO_Combined4[[#This Row],[Region ]]="S",1,0)</f>
        <v>0</v>
      </c>
      <c r="U2">
        <f>IF(CO_Combined4[[#This Row],[Ship Mode]]=1,1,0)</f>
        <v>0</v>
      </c>
      <c r="V2">
        <f>IF(CO_Combined4[[#This Row],[Ship Mode]]=2,1,0)</f>
        <v>0</v>
      </c>
      <c r="W2">
        <f>IF(CO_Combined4[[#This Row],[Ship Mode]]=3,1,0)</f>
        <v>0</v>
      </c>
      <c r="X2">
        <f t="shared" ref="X2:X65" si="0">IF($M2=$M$2,1,0)</f>
        <v>1</v>
      </c>
      <c r="Y2">
        <v>5</v>
      </c>
      <c r="Z2">
        <v>0</v>
      </c>
    </row>
    <row r="3" spans="1:26" x14ac:dyDescent="0.2">
      <c r="A3" t="s">
        <v>591</v>
      </c>
      <c r="B3" t="s">
        <v>60</v>
      </c>
      <c r="C3" t="s">
        <v>61</v>
      </c>
      <c r="D3" t="s">
        <v>9</v>
      </c>
      <c r="E3" t="s">
        <v>62</v>
      </c>
      <c r="F3" t="s">
        <v>63</v>
      </c>
      <c r="G3">
        <v>28027</v>
      </c>
      <c r="H3" t="s">
        <v>47</v>
      </c>
      <c r="I3">
        <v>42845</v>
      </c>
      <c r="J3">
        <v>4</v>
      </c>
      <c r="K3" t="s">
        <v>592</v>
      </c>
      <c r="L3">
        <v>0.2</v>
      </c>
      <c r="M3" t="b">
        <v>0</v>
      </c>
      <c r="N3">
        <v>42840</v>
      </c>
      <c r="O3">
        <v>5</v>
      </c>
      <c r="P3">
        <f t="shared" ref="P3:P65" si="1">IF($D3="CON",1,0)</f>
        <v>1</v>
      </c>
      <c r="Q3">
        <f>IF(CO_Combined4[[#This Row],[Segment]]="COR",1,0)</f>
        <v>0</v>
      </c>
      <c r="R3">
        <f>IF(CO_Combined4[[#This Row],[Region ]]="E",1,0)</f>
        <v>0</v>
      </c>
      <c r="S3">
        <f>IF(CO_Combined4[[#This Row],[Region ]]="W",1,0)</f>
        <v>0</v>
      </c>
      <c r="T3">
        <f>IF(CO_Combined4[[#This Row],[Region ]]="S",1,0)</f>
        <v>1</v>
      </c>
      <c r="U3">
        <f>IF(CO_Combined4[[#This Row],[Ship Mode]]=1,1,0)</f>
        <v>0</v>
      </c>
      <c r="V3">
        <f>IF(CO_Combined4[[#This Row],[Ship Mode]]=2,1,0)</f>
        <v>0</v>
      </c>
      <c r="W3">
        <f>IF(CO_Combined4[[#This Row],[Ship Mode]]=3,1,0)</f>
        <v>0</v>
      </c>
      <c r="X3">
        <f t="shared" si="0"/>
        <v>1</v>
      </c>
      <c r="Y3">
        <v>3</v>
      </c>
      <c r="Z3">
        <v>1</v>
      </c>
    </row>
    <row r="4" spans="1:26" x14ac:dyDescent="0.2">
      <c r="A4" t="s">
        <v>754</v>
      </c>
      <c r="B4" t="s">
        <v>60</v>
      </c>
      <c r="C4" t="s">
        <v>61</v>
      </c>
      <c r="D4" t="s">
        <v>9</v>
      </c>
      <c r="E4" t="s">
        <v>62</v>
      </c>
      <c r="F4" t="s">
        <v>63</v>
      </c>
      <c r="G4">
        <v>28027</v>
      </c>
      <c r="H4" t="s">
        <v>47</v>
      </c>
      <c r="I4">
        <v>41763</v>
      </c>
      <c r="J4">
        <v>1</v>
      </c>
      <c r="K4" t="s">
        <v>755</v>
      </c>
      <c r="L4">
        <v>0</v>
      </c>
      <c r="M4" t="b">
        <v>0</v>
      </c>
      <c r="N4">
        <v>41763</v>
      </c>
      <c r="O4">
        <v>0</v>
      </c>
      <c r="P4">
        <f t="shared" si="1"/>
        <v>1</v>
      </c>
      <c r="Q4">
        <f>IF(CO_Combined4[[#This Row],[Segment]]="COR",1,0)</f>
        <v>0</v>
      </c>
      <c r="R4">
        <f>IF(CO_Combined4[[#This Row],[Region ]]="E",1,0)</f>
        <v>0</v>
      </c>
      <c r="S4">
        <f>IF(CO_Combined4[[#This Row],[Region ]]="W",1,0)</f>
        <v>0</v>
      </c>
      <c r="T4">
        <f>IF(CO_Combined4[[#This Row],[Region ]]="S",1,0)</f>
        <v>1</v>
      </c>
      <c r="U4">
        <f>IF(CO_Combined4[[#This Row],[Ship Mode]]=1,1,0)</f>
        <v>1</v>
      </c>
      <c r="V4">
        <f>IF(CO_Combined4[[#This Row],[Ship Mode]]=2,1,0)</f>
        <v>0</v>
      </c>
      <c r="W4">
        <f>IF(CO_Combined4[[#This Row],[Ship Mode]]=3,1,0)</f>
        <v>0</v>
      </c>
      <c r="X4">
        <f t="shared" si="0"/>
        <v>1</v>
      </c>
      <c r="Y4">
        <v>2</v>
      </c>
      <c r="Z4">
        <v>0</v>
      </c>
    </row>
    <row r="5" spans="1:26" x14ac:dyDescent="0.2">
      <c r="A5" t="s">
        <v>735</v>
      </c>
      <c r="B5" t="s">
        <v>14</v>
      </c>
      <c r="C5" t="s">
        <v>15</v>
      </c>
      <c r="D5" t="s">
        <v>9</v>
      </c>
      <c r="E5" t="s">
        <v>16</v>
      </c>
      <c r="F5" t="s">
        <v>17</v>
      </c>
      <c r="G5">
        <v>94109</v>
      </c>
      <c r="H5" t="s">
        <v>18</v>
      </c>
      <c r="I5">
        <v>42284</v>
      </c>
      <c r="J5">
        <v>2</v>
      </c>
      <c r="K5" t="s">
        <v>736</v>
      </c>
      <c r="L5">
        <v>0</v>
      </c>
      <c r="M5" t="b">
        <v>0</v>
      </c>
      <c r="N5">
        <v>42281</v>
      </c>
      <c r="O5">
        <v>3</v>
      </c>
      <c r="P5">
        <f t="shared" si="1"/>
        <v>1</v>
      </c>
      <c r="Q5">
        <f>IF(CO_Combined4[[#This Row],[Segment]]="COR",1,0)</f>
        <v>0</v>
      </c>
      <c r="R5">
        <f>IF(CO_Combined4[[#This Row],[Region ]]="E",1,0)</f>
        <v>0</v>
      </c>
      <c r="S5">
        <f>IF(CO_Combined4[[#This Row],[Region ]]="W",1,0)</f>
        <v>1</v>
      </c>
      <c r="T5">
        <f>IF(CO_Combined4[[#This Row],[Region ]]="S",1,0)</f>
        <v>0</v>
      </c>
      <c r="U5">
        <f>IF(CO_Combined4[[#This Row],[Ship Mode]]=1,1,0)</f>
        <v>0</v>
      </c>
      <c r="V5">
        <f>IF(CO_Combined4[[#This Row],[Ship Mode]]=2,1,0)</f>
        <v>1</v>
      </c>
      <c r="W5">
        <f>IF(CO_Combined4[[#This Row],[Ship Mode]]=3,1,0)</f>
        <v>0</v>
      </c>
      <c r="X5">
        <f t="shared" si="0"/>
        <v>1</v>
      </c>
      <c r="Y5">
        <v>2</v>
      </c>
      <c r="Z5">
        <v>0</v>
      </c>
    </row>
    <row r="6" spans="1:26" x14ac:dyDescent="0.2">
      <c r="A6" t="s">
        <v>857</v>
      </c>
      <c r="B6" t="s">
        <v>14</v>
      </c>
      <c r="C6" t="s">
        <v>15</v>
      </c>
      <c r="D6" t="s">
        <v>9</v>
      </c>
      <c r="E6" t="s">
        <v>16</v>
      </c>
      <c r="F6" t="s">
        <v>17</v>
      </c>
      <c r="G6">
        <v>94109</v>
      </c>
      <c r="H6" t="s">
        <v>18</v>
      </c>
      <c r="I6">
        <v>41734</v>
      </c>
      <c r="J6">
        <v>4</v>
      </c>
      <c r="K6" t="s">
        <v>858</v>
      </c>
      <c r="L6">
        <v>0.1</v>
      </c>
      <c r="M6" t="b">
        <v>0</v>
      </c>
      <c r="N6">
        <v>41729</v>
      </c>
      <c r="O6">
        <v>5</v>
      </c>
      <c r="P6">
        <f t="shared" si="1"/>
        <v>1</v>
      </c>
      <c r="Q6">
        <f>IF(CO_Combined4[[#This Row],[Segment]]="COR",1,0)</f>
        <v>0</v>
      </c>
      <c r="R6">
        <f>IF(CO_Combined4[[#This Row],[Region ]]="E",1,0)</f>
        <v>0</v>
      </c>
      <c r="S6">
        <f>IF(CO_Combined4[[#This Row],[Region ]]="W",1,0)</f>
        <v>1</v>
      </c>
      <c r="T6">
        <f>IF(CO_Combined4[[#This Row],[Region ]]="S",1,0)</f>
        <v>0</v>
      </c>
      <c r="U6">
        <f>IF(CO_Combined4[[#This Row],[Ship Mode]]=1,1,0)</f>
        <v>0</v>
      </c>
      <c r="V6">
        <f>IF(CO_Combined4[[#This Row],[Ship Mode]]=2,1,0)</f>
        <v>0</v>
      </c>
      <c r="W6">
        <f>IF(CO_Combined4[[#This Row],[Ship Mode]]=3,1,0)</f>
        <v>0</v>
      </c>
      <c r="X6">
        <f t="shared" si="0"/>
        <v>1</v>
      </c>
      <c r="Y6">
        <v>4</v>
      </c>
      <c r="Z6">
        <v>1</v>
      </c>
    </row>
    <row r="7" spans="1:26" x14ac:dyDescent="0.2">
      <c r="A7" t="s">
        <v>593</v>
      </c>
      <c r="B7" t="s">
        <v>446</v>
      </c>
      <c r="C7" t="s">
        <v>197</v>
      </c>
      <c r="D7" t="s">
        <v>9</v>
      </c>
      <c r="E7" t="s">
        <v>198</v>
      </c>
      <c r="F7" t="s">
        <v>199</v>
      </c>
      <c r="G7">
        <v>84084</v>
      </c>
      <c r="H7" t="s">
        <v>18</v>
      </c>
      <c r="I7">
        <v>41774</v>
      </c>
      <c r="J7">
        <v>3</v>
      </c>
      <c r="K7" t="s">
        <v>594</v>
      </c>
      <c r="L7">
        <v>0</v>
      </c>
      <c r="M7" t="b">
        <v>0</v>
      </c>
      <c r="N7">
        <v>41772</v>
      </c>
      <c r="O7">
        <v>2</v>
      </c>
      <c r="P7">
        <f t="shared" si="1"/>
        <v>1</v>
      </c>
      <c r="Q7">
        <f>IF(CO_Combined4[[#This Row],[Segment]]="COR",1,0)</f>
        <v>0</v>
      </c>
      <c r="R7">
        <f>IF(CO_Combined4[[#This Row],[Region ]]="E",1,0)</f>
        <v>0</v>
      </c>
      <c r="S7">
        <f>IF(CO_Combined4[[#This Row],[Region ]]="W",1,0)</f>
        <v>1</v>
      </c>
      <c r="T7">
        <f>IF(CO_Combined4[[#This Row],[Region ]]="S",1,0)</f>
        <v>0</v>
      </c>
      <c r="U7">
        <f>IF(CO_Combined4[[#This Row],[Ship Mode]]=1,1,0)</f>
        <v>0</v>
      </c>
      <c r="V7">
        <f>IF(CO_Combined4[[#This Row],[Ship Mode]]=2,1,0)</f>
        <v>0</v>
      </c>
      <c r="W7">
        <f>IF(CO_Combined4[[#This Row],[Ship Mode]]=3,1,0)</f>
        <v>1</v>
      </c>
      <c r="X7">
        <f t="shared" si="0"/>
        <v>1</v>
      </c>
      <c r="Y7">
        <v>2</v>
      </c>
      <c r="Z7">
        <v>0</v>
      </c>
    </row>
    <row r="8" spans="1:26" x14ac:dyDescent="0.2">
      <c r="A8" t="s">
        <v>595</v>
      </c>
      <c r="B8" t="s">
        <v>434</v>
      </c>
      <c r="C8" t="s">
        <v>177</v>
      </c>
      <c r="D8" t="s">
        <v>90</v>
      </c>
      <c r="E8" t="s">
        <v>178</v>
      </c>
      <c r="F8" t="s">
        <v>179</v>
      </c>
      <c r="G8">
        <v>59405</v>
      </c>
      <c r="H8" t="s">
        <v>18</v>
      </c>
      <c r="I8">
        <v>42001</v>
      </c>
      <c r="J8">
        <v>3</v>
      </c>
      <c r="K8" t="s">
        <v>596</v>
      </c>
      <c r="L8">
        <v>0.3</v>
      </c>
      <c r="M8" t="b">
        <v>0</v>
      </c>
      <c r="N8">
        <v>41999</v>
      </c>
      <c r="O8">
        <v>2</v>
      </c>
      <c r="P8">
        <f t="shared" si="1"/>
        <v>0</v>
      </c>
      <c r="Q8">
        <f>IF(CO_Combined4[[#This Row],[Segment]]="COR",1,0)</f>
        <v>0</v>
      </c>
      <c r="R8">
        <f>IF(CO_Combined4[[#This Row],[Region ]]="E",1,0)</f>
        <v>0</v>
      </c>
      <c r="S8">
        <f>IF(CO_Combined4[[#This Row],[Region ]]="W",1,0)</f>
        <v>1</v>
      </c>
      <c r="T8">
        <f>IF(CO_Combined4[[#This Row],[Region ]]="S",1,0)</f>
        <v>0</v>
      </c>
      <c r="U8">
        <f>IF(CO_Combined4[[#This Row],[Ship Mode]]=1,1,0)</f>
        <v>0</v>
      </c>
      <c r="V8">
        <f>IF(CO_Combined4[[#This Row],[Ship Mode]]=2,1,0)</f>
        <v>0</v>
      </c>
      <c r="W8">
        <f>IF(CO_Combined4[[#This Row],[Ship Mode]]=3,1,0)</f>
        <v>1</v>
      </c>
      <c r="X8">
        <f t="shared" si="0"/>
        <v>1</v>
      </c>
      <c r="Y8">
        <v>3</v>
      </c>
      <c r="Z8">
        <v>1</v>
      </c>
    </row>
    <row r="9" spans="1:26" x14ac:dyDescent="0.2">
      <c r="A9" t="s">
        <v>642</v>
      </c>
      <c r="B9" t="s">
        <v>434</v>
      </c>
      <c r="C9" t="s">
        <v>177</v>
      </c>
      <c r="D9" t="s">
        <v>90</v>
      </c>
      <c r="E9" t="s">
        <v>178</v>
      </c>
      <c r="F9" t="s">
        <v>179</v>
      </c>
      <c r="G9">
        <v>59405</v>
      </c>
      <c r="H9" t="s">
        <v>18</v>
      </c>
      <c r="I9">
        <v>42762</v>
      </c>
      <c r="J9">
        <v>4</v>
      </c>
      <c r="K9" t="s">
        <v>643</v>
      </c>
      <c r="L9">
        <v>0</v>
      </c>
      <c r="M9" t="b">
        <v>1</v>
      </c>
      <c r="N9">
        <v>42757</v>
      </c>
      <c r="O9">
        <v>5</v>
      </c>
      <c r="P9">
        <f t="shared" si="1"/>
        <v>0</v>
      </c>
      <c r="Q9">
        <f>IF(CO_Combined4[[#This Row],[Segment]]="COR",1,0)</f>
        <v>0</v>
      </c>
      <c r="R9">
        <f>IF(CO_Combined4[[#This Row],[Region ]]="E",1,0)</f>
        <v>0</v>
      </c>
      <c r="S9">
        <f>IF(CO_Combined4[[#This Row],[Region ]]="W",1,0)</f>
        <v>1</v>
      </c>
      <c r="T9">
        <f>IF(CO_Combined4[[#This Row],[Region ]]="S",1,0)</f>
        <v>0</v>
      </c>
      <c r="U9">
        <f>IF(CO_Combined4[[#This Row],[Ship Mode]]=1,1,0)</f>
        <v>0</v>
      </c>
      <c r="V9">
        <f>IF(CO_Combined4[[#This Row],[Ship Mode]]=2,1,0)</f>
        <v>0</v>
      </c>
      <c r="W9">
        <f>IF(CO_Combined4[[#This Row],[Ship Mode]]=3,1,0)</f>
        <v>0</v>
      </c>
      <c r="X9">
        <f t="shared" si="0"/>
        <v>0</v>
      </c>
      <c r="Y9">
        <v>13</v>
      </c>
      <c r="Z9">
        <v>0</v>
      </c>
    </row>
    <row r="10" spans="1:26" x14ac:dyDescent="0.2">
      <c r="A10" t="s">
        <v>597</v>
      </c>
      <c r="B10" t="s">
        <v>513</v>
      </c>
      <c r="C10" t="s">
        <v>294</v>
      </c>
      <c r="D10" t="s">
        <v>150</v>
      </c>
      <c r="E10" t="s">
        <v>295</v>
      </c>
      <c r="F10" t="s">
        <v>22</v>
      </c>
      <c r="G10">
        <v>75051</v>
      </c>
      <c r="H10" t="s">
        <v>12</v>
      </c>
      <c r="I10">
        <v>42573</v>
      </c>
      <c r="J10">
        <v>4</v>
      </c>
      <c r="K10" t="s">
        <v>598</v>
      </c>
      <c r="L10">
        <v>0.2</v>
      </c>
      <c r="M10" t="b">
        <v>0</v>
      </c>
      <c r="N10">
        <v>42567</v>
      </c>
      <c r="O10">
        <v>6</v>
      </c>
      <c r="P10">
        <f t="shared" si="1"/>
        <v>0</v>
      </c>
      <c r="Q10">
        <f>IF(CO_Combined4[[#This Row],[Segment]]="COR",1,0)</f>
        <v>1</v>
      </c>
      <c r="R10">
        <f>IF(CO_Combined4[[#This Row],[Region ]]="E",1,0)</f>
        <v>0</v>
      </c>
      <c r="S10">
        <f>IF(CO_Combined4[[#This Row],[Region ]]="W",1,0)</f>
        <v>0</v>
      </c>
      <c r="T10">
        <f>IF(CO_Combined4[[#This Row],[Region ]]="S",1,0)</f>
        <v>0</v>
      </c>
      <c r="U10">
        <f>IF(CO_Combined4[[#This Row],[Ship Mode]]=1,1,0)</f>
        <v>0</v>
      </c>
      <c r="V10">
        <f>IF(CO_Combined4[[#This Row],[Ship Mode]]=2,1,0)</f>
        <v>0</v>
      </c>
      <c r="W10">
        <f>IF(CO_Combined4[[#This Row],[Ship Mode]]=3,1,0)</f>
        <v>0</v>
      </c>
      <c r="X10">
        <f t="shared" si="0"/>
        <v>1</v>
      </c>
      <c r="Y10">
        <v>6</v>
      </c>
      <c r="Z10">
        <v>1</v>
      </c>
    </row>
    <row r="11" spans="1:26" x14ac:dyDescent="0.2">
      <c r="A11" t="s">
        <v>866</v>
      </c>
      <c r="B11" t="s">
        <v>514</v>
      </c>
      <c r="C11" t="s">
        <v>296</v>
      </c>
      <c r="D11" t="s">
        <v>150</v>
      </c>
      <c r="E11" t="s">
        <v>38</v>
      </c>
      <c r="F11" t="s">
        <v>22</v>
      </c>
      <c r="G11">
        <v>90032</v>
      </c>
      <c r="H11" t="s">
        <v>18</v>
      </c>
      <c r="I11">
        <v>43072</v>
      </c>
      <c r="J11">
        <v>1</v>
      </c>
      <c r="K11" t="s">
        <v>869</v>
      </c>
      <c r="L11">
        <v>7.9999999999999988E-2</v>
      </c>
      <c r="M11" t="b">
        <v>0</v>
      </c>
      <c r="N11">
        <v>43071</v>
      </c>
      <c r="O11">
        <v>1</v>
      </c>
      <c r="P11">
        <f t="shared" si="1"/>
        <v>0</v>
      </c>
      <c r="Q11">
        <f>IF(CO_Combined4[[#This Row],[Segment]]="COR",1,0)</f>
        <v>1</v>
      </c>
      <c r="R11">
        <f>IF(CO_Combined4[[#This Row],[Region ]]="E",1,0)</f>
        <v>0</v>
      </c>
      <c r="S11">
        <f>IF(CO_Combined4[[#This Row],[Region ]]="W",1,0)</f>
        <v>1</v>
      </c>
      <c r="T11">
        <f>IF(CO_Combined4[[#This Row],[Region ]]="S",1,0)</f>
        <v>0</v>
      </c>
      <c r="U11">
        <f>IF(CO_Combined4[[#This Row],[Ship Mode]]=1,1,0)</f>
        <v>1</v>
      </c>
      <c r="V11">
        <f>IF(CO_Combined4[[#This Row],[Ship Mode]]=2,1,0)</f>
        <v>0</v>
      </c>
      <c r="W11">
        <f>IF(CO_Combined4[[#This Row],[Ship Mode]]=3,1,0)</f>
        <v>0</v>
      </c>
      <c r="X11">
        <f t="shared" si="0"/>
        <v>1</v>
      </c>
      <c r="Y11">
        <v>19</v>
      </c>
      <c r="Z11">
        <v>1</v>
      </c>
    </row>
    <row r="12" spans="1:26" x14ac:dyDescent="0.2">
      <c r="A12" t="s">
        <v>647</v>
      </c>
      <c r="B12" t="s">
        <v>28</v>
      </c>
      <c r="C12" t="s">
        <v>29</v>
      </c>
      <c r="D12" t="s">
        <v>9</v>
      </c>
      <c r="E12" t="s">
        <v>30</v>
      </c>
      <c r="F12" t="s">
        <v>31</v>
      </c>
      <c r="G12">
        <v>85204</v>
      </c>
      <c r="H12" t="s">
        <v>18</v>
      </c>
      <c r="I12">
        <v>42567</v>
      </c>
      <c r="J12">
        <v>4</v>
      </c>
      <c r="K12" t="s">
        <v>648</v>
      </c>
      <c r="L12">
        <v>0.2</v>
      </c>
      <c r="M12" t="b">
        <v>0</v>
      </c>
      <c r="N12">
        <v>42561</v>
      </c>
      <c r="O12">
        <v>6</v>
      </c>
      <c r="P12">
        <f t="shared" si="1"/>
        <v>1</v>
      </c>
      <c r="Q12">
        <f>IF(CO_Combined4[[#This Row],[Segment]]="COR",1,0)</f>
        <v>0</v>
      </c>
      <c r="R12">
        <f>IF(CO_Combined4[[#This Row],[Region ]]="E",1,0)</f>
        <v>0</v>
      </c>
      <c r="S12">
        <f>IF(CO_Combined4[[#This Row],[Region ]]="W",1,0)</f>
        <v>1</v>
      </c>
      <c r="T12">
        <f>IF(CO_Combined4[[#This Row],[Region ]]="S",1,0)</f>
        <v>0</v>
      </c>
      <c r="U12">
        <f>IF(CO_Combined4[[#This Row],[Ship Mode]]=1,1,0)</f>
        <v>0</v>
      </c>
      <c r="V12">
        <f>IF(CO_Combined4[[#This Row],[Ship Mode]]=2,1,0)</f>
        <v>0</v>
      </c>
      <c r="W12">
        <f>IF(CO_Combined4[[#This Row],[Ship Mode]]=3,1,0)</f>
        <v>0</v>
      </c>
      <c r="X12">
        <f t="shared" si="0"/>
        <v>1</v>
      </c>
      <c r="Y12">
        <v>2</v>
      </c>
      <c r="Z12">
        <v>1</v>
      </c>
    </row>
    <row r="13" spans="1:26" x14ac:dyDescent="0.2">
      <c r="A13" t="s">
        <v>684</v>
      </c>
      <c r="B13" t="s">
        <v>32</v>
      </c>
      <c r="C13" t="s">
        <v>33</v>
      </c>
      <c r="D13" t="s">
        <v>9</v>
      </c>
      <c r="E13" t="s">
        <v>34</v>
      </c>
      <c r="F13" t="s">
        <v>35</v>
      </c>
      <c r="G13">
        <v>68104</v>
      </c>
      <c r="H13" t="s">
        <v>12</v>
      </c>
      <c r="I13">
        <v>42040</v>
      </c>
      <c r="J13">
        <v>2</v>
      </c>
      <c r="K13" t="s">
        <v>686</v>
      </c>
      <c r="L13">
        <v>0</v>
      </c>
      <c r="M13" t="b">
        <v>0</v>
      </c>
      <c r="N13">
        <v>42038</v>
      </c>
      <c r="O13">
        <v>2</v>
      </c>
      <c r="P13">
        <f t="shared" si="1"/>
        <v>1</v>
      </c>
      <c r="Q13">
        <f>IF(CO_Combined4[[#This Row],[Segment]]="COR",1,0)</f>
        <v>0</v>
      </c>
      <c r="R13">
        <f>IF(CO_Combined4[[#This Row],[Region ]]="E",1,0)</f>
        <v>0</v>
      </c>
      <c r="S13">
        <f>IF(CO_Combined4[[#This Row],[Region ]]="W",1,0)</f>
        <v>0</v>
      </c>
      <c r="T13">
        <f>IF(CO_Combined4[[#This Row],[Region ]]="S",1,0)</f>
        <v>0</v>
      </c>
      <c r="U13">
        <f>IF(CO_Combined4[[#This Row],[Ship Mode]]=1,1,0)</f>
        <v>0</v>
      </c>
      <c r="V13">
        <f>IF(CO_Combined4[[#This Row],[Ship Mode]]=2,1,0)</f>
        <v>1</v>
      </c>
      <c r="W13">
        <f>IF(CO_Combined4[[#This Row],[Ship Mode]]=3,1,0)</f>
        <v>0</v>
      </c>
      <c r="X13">
        <f t="shared" si="0"/>
        <v>1</v>
      </c>
      <c r="Y13">
        <v>5</v>
      </c>
      <c r="Z13">
        <v>0</v>
      </c>
    </row>
    <row r="14" spans="1:26" x14ac:dyDescent="0.2">
      <c r="A14" t="s">
        <v>600</v>
      </c>
      <c r="B14" t="s">
        <v>487</v>
      </c>
      <c r="C14" t="s">
        <v>257</v>
      </c>
      <c r="D14" t="s">
        <v>9</v>
      </c>
      <c r="E14" t="s">
        <v>258</v>
      </c>
      <c r="F14" t="s">
        <v>17</v>
      </c>
      <c r="G14">
        <v>94513</v>
      </c>
      <c r="H14" t="s">
        <v>18</v>
      </c>
      <c r="I14">
        <v>42323</v>
      </c>
      <c r="J14">
        <v>4</v>
      </c>
      <c r="K14" t="s">
        <v>601</v>
      </c>
      <c r="L14">
        <v>0</v>
      </c>
      <c r="M14" t="b">
        <v>0</v>
      </c>
      <c r="N14">
        <v>42318</v>
      </c>
      <c r="O14">
        <v>5</v>
      </c>
      <c r="P14">
        <f t="shared" si="1"/>
        <v>1</v>
      </c>
      <c r="Q14">
        <f>IF(CO_Combined4[[#This Row],[Segment]]="COR",1,0)</f>
        <v>0</v>
      </c>
      <c r="R14">
        <f>IF(CO_Combined4[[#This Row],[Region ]]="E",1,0)</f>
        <v>0</v>
      </c>
      <c r="S14">
        <f>IF(CO_Combined4[[#This Row],[Region ]]="W",1,0)</f>
        <v>1</v>
      </c>
      <c r="T14">
        <f>IF(CO_Combined4[[#This Row],[Region ]]="S",1,0)</f>
        <v>0</v>
      </c>
      <c r="U14">
        <f>IF(CO_Combined4[[#This Row],[Ship Mode]]=1,1,0)</f>
        <v>0</v>
      </c>
      <c r="V14">
        <f>IF(CO_Combined4[[#This Row],[Ship Mode]]=2,1,0)</f>
        <v>0</v>
      </c>
      <c r="W14">
        <f>IF(CO_Combined4[[#This Row],[Ship Mode]]=3,1,0)</f>
        <v>0</v>
      </c>
      <c r="X14">
        <f t="shared" si="0"/>
        <v>1</v>
      </c>
      <c r="Y14">
        <v>2</v>
      </c>
      <c r="Z14">
        <v>0</v>
      </c>
    </row>
    <row r="15" spans="1:26" x14ac:dyDescent="0.2">
      <c r="A15" t="s">
        <v>889</v>
      </c>
      <c r="B15" t="s">
        <v>487</v>
      </c>
      <c r="C15" t="s">
        <v>257</v>
      </c>
      <c r="D15" t="s">
        <v>9</v>
      </c>
      <c r="E15" t="s">
        <v>258</v>
      </c>
      <c r="F15" t="s">
        <v>17</v>
      </c>
      <c r="G15">
        <v>94513</v>
      </c>
      <c r="H15" t="s">
        <v>18</v>
      </c>
      <c r="I15">
        <v>43100</v>
      </c>
      <c r="J15">
        <v>4</v>
      </c>
      <c r="K15" t="s">
        <v>890</v>
      </c>
      <c r="L15">
        <v>0</v>
      </c>
      <c r="M15" t="b">
        <v>0</v>
      </c>
      <c r="N15">
        <v>43093</v>
      </c>
      <c r="O15">
        <v>7</v>
      </c>
      <c r="P15">
        <f t="shared" si="1"/>
        <v>1</v>
      </c>
      <c r="Q15">
        <f>IF(CO_Combined4[[#This Row],[Segment]]="COR",1,0)</f>
        <v>0</v>
      </c>
      <c r="R15">
        <f>IF(CO_Combined4[[#This Row],[Region ]]="E",1,0)</f>
        <v>0</v>
      </c>
      <c r="S15">
        <f>IF(CO_Combined4[[#This Row],[Region ]]="W",1,0)</f>
        <v>1</v>
      </c>
      <c r="T15">
        <f>IF(CO_Combined4[[#This Row],[Region ]]="S",1,0)</f>
        <v>0</v>
      </c>
      <c r="U15">
        <f>IF(CO_Combined4[[#This Row],[Ship Mode]]=1,1,0)</f>
        <v>0</v>
      </c>
      <c r="V15">
        <f>IF(CO_Combined4[[#This Row],[Ship Mode]]=2,1,0)</f>
        <v>0</v>
      </c>
      <c r="W15">
        <f>IF(CO_Combined4[[#This Row],[Ship Mode]]=3,1,0)</f>
        <v>0</v>
      </c>
      <c r="X15">
        <f t="shared" si="0"/>
        <v>1</v>
      </c>
      <c r="Y15">
        <v>6</v>
      </c>
      <c r="Z15">
        <v>0</v>
      </c>
    </row>
    <row r="16" spans="1:26" x14ac:dyDescent="0.2">
      <c r="A16" t="s">
        <v>727</v>
      </c>
      <c r="B16" t="s">
        <v>36</v>
      </c>
      <c r="C16" t="s">
        <v>37</v>
      </c>
      <c r="D16" t="s">
        <v>9</v>
      </c>
      <c r="E16" t="s">
        <v>38</v>
      </c>
      <c r="F16" t="s">
        <v>17</v>
      </c>
      <c r="G16">
        <v>90008</v>
      </c>
      <c r="H16" t="s">
        <v>18</v>
      </c>
      <c r="I16">
        <v>41754</v>
      </c>
      <c r="J16">
        <v>4</v>
      </c>
      <c r="K16" t="s">
        <v>728</v>
      </c>
      <c r="L16">
        <v>0.2</v>
      </c>
      <c r="M16" t="b">
        <v>0</v>
      </c>
      <c r="N16">
        <v>41750</v>
      </c>
      <c r="O16">
        <v>4</v>
      </c>
      <c r="P16">
        <f t="shared" si="1"/>
        <v>1</v>
      </c>
      <c r="Q16">
        <f>IF(CO_Combined4[[#This Row],[Segment]]="COR",1,0)</f>
        <v>0</v>
      </c>
      <c r="R16">
        <f>IF(CO_Combined4[[#This Row],[Region ]]="E",1,0)</f>
        <v>0</v>
      </c>
      <c r="S16">
        <f>IF(CO_Combined4[[#This Row],[Region ]]="W",1,0)</f>
        <v>1</v>
      </c>
      <c r="T16">
        <f>IF(CO_Combined4[[#This Row],[Region ]]="S",1,0)</f>
        <v>0</v>
      </c>
      <c r="U16">
        <f>IF(CO_Combined4[[#This Row],[Ship Mode]]=1,1,0)</f>
        <v>0</v>
      </c>
      <c r="V16">
        <f>IF(CO_Combined4[[#This Row],[Ship Mode]]=2,1,0)</f>
        <v>0</v>
      </c>
      <c r="W16">
        <f>IF(CO_Combined4[[#This Row],[Ship Mode]]=3,1,0)</f>
        <v>0</v>
      </c>
      <c r="X16">
        <f t="shared" si="0"/>
        <v>1</v>
      </c>
      <c r="Y16">
        <v>5</v>
      </c>
      <c r="Z16">
        <v>1</v>
      </c>
    </row>
    <row r="17" spans="1:26" x14ac:dyDescent="0.2">
      <c r="A17" t="s">
        <v>602</v>
      </c>
      <c r="B17" t="s">
        <v>452</v>
      </c>
      <c r="C17" t="s">
        <v>206</v>
      </c>
      <c r="D17" t="s">
        <v>150</v>
      </c>
      <c r="E17" t="s">
        <v>97</v>
      </c>
      <c r="F17" t="s">
        <v>67</v>
      </c>
      <c r="G17">
        <v>19140</v>
      </c>
      <c r="H17" t="s">
        <v>27</v>
      </c>
      <c r="I17">
        <v>43025</v>
      </c>
      <c r="J17">
        <v>4</v>
      </c>
      <c r="K17" t="s">
        <v>605</v>
      </c>
      <c r="L17">
        <v>0.2</v>
      </c>
      <c r="M17" t="b">
        <v>0</v>
      </c>
      <c r="N17">
        <v>43021</v>
      </c>
      <c r="O17">
        <v>4</v>
      </c>
      <c r="P17">
        <f t="shared" si="1"/>
        <v>0</v>
      </c>
      <c r="Q17">
        <f>IF(CO_Combined4[[#This Row],[Segment]]="COR",1,0)</f>
        <v>1</v>
      </c>
      <c r="R17">
        <f>IF(CO_Combined4[[#This Row],[Region ]]="E",1,0)</f>
        <v>1</v>
      </c>
      <c r="S17">
        <f>IF(CO_Combined4[[#This Row],[Region ]]="W",1,0)</f>
        <v>0</v>
      </c>
      <c r="T17">
        <f>IF(CO_Combined4[[#This Row],[Region ]]="S",1,0)</f>
        <v>0</v>
      </c>
      <c r="U17">
        <f>IF(CO_Combined4[[#This Row],[Ship Mode]]=1,1,0)</f>
        <v>0</v>
      </c>
      <c r="V17">
        <f>IF(CO_Combined4[[#This Row],[Ship Mode]]=2,1,0)</f>
        <v>0</v>
      </c>
      <c r="W17">
        <f>IF(CO_Combined4[[#This Row],[Ship Mode]]=3,1,0)</f>
        <v>0</v>
      </c>
      <c r="X17">
        <f t="shared" si="0"/>
        <v>1</v>
      </c>
      <c r="Y17">
        <v>15</v>
      </c>
      <c r="Z17">
        <v>1</v>
      </c>
    </row>
    <row r="18" spans="1:26" x14ac:dyDescent="0.2">
      <c r="A18" t="s">
        <v>828</v>
      </c>
      <c r="B18" t="s">
        <v>39</v>
      </c>
      <c r="C18" t="s">
        <v>40</v>
      </c>
      <c r="D18" t="s">
        <v>9</v>
      </c>
      <c r="E18" t="s">
        <v>41</v>
      </c>
      <c r="F18" t="s">
        <v>42</v>
      </c>
      <c r="G18">
        <v>97301</v>
      </c>
      <c r="H18" t="s">
        <v>18</v>
      </c>
      <c r="I18">
        <v>42136</v>
      </c>
      <c r="J18">
        <v>4</v>
      </c>
      <c r="K18" t="s">
        <v>829</v>
      </c>
      <c r="L18">
        <v>0.2</v>
      </c>
      <c r="M18" t="b">
        <v>0</v>
      </c>
      <c r="N18">
        <v>42132</v>
      </c>
      <c r="O18">
        <v>4</v>
      </c>
      <c r="P18">
        <f t="shared" si="1"/>
        <v>1</v>
      </c>
      <c r="Q18">
        <f>IF(CO_Combined4[[#This Row],[Segment]]="COR",1,0)</f>
        <v>0</v>
      </c>
      <c r="R18">
        <f>IF(CO_Combined4[[#This Row],[Region ]]="E",1,0)</f>
        <v>0</v>
      </c>
      <c r="S18">
        <f>IF(CO_Combined4[[#This Row],[Region ]]="W",1,0)</f>
        <v>1</v>
      </c>
      <c r="T18">
        <f>IF(CO_Combined4[[#This Row],[Region ]]="S",1,0)</f>
        <v>0</v>
      </c>
      <c r="U18">
        <f>IF(CO_Combined4[[#This Row],[Ship Mode]]=1,1,0)</f>
        <v>0</v>
      </c>
      <c r="V18">
        <f>IF(CO_Combined4[[#This Row],[Ship Mode]]=2,1,0)</f>
        <v>0</v>
      </c>
      <c r="W18">
        <f>IF(CO_Combined4[[#This Row],[Ship Mode]]=3,1,0)</f>
        <v>0</v>
      </c>
      <c r="X18">
        <f t="shared" si="0"/>
        <v>1</v>
      </c>
      <c r="Y18">
        <v>2</v>
      </c>
      <c r="Z18">
        <v>1</v>
      </c>
    </row>
    <row r="19" spans="1:26" x14ac:dyDescent="0.2">
      <c r="A19" t="s">
        <v>860</v>
      </c>
      <c r="B19" t="s">
        <v>43</v>
      </c>
      <c r="C19" t="s">
        <v>44</v>
      </c>
      <c r="D19" t="s">
        <v>9</v>
      </c>
      <c r="E19" t="s">
        <v>45</v>
      </c>
      <c r="F19" t="s">
        <v>46</v>
      </c>
      <c r="G19">
        <v>30318</v>
      </c>
      <c r="H19" t="s">
        <v>47</v>
      </c>
      <c r="I19">
        <v>42690</v>
      </c>
      <c r="J19">
        <v>3</v>
      </c>
      <c r="K19" t="s">
        <v>861</v>
      </c>
      <c r="L19">
        <v>0</v>
      </c>
      <c r="M19" t="b">
        <v>0</v>
      </c>
      <c r="N19">
        <v>42688</v>
      </c>
      <c r="O19">
        <v>2</v>
      </c>
      <c r="P19">
        <f t="shared" si="1"/>
        <v>1</v>
      </c>
      <c r="Q19">
        <f>IF(CO_Combined4[[#This Row],[Segment]]="COR",1,0)</f>
        <v>0</v>
      </c>
      <c r="R19">
        <f>IF(CO_Combined4[[#This Row],[Region ]]="E",1,0)</f>
        <v>0</v>
      </c>
      <c r="S19">
        <f>IF(CO_Combined4[[#This Row],[Region ]]="W",1,0)</f>
        <v>0</v>
      </c>
      <c r="T19">
        <f>IF(CO_Combined4[[#This Row],[Region ]]="S",1,0)</f>
        <v>1</v>
      </c>
      <c r="U19">
        <f>IF(CO_Combined4[[#This Row],[Ship Mode]]=1,1,0)</f>
        <v>0</v>
      </c>
      <c r="V19">
        <f>IF(CO_Combined4[[#This Row],[Ship Mode]]=2,1,0)</f>
        <v>0</v>
      </c>
      <c r="W19">
        <f>IF(CO_Combined4[[#This Row],[Ship Mode]]=3,1,0)</f>
        <v>1</v>
      </c>
      <c r="X19">
        <f t="shared" si="0"/>
        <v>1</v>
      </c>
      <c r="Y19">
        <v>5</v>
      </c>
      <c r="Z19">
        <v>0</v>
      </c>
    </row>
    <row r="20" spans="1:26" x14ac:dyDescent="0.2">
      <c r="A20" t="s">
        <v>607</v>
      </c>
      <c r="B20" t="s">
        <v>484</v>
      </c>
      <c r="C20" t="s">
        <v>252</v>
      </c>
      <c r="D20" t="s">
        <v>150</v>
      </c>
      <c r="E20" t="s">
        <v>253</v>
      </c>
      <c r="F20" t="s">
        <v>166</v>
      </c>
      <c r="G20">
        <v>33319</v>
      </c>
      <c r="H20" t="s">
        <v>47</v>
      </c>
      <c r="I20">
        <v>42724</v>
      </c>
      <c r="J20">
        <v>3</v>
      </c>
      <c r="K20" t="s">
        <v>610</v>
      </c>
      <c r="L20">
        <v>0.36666666666666664</v>
      </c>
      <c r="M20" t="b">
        <v>0</v>
      </c>
      <c r="N20">
        <v>42722</v>
      </c>
      <c r="O20">
        <v>2</v>
      </c>
      <c r="P20">
        <f t="shared" si="1"/>
        <v>0</v>
      </c>
      <c r="Q20">
        <f>IF(CO_Combined4[[#This Row],[Segment]]="COR",1,0)</f>
        <v>1</v>
      </c>
      <c r="R20">
        <f>IF(CO_Combined4[[#This Row],[Region ]]="E",1,0)</f>
        <v>0</v>
      </c>
      <c r="S20">
        <f>IF(CO_Combined4[[#This Row],[Region ]]="W",1,0)</f>
        <v>0</v>
      </c>
      <c r="T20">
        <f>IF(CO_Combined4[[#This Row],[Region ]]="S",1,0)</f>
        <v>1</v>
      </c>
      <c r="U20">
        <f>IF(CO_Combined4[[#This Row],[Ship Mode]]=1,1,0)</f>
        <v>0</v>
      </c>
      <c r="V20">
        <f>IF(CO_Combined4[[#This Row],[Ship Mode]]=2,1,0)</f>
        <v>0</v>
      </c>
      <c r="W20">
        <f>IF(CO_Combined4[[#This Row],[Ship Mode]]=3,1,0)</f>
        <v>1</v>
      </c>
      <c r="X20">
        <f t="shared" si="0"/>
        <v>1</v>
      </c>
      <c r="Y20">
        <v>14</v>
      </c>
      <c r="Z20">
        <v>1</v>
      </c>
    </row>
    <row r="21" spans="1:26" x14ac:dyDescent="0.2">
      <c r="A21" t="s">
        <v>611</v>
      </c>
      <c r="B21" t="s">
        <v>546</v>
      </c>
      <c r="C21" t="s">
        <v>342</v>
      </c>
      <c r="D21" t="s">
        <v>150</v>
      </c>
      <c r="E21" t="s">
        <v>343</v>
      </c>
      <c r="F21" t="s">
        <v>299</v>
      </c>
      <c r="G21">
        <v>36116</v>
      </c>
      <c r="H21" t="s">
        <v>47</v>
      </c>
      <c r="I21">
        <v>42133</v>
      </c>
      <c r="J21">
        <v>3</v>
      </c>
      <c r="K21" t="s">
        <v>612</v>
      </c>
      <c r="L21">
        <v>0</v>
      </c>
      <c r="M21" t="b">
        <v>0</v>
      </c>
      <c r="N21">
        <v>42128</v>
      </c>
      <c r="O21">
        <v>5</v>
      </c>
      <c r="P21">
        <f t="shared" si="1"/>
        <v>0</v>
      </c>
      <c r="Q21">
        <f>IF(CO_Combined4[[#This Row],[Segment]]="COR",1,0)</f>
        <v>1</v>
      </c>
      <c r="R21">
        <f>IF(CO_Combined4[[#This Row],[Region ]]="E",1,0)</f>
        <v>0</v>
      </c>
      <c r="S21">
        <f>IF(CO_Combined4[[#This Row],[Region ]]="W",1,0)</f>
        <v>0</v>
      </c>
      <c r="T21">
        <f>IF(CO_Combined4[[#This Row],[Region ]]="S",1,0)</f>
        <v>1</v>
      </c>
      <c r="U21">
        <f>IF(CO_Combined4[[#This Row],[Ship Mode]]=1,1,0)</f>
        <v>0</v>
      </c>
      <c r="V21">
        <f>IF(CO_Combined4[[#This Row],[Ship Mode]]=2,1,0)</f>
        <v>0</v>
      </c>
      <c r="W21">
        <f>IF(CO_Combined4[[#This Row],[Ship Mode]]=3,1,0)</f>
        <v>1</v>
      </c>
      <c r="X21">
        <f t="shared" si="0"/>
        <v>1</v>
      </c>
      <c r="Y21">
        <v>2</v>
      </c>
      <c r="Z21">
        <v>0</v>
      </c>
    </row>
    <row r="22" spans="1:26" x14ac:dyDescent="0.2">
      <c r="A22" t="s">
        <v>824</v>
      </c>
      <c r="B22" t="s">
        <v>546</v>
      </c>
      <c r="C22" t="s">
        <v>342</v>
      </c>
      <c r="D22" t="s">
        <v>150</v>
      </c>
      <c r="E22" t="s">
        <v>343</v>
      </c>
      <c r="F22" t="s">
        <v>299</v>
      </c>
      <c r="G22">
        <v>36116</v>
      </c>
      <c r="H22" t="s">
        <v>47</v>
      </c>
      <c r="I22">
        <v>41932</v>
      </c>
      <c r="J22">
        <v>3</v>
      </c>
      <c r="K22" t="s">
        <v>826</v>
      </c>
      <c r="L22">
        <v>0</v>
      </c>
      <c r="M22" t="b">
        <v>0</v>
      </c>
      <c r="N22">
        <v>41930</v>
      </c>
      <c r="O22">
        <v>2</v>
      </c>
      <c r="P22">
        <f t="shared" si="1"/>
        <v>0</v>
      </c>
      <c r="Q22">
        <f>IF(CO_Combined4[[#This Row],[Segment]]="COR",1,0)</f>
        <v>1</v>
      </c>
      <c r="R22">
        <f>IF(CO_Combined4[[#This Row],[Region ]]="E",1,0)</f>
        <v>0</v>
      </c>
      <c r="S22">
        <f>IF(CO_Combined4[[#This Row],[Region ]]="W",1,0)</f>
        <v>0</v>
      </c>
      <c r="T22">
        <f>IF(CO_Combined4[[#This Row],[Region ]]="S",1,0)</f>
        <v>1</v>
      </c>
      <c r="U22">
        <f>IF(CO_Combined4[[#This Row],[Ship Mode]]=1,1,0)</f>
        <v>0</v>
      </c>
      <c r="V22">
        <f>IF(CO_Combined4[[#This Row],[Ship Mode]]=2,1,0)</f>
        <v>0</v>
      </c>
      <c r="W22">
        <f>IF(CO_Combined4[[#This Row],[Ship Mode]]=3,1,0)</f>
        <v>1</v>
      </c>
      <c r="X22">
        <f t="shared" si="0"/>
        <v>1</v>
      </c>
      <c r="Y22">
        <v>14</v>
      </c>
      <c r="Z22">
        <v>0</v>
      </c>
    </row>
    <row r="23" spans="1:26" x14ac:dyDescent="0.2">
      <c r="A23" t="s">
        <v>613</v>
      </c>
      <c r="B23" t="s">
        <v>572</v>
      </c>
      <c r="C23" t="s">
        <v>571</v>
      </c>
      <c r="D23" t="s">
        <v>150</v>
      </c>
      <c r="E23" t="s">
        <v>212</v>
      </c>
      <c r="F23" t="s">
        <v>22</v>
      </c>
      <c r="G23">
        <v>77095</v>
      </c>
      <c r="H23" t="s">
        <v>47</v>
      </c>
      <c r="I23">
        <v>41867</v>
      </c>
      <c r="J23">
        <v>4</v>
      </c>
      <c r="K23" t="s">
        <v>614</v>
      </c>
      <c r="L23">
        <v>0.2</v>
      </c>
      <c r="M23" t="b">
        <v>0</v>
      </c>
      <c r="N23">
        <v>41860</v>
      </c>
      <c r="O23">
        <v>7</v>
      </c>
      <c r="P23">
        <f t="shared" si="1"/>
        <v>0</v>
      </c>
      <c r="Q23">
        <f>IF(CO_Combined4[[#This Row],[Segment]]="COR",1,0)</f>
        <v>1</v>
      </c>
      <c r="R23">
        <f>IF(CO_Combined4[[#This Row],[Region ]]="E",1,0)</f>
        <v>0</v>
      </c>
      <c r="S23">
        <f>IF(CO_Combined4[[#This Row],[Region ]]="W",1,0)</f>
        <v>0</v>
      </c>
      <c r="T23">
        <f>IF(CO_Combined4[[#This Row],[Region ]]="S",1,0)</f>
        <v>1</v>
      </c>
      <c r="U23">
        <f>IF(CO_Combined4[[#This Row],[Ship Mode]]=1,1,0)</f>
        <v>0</v>
      </c>
      <c r="V23">
        <f>IF(CO_Combined4[[#This Row],[Ship Mode]]=2,1,0)</f>
        <v>0</v>
      </c>
      <c r="W23">
        <f>IF(CO_Combined4[[#This Row],[Ship Mode]]=3,1,0)</f>
        <v>0</v>
      </c>
      <c r="X23">
        <f t="shared" si="0"/>
        <v>1</v>
      </c>
      <c r="Y23">
        <v>10</v>
      </c>
      <c r="Z23">
        <v>1</v>
      </c>
    </row>
    <row r="24" spans="1:26" x14ac:dyDescent="0.2">
      <c r="A24" t="s">
        <v>616</v>
      </c>
      <c r="B24" t="s">
        <v>421</v>
      </c>
      <c r="C24" t="s">
        <v>157</v>
      </c>
      <c r="D24" t="s">
        <v>150</v>
      </c>
      <c r="E24" t="s">
        <v>16</v>
      </c>
      <c r="F24" t="s">
        <v>17</v>
      </c>
      <c r="G24">
        <v>94122</v>
      </c>
      <c r="H24" t="s">
        <v>18</v>
      </c>
      <c r="I24">
        <v>41837</v>
      </c>
      <c r="J24">
        <v>4</v>
      </c>
      <c r="K24" t="s">
        <v>617</v>
      </c>
      <c r="L24">
        <v>0.2</v>
      </c>
      <c r="M24" t="b">
        <v>1</v>
      </c>
      <c r="N24">
        <v>41832</v>
      </c>
      <c r="O24">
        <v>5</v>
      </c>
      <c r="P24">
        <f t="shared" si="1"/>
        <v>0</v>
      </c>
      <c r="Q24">
        <f>IF(CO_Combined4[[#This Row],[Segment]]="COR",1,0)</f>
        <v>1</v>
      </c>
      <c r="R24">
        <f>IF(CO_Combined4[[#This Row],[Region ]]="E",1,0)</f>
        <v>0</v>
      </c>
      <c r="S24">
        <f>IF(CO_Combined4[[#This Row],[Region ]]="W",1,0)</f>
        <v>1</v>
      </c>
      <c r="T24">
        <f>IF(CO_Combined4[[#This Row],[Region ]]="S",1,0)</f>
        <v>0</v>
      </c>
      <c r="U24">
        <f>IF(CO_Combined4[[#This Row],[Ship Mode]]=1,1,0)</f>
        <v>0</v>
      </c>
      <c r="V24">
        <f>IF(CO_Combined4[[#This Row],[Ship Mode]]=2,1,0)</f>
        <v>0</v>
      </c>
      <c r="W24">
        <f>IF(CO_Combined4[[#This Row],[Ship Mode]]=3,1,0)</f>
        <v>0</v>
      </c>
      <c r="X24">
        <f t="shared" si="0"/>
        <v>0</v>
      </c>
      <c r="Y24">
        <v>10</v>
      </c>
      <c r="Z24">
        <v>1</v>
      </c>
    </row>
    <row r="25" spans="1:26" x14ac:dyDescent="0.2">
      <c r="A25" t="s">
        <v>800</v>
      </c>
      <c r="B25" t="s">
        <v>421</v>
      </c>
      <c r="C25" t="s">
        <v>157</v>
      </c>
      <c r="D25" t="s">
        <v>150</v>
      </c>
      <c r="E25" t="s">
        <v>16</v>
      </c>
      <c r="F25" t="s">
        <v>17</v>
      </c>
      <c r="G25">
        <v>94122</v>
      </c>
      <c r="H25" t="s">
        <v>18</v>
      </c>
      <c r="I25">
        <v>42870</v>
      </c>
      <c r="J25">
        <v>3</v>
      </c>
      <c r="K25" t="s">
        <v>801</v>
      </c>
      <c r="L25">
        <v>0.5</v>
      </c>
      <c r="M25" t="b">
        <v>0</v>
      </c>
      <c r="N25">
        <v>42867</v>
      </c>
      <c r="O25">
        <v>3</v>
      </c>
      <c r="P25">
        <f t="shared" si="1"/>
        <v>0</v>
      </c>
      <c r="Q25">
        <f>IF(CO_Combined4[[#This Row],[Segment]]="COR",1,0)</f>
        <v>1</v>
      </c>
      <c r="R25">
        <f>IF(CO_Combined4[[#This Row],[Region ]]="E",1,0)</f>
        <v>0</v>
      </c>
      <c r="S25">
        <f>IF(CO_Combined4[[#This Row],[Region ]]="W",1,0)</f>
        <v>1</v>
      </c>
      <c r="T25">
        <f>IF(CO_Combined4[[#This Row],[Region ]]="S",1,0)</f>
        <v>0</v>
      </c>
      <c r="U25">
        <f>IF(CO_Combined4[[#This Row],[Ship Mode]]=1,1,0)</f>
        <v>0</v>
      </c>
      <c r="V25">
        <f>IF(CO_Combined4[[#This Row],[Ship Mode]]=2,1,0)</f>
        <v>0</v>
      </c>
      <c r="W25">
        <f>IF(CO_Combined4[[#This Row],[Ship Mode]]=3,1,0)</f>
        <v>1</v>
      </c>
      <c r="X25">
        <f t="shared" si="0"/>
        <v>1</v>
      </c>
      <c r="Y25">
        <v>18</v>
      </c>
      <c r="Z25">
        <v>1</v>
      </c>
    </row>
    <row r="26" spans="1:26" x14ac:dyDescent="0.2">
      <c r="A26" t="s">
        <v>619</v>
      </c>
      <c r="B26" t="s">
        <v>387</v>
      </c>
      <c r="C26" t="s">
        <v>89</v>
      </c>
      <c r="D26" t="s">
        <v>90</v>
      </c>
      <c r="E26" t="s">
        <v>25</v>
      </c>
      <c r="F26" t="s">
        <v>26</v>
      </c>
      <c r="G26">
        <v>10009</v>
      </c>
      <c r="H26" t="s">
        <v>27</v>
      </c>
      <c r="I26">
        <v>42616</v>
      </c>
      <c r="J26">
        <v>2</v>
      </c>
      <c r="K26" t="s">
        <v>620</v>
      </c>
      <c r="L26">
        <v>0.08</v>
      </c>
      <c r="M26" t="b">
        <v>0</v>
      </c>
      <c r="N26">
        <v>42614</v>
      </c>
      <c r="O26">
        <v>2</v>
      </c>
      <c r="P26">
        <f t="shared" si="1"/>
        <v>0</v>
      </c>
      <c r="Q26">
        <f>IF(CO_Combined4[[#This Row],[Segment]]="COR",1,0)</f>
        <v>0</v>
      </c>
      <c r="R26">
        <f>IF(CO_Combined4[[#This Row],[Region ]]="E",1,0)</f>
        <v>1</v>
      </c>
      <c r="S26">
        <f>IF(CO_Combined4[[#This Row],[Region ]]="W",1,0)</f>
        <v>0</v>
      </c>
      <c r="T26">
        <f>IF(CO_Combined4[[#This Row],[Region ]]="S",1,0)</f>
        <v>0</v>
      </c>
      <c r="U26">
        <f>IF(CO_Combined4[[#This Row],[Ship Mode]]=1,1,0)</f>
        <v>0</v>
      </c>
      <c r="V26">
        <f>IF(CO_Combined4[[#This Row],[Ship Mode]]=2,1,0)</f>
        <v>1</v>
      </c>
      <c r="W26">
        <f>IF(CO_Combined4[[#This Row],[Ship Mode]]=3,1,0)</f>
        <v>0</v>
      </c>
      <c r="X26">
        <f t="shared" si="0"/>
        <v>1</v>
      </c>
      <c r="Y26">
        <v>12</v>
      </c>
      <c r="Z26">
        <v>1</v>
      </c>
    </row>
    <row r="27" spans="1:26" x14ac:dyDescent="0.2">
      <c r="A27" t="s">
        <v>624</v>
      </c>
      <c r="B27" t="s">
        <v>465</v>
      </c>
      <c r="C27" t="s">
        <v>224</v>
      </c>
      <c r="D27" t="s">
        <v>9</v>
      </c>
      <c r="E27" t="s">
        <v>151</v>
      </c>
      <c r="F27" t="s">
        <v>31</v>
      </c>
      <c r="G27">
        <v>85705</v>
      </c>
      <c r="H27" t="s">
        <v>18</v>
      </c>
      <c r="I27">
        <v>41847</v>
      </c>
      <c r="J27">
        <v>4</v>
      </c>
      <c r="K27" t="s">
        <v>626</v>
      </c>
      <c r="L27">
        <v>0.32500000000000001</v>
      </c>
      <c r="M27" t="b">
        <v>0</v>
      </c>
      <c r="N27">
        <v>41843</v>
      </c>
      <c r="O27">
        <v>4</v>
      </c>
      <c r="P27">
        <f t="shared" si="1"/>
        <v>1</v>
      </c>
      <c r="Q27">
        <f>IF(CO_Combined4[[#This Row],[Segment]]="COR",1,0)</f>
        <v>0</v>
      </c>
      <c r="R27">
        <f>IF(CO_Combined4[[#This Row],[Region ]]="E",1,0)</f>
        <v>0</v>
      </c>
      <c r="S27">
        <f>IF(CO_Combined4[[#This Row],[Region ]]="W",1,0)</f>
        <v>1</v>
      </c>
      <c r="T27">
        <f>IF(CO_Combined4[[#This Row],[Region ]]="S",1,0)</f>
        <v>0</v>
      </c>
      <c r="U27">
        <f>IF(CO_Combined4[[#This Row],[Ship Mode]]=1,1,0)</f>
        <v>0</v>
      </c>
      <c r="V27">
        <f>IF(CO_Combined4[[#This Row],[Ship Mode]]=2,1,0)</f>
        <v>0</v>
      </c>
      <c r="W27">
        <f>IF(CO_Combined4[[#This Row],[Ship Mode]]=3,1,0)</f>
        <v>0</v>
      </c>
      <c r="X27">
        <f t="shared" si="0"/>
        <v>1</v>
      </c>
      <c r="Y27">
        <v>24</v>
      </c>
      <c r="Z27">
        <v>1</v>
      </c>
    </row>
    <row r="28" spans="1:26" x14ac:dyDescent="0.2">
      <c r="A28" t="s">
        <v>729</v>
      </c>
      <c r="B28" t="s">
        <v>388</v>
      </c>
      <c r="C28" t="s">
        <v>91</v>
      </c>
      <c r="D28" t="s">
        <v>90</v>
      </c>
      <c r="E28" t="s">
        <v>62</v>
      </c>
      <c r="F28" t="s">
        <v>92</v>
      </c>
      <c r="G28">
        <v>3301</v>
      </c>
      <c r="H28" t="s">
        <v>27</v>
      </c>
      <c r="I28">
        <v>42616</v>
      </c>
      <c r="J28">
        <v>4</v>
      </c>
      <c r="K28" t="s">
        <v>730</v>
      </c>
      <c r="L28">
        <v>0</v>
      </c>
      <c r="M28" t="b">
        <v>0</v>
      </c>
      <c r="N28">
        <v>42611</v>
      </c>
      <c r="O28">
        <v>5</v>
      </c>
      <c r="P28">
        <f t="shared" si="1"/>
        <v>0</v>
      </c>
      <c r="Q28">
        <f>IF(CO_Combined4[[#This Row],[Segment]]="COR",1,0)</f>
        <v>0</v>
      </c>
      <c r="R28">
        <f>IF(CO_Combined4[[#This Row],[Region ]]="E",1,0)</f>
        <v>1</v>
      </c>
      <c r="S28">
        <f>IF(CO_Combined4[[#This Row],[Region ]]="W",1,0)</f>
        <v>0</v>
      </c>
      <c r="T28">
        <f>IF(CO_Combined4[[#This Row],[Region ]]="S",1,0)</f>
        <v>0</v>
      </c>
      <c r="U28">
        <f>IF(CO_Combined4[[#This Row],[Ship Mode]]=1,1,0)</f>
        <v>0</v>
      </c>
      <c r="V28">
        <f>IF(CO_Combined4[[#This Row],[Ship Mode]]=2,1,0)</f>
        <v>0</v>
      </c>
      <c r="W28">
        <f>IF(CO_Combined4[[#This Row],[Ship Mode]]=3,1,0)</f>
        <v>0</v>
      </c>
      <c r="X28">
        <f t="shared" si="0"/>
        <v>1</v>
      </c>
      <c r="Y28">
        <v>3</v>
      </c>
      <c r="Z28">
        <v>0</v>
      </c>
    </row>
    <row r="29" spans="1:26" x14ac:dyDescent="0.2">
      <c r="A29" t="s">
        <v>871</v>
      </c>
      <c r="B29" t="s">
        <v>389</v>
      </c>
      <c r="C29" t="s">
        <v>93</v>
      </c>
      <c r="D29" t="s">
        <v>90</v>
      </c>
      <c r="E29" t="s">
        <v>94</v>
      </c>
      <c r="F29" t="s">
        <v>95</v>
      </c>
      <c r="G29">
        <v>22980</v>
      </c>
      <c r="H29" t="s">
        <v>47</v>
      </c>
      <c r="I29">
        <v>42447</v>
      </c>
      <c r="J29">
        <v>4</v>
      </c>
      <c r="K29" t="s">
        <v>874</v>
      </c>
      <c r="L29">
        <v>0</v>
      </c>
      <c r="M29" t="b">
        <v>0</v>
      </c>
      <c r="N29">
        <v>42442</v>
      </c>
      <c r="O29">
        <v>5</v>
      </c>
      <c r="P29">
        <f t="shared" si="1"/>
        <v>0</v>
      </c>
      <c r="Q29">
        <f>IF(CO_Combined4[[#This Row],[Segment]]="COR",1,0)</f>
        <v>0</v>
      </c>
      <c r="R29">
        <f>IF(CO_Combined4[[#This Row],[Region ]]="E",1,0)</f>
        <v>0</v>
      </c>
      <c r="S29">
        <f>IF(CO_Combined4[[#This Row],[Region ]]="W",1,0)</f>
        <v>0</v>
      </c>
      <c r="T29">
        <f>IF(CO_Combined4[[#This Row],[Region ]]="S",1,0)</f>
        <v>1</v>
      </c>
      <c r="U29">
        <f>IF(CO_Combined4[[#This Row],[Ship Mode]]=1,1,0)</f>
        <v>0</v>
      </c>
      <c r="V29">
        <f>IF(CO_Combined4[[#This Row],[Ship Mode]]=2,1,0)</f>
        <v>0</v>
      </c>
      <c r="W29">
        <f>IF(CO_Combined4[[#This Row],[Ship Mode]]=3,1,0)</f>
        <v>0</v>
      </c>
      <c r="X29">
        <f t="shared" si="0"/>
        <v>1</v>
      </c>
      <c r="Y29">
        <v>8</v>
      </c>
      <c r="Z29">
        <v>0</v>
      </c>
    </row>
    <row r="30" spans="1:26" x14ac:dyDescent="0.2">
      <c r="A30" t="s">
        <v>629</v>
      </c>
      <c r="B30" t="s">
        <v>531</v>
      </c>
      <c r="C30" t="s">
        <v>321</v>
      </c>
      <c r="D30" t="s">
        <v>150</v>
      </c>
      <c r="E30" t="s">
        <v>322</v>
      </c>
      <c r="F30" t="s">
        <v>79</v>
      </c>
      <c r="G30">
        <v>2038</v>
      </c>
      <c r="H30" t="s">
        <v>27</v>
      </c>
      <c r="I30">
        <v>42979</v>
      </c>
      <c r="J30">
        <v>4</v>
      </c>
      <c r="K30" t="s">
        <v>630</v>
      </c>
      <c r="L30">
        <v>0.3</v>
      </c>
      <c r="M30" t="b">
        <v>0</v>
      </c>
      <c r="N30">
        <v>42974</v>
      </c>
      <c r="O30">
        <v>5</v>
      </c>
      <c r="P30">
        <f t="shared" si="1"/>
        <v>0</v>
      </c>
      <c r="Q30">
        <f>IF(CO_Combined4[[#This Row],[Segment]]="COR",1,0)</f>
        <v>1</v>
      </c>
      <c r="R30">
        <f>IF(CO_Combined4[[#This Row],[Region ]]="E",1,0)</f>
        <v>1</v>
      </c>
      <c r="S30">
        <f>IF(CO_Combined4[[#This Row],[Region ]]="W",1,0)</f>
        <v>0</v>
      </c>
      <c r="T30">
        <f>IF(CO_Combined4[[#This Row],[Region ]]="S",1,0)</f>
        <v>0</v>
      </c>
      <c r="U30">
        <f>IF(CO_Combined4[[#This Row],[Ship Mode]]=1,1,0)</f>
        <v>0</v>
      </c>
      <c r="V30">
        <f>IF(CO_Combined4[[#This Row],[Ship Mode]]=2,1,0)</f>
        <v>0</v>
      </c>
      <c r="W30">
        <f>IF(CO_Combined4[[#This Row],[Ship Mode]]=3,1,0)</f>
        <v>0</v>
      </c>
      <c r="X30">
        <f t="shared" si="0"/>
        <v>1</v>
      </c>
      <c r="Y30">
        <v>7</v>
      </c>
      <c r="Z30">
        <v>1</v>
      </c>
    </row>
    <row r="31" spans="1:26" x14ac:dyDescent="0.2">
      <c r="A31" t="s">
        <v>670</v>
      </c>
      <c r="B31" t="s">
        <v>531</v>
      </c>
      <c r="C31" t="s">
        <v>321</v>
      </c>
      <c r="D31" t="s">
        <v>150</v>
      </c>
      <c r="E31" t="s">
        <v>322</v>
      </c>
      <c r="F31" t="s">
        <v>79</v>
      </c>
      <c r="G31">
        <v>2038</v>
      </c>
      <c r="H31" t="s">
        <v>27</v>
      </c>
      <c r="I31">
        <v>42909</v>
      </c>
      <c r="J31">
        <v>4</v>
      </c>
      <c r="K31" t="s">
        <v>672</v>
      </c>
      <c r="L31">
        <v>0</v>
      </c>
      <c r="M31" t="b">
        <v>0</v>
      </c>
      <c r="N31">
        <v>42905</v>
      </c>
      <c r="O31">
        <v>4</v>
      </c>
      <c r="P31">
        <f t="shared" si="1"/>
        <v>0</v>
      </c>
      <c r="Q31">
        <f>IF(CO_Combined4[[#This Row],[Segment]]="COR",1,0)</f>
        <v>1</v>
      </c>
      <c r="R31">
        <f>IF(CO_Combined4[[#This Row],[Region ]]="E",1,0)</f>
        <v>1</v>
      </c>
      <c r="S31">
        <f>IF(CO_Combined4[[#This Row],[Region ]]="W",1,0)</f>
        <v>0</v>
      </c>
      <c r="T31">
        <f>IF(CO_Combined4[[#This Row],[Region ]]="S",1,0)</f>
        <v>0</v>
      </c>
      <c r="U31">
        <f>IF(CO_Combined4[[#This Row],[Ship Mode]]=1,1,0)</f>
        <v>0</v>
      </c>
      <c r="V31">
        <f>IF(CO_Combined4[[#This Row],[Ship Mode]]=2,1,0)</f>
        <v>0</v>
      </c>
      <c r="W31">
        <f>IF(CO_Combined4[[#This Row],[Ship Mode]]=3,1,0)</f>
        <v>0</v>
      </c>
      <c r="X31">
        <f t="shared" si="0"/>
        <v>1</v>
      </c>
      <c r="Y31">
        <v>10</v>
      </c>
      <c r="Z31">
        <v>0</v>
      </c>
    </row>
    <row r="32" spans="1:26" x14ac:dyDescent="0.2">
      <c r="A32" t="s">
        <v>863</v>
      </c>
      <c r="B32" t="s">
        <v>531</v>
      </c>
      <c r="C32" t="s">
        <v>321</v>
      </c>
      <c r="D32" t="s">
        <v>150</v>
      </c>
      <c r="E32" t="s">
        <v>322</v>
      </c>
      <c r="F32" t="s">
        <v>79</v>
      </c>
      <c r="G32">
        <v>2038</v>
      </c>
      <c r="H32" t="s">
        <v>27</v>
      </c>
      <c r="I32">
        <v>41920</v>
      </c>
      <c r="J32">
        <v>4</v>
      </c>
      <c r="K32" t="s">
        <v>864</v>
      </c>
      <c r="L32">
        <v>0.2</v>
      </c>
      <c r="M32" t="b">
        <v>0</v>
      </c>
      <c r="N32">
        <v>41915</v>
      </c>
      <c r="O32">
        <v>5</v>
      </c>
      <c r="P32">
        <f t="shared" si="1"/>
        <v>0</v>
      </c>
      <c r="Q32">
        <f>IF(CO_Combined4[[#This Row],[Segment]]="COR",1,0)</f>
        <v>1</v>
      </c>
      <c r="R32">
        <f>IF(CO_Combined4[[#This Row],[Region ]]="E",1,0)</f>
        <v>1</v>
      </c>
      <c r="S32">
        <f>IF(CO_Combined4[[#This Row],[Region ]]="W",1,0)</f>
        <v>0</v>
      </c>
      <c r="T32">
        <f>IF(CO_Combined4[[#This Row],[Region ]]="S",1,0)</f>
        <v>0</v>
      </c>
      <c r="U32">
        <f>IF(CO_Combined4[[#This Row],[Ship Mode]]=1,1,0)</f>
        <v>0</v>
      </c>
      <c r="V32">
        <f>IF(CO_Combined4[[#This Row],[Ship Mode]]=2,1,0)</f>
        <v>0</v>
      </c>
      <c r="W32">
        <f>IF(CO_Combined4[[#This Row],[Ship Mode]]=3,1,0)</f>
        <v>0</v>
      </c>
      <c r="X32">
        <f t="shared" si="0"/>
        <v>1</v>
      </c>
      <c r="Y32">
        <v>4</v>
      </c>
      <c r="Z32">
        <v>1</v>
      </c>
    </row>
    <row r="33" spans="1:26" x14ac:dyDescent="0.2">
      <c r="A33" t="s">
        <v>631</v>
      </c>
      <c r="B33" t="s">
        <v>551</v>
      </c>
      <c r="C33" t="s">
        <v>351</v>
      </c>
      <c r="D33" t="s">
        <v>150</v>
      </c>
      <c r="E33" t="s">
        <v>352</v>
      </c>
      <c r="F33" t="s">
        <v>124</v>
      </c>
      <c r="G33">
        <v>60067</v>
      </c>
      <c r="H33" t="s">
        <v>12</v>
      </c>
      <c r="I33">
        <v>42672</v>
      </c>
      <c r="J33">
        <v>2</v>
      </c>
      <c r="K33" t="s">
        <v>632</v>
      </c>
      <c r="L33">
        <v>0.1</v>
      </c>
      <c r="M33" t="b">
        <v>1</v>
      </c>
      <c r="N33">
        <v>42671</v>
      </c>
      <c r="O33">
        <v>1</v>
      </c>
      <c r="P33">
        <f t="shared" si="1"/>
        <v>0</v>
      </c>
      <c r="Q33">
        <f>IF(CO_Combined4[[#This Row],[Segment]]="COR",1,0)</f>
        <v>1</v>
      </c>
      <c r="R33">
        <f>IF(CO_Combined4[[#This Row],[Region ]]="E",1,0)</f>
        <v>0</v>
      </c>
      <c r="S33">
        <f>IF(CO_Combined4[[#This Row],[Region ]]="W",1,0)</f>
        <v>0</v>
      </c>
      <c r="T33">
        <f>IF(CO_Combined4[[#This Row],[Region ]]="S",1,0)</f>
        <v>0</v>
      </c>
      <c r="U33">
        <f>IF(CO_Combined4[[#This Row],[Ship Mode]]=1,1,0)</f>
        <v>0</v>
      </c>
      <c r="V33">
        <f>IF(CO_Combined4[[#This Row],[Ship Mode]]=2,1,0)</f>
        <v>1</v>
      </c>
      <c r="W33">
        <f>IF(CO_Combined4[[#This Row],[Ship Mode]]=3,1,0)</f>
        <v>0</v>
      </c>
      <c r="X33">
        <f t="shared" si="0"/>
        <v>0</v>
      </c>
      <c r="Y33">
        <v>10</v>
      </c>
      <c r="Z33">
        <v>1</v>
      </c>
    </row>
    <row r="34" spans="1:26" x14ac:dyDescent="0.2">
      <c r="A34" t="s">
        <v>676</v>
      </c>
      <c r="B34" t="s">
        <v>551</v>
      </c>
      <c r="C34" t="s">
        <v>351</v>
      </c>
      <c r="D34" t="s">
        <v>150</v>
      </c>
      <c r="E34" t="s">
        <v>352</v>
      </c>
      <c r="F34" t="s">
        <v>124</v>
      </c>
      <c r="G34">
        <v>60067</v>
      </c>
      <c r="H34" t="s">
        <v>12</v>
      </c>
      <c r="I34">
        <v>42682</v>
      </c>
      <c r="J34">
        <v>2</v>
      </c>
      <c r="K34" t="s">
        <v>677</v>
      </c>
      <c r="L34">
        <v>0</v>
      </c>
      <c r="M34" t="b">
        <v>0</v>
      </c>
      <c r="N34">
        <v>42678</v>
      </c>
      <c r="O34">
        <v>4</v>
      </c>
      <c r="P34">
        <f t="shared" si="1"/>
        <v>0</v>
      </c>
      <c r="Q34">
        <f>IF(CO_Combined4[[#This Row],[Segment]]="COR",1,0)</f>
        <v>1</v>
      </c>
      <c r="R34">
        <f>IF(CO_Combined4[[#This Row],[Region ]]="E",1,0)</f>
        <v>0</v>
      </c>
      <c r="S34">
        <f>IF(CO_Combined4[[#This Row],[Region ]]="W",1,0)</f>
        <v>0</v>
      </c>
      <c r="T34">
        <f>IF(CO_Combined4[[#This Row],[Region ]]="S",1,0)</f>
        <v>0</v>
      </c>
      <c r="U34">
        <f>IF(CO_Combined4[[#This Row],[Ship Mode]]=1,1,0)</f>
        <v>0</v>
      </c>
      <c r="V34">
        <f>IF(CO_Combined4[[#This Row],[Ship Mode]]=2,1,0)</f>
        <v>1</v>
      </c>
      <c r="W34">
        <f>IF(CO_Combined4[[#This Row],[Ship Mode]]=3,1,0)</f>
        <v>0</v>
      </c>
      <c r="X34">
        <f t="shared" si="0"/>
        <v>1</v>
      </c>
      <c r="Y34">
        <v>3</v>
      </c>
      <c r="Z34">
        <v>0</v>
      </c>
    </row>
    <row r="35" spans="1:26" x14ac:dyDescent="0.2">
      <c r="A35" t="s">
        <v>634</v>
      </c>
      <c r="B35" t="s">
        <v>457</v>
      </c>
      <c r="C35" t="s">
        <v>213</v>
      </c>
      <c r="D35" t="s">
        <v>9</v>
      </c>
      <c r="E35" t="s">
        <v>121</v>
      </c>
      <c r="F35" t="s">
        <v>22</v>
      </c>
      <c r="G35">
        <v>77036</v>
      </c>
      <c r="H35" t="s">
        <v>12</v>
      </c>
      <c r="I35">
        <v>42623</v>
      </c>
      <c r="J35">
        <v>3</v>
      </c>
      <c r="K35" t="s">
        <v>638</v>
      </c>
      <c r="L35">
        <v>0.23</v>
      </c>
      <c r="M35" t="b">
        <v>1</v>
      </c>
      <c r="N35">
        <v>42621</v>
      </c>
      <c r="O35">
        <v>2</v>
      </c>
      <c r="P35">
        <f t="shared" si="1"/>
        <v>1</v>
      </c>
      <c r="Q35">
        <f>IF(CO_Combined4[[#This Row],[Segment]]="COR",1,0)</f>
        <v>0</v>
      </c>
      <c r="R35">
        <f>IF(CO_Combined4[[#This Row],[Region ]]="E",1,0)</f>
        <v>0</v>
      </c>
      <c r="S35">
        <f>IF(CO_Combined4[[#This Row],[Region ]]="W",1,0)</f>
        <v>0</v>
      </c>
      <c r="T35">
        <f>IF(CO_Combined4[[#This Row],[Region ]]="S",1,0)</f>
        <v>0</v>
      </c>
      <c r="U35">
        <f>IF(CO_Combined4[[#This Row],[Ship Mode]]=1,1,0)</f>
        <v>0</v>
      </c>
      <c r="V35">
        <f>IF(CO_Combined4[[#This Row],[Ship Mode]]=2,1,0)</f>
        <v>0</v>
      </c>
      <c r="W35">
        <f>IF(CO_Combined4[[#This Row],[Ship Mode]]=3,1,0)</f>
        <v>1</v>
      </c>
      <c r="X35">
        <f t="shared" si="0"/>
        <v>0</v>
      </c>
      <c r="Y35">
        <v>13</v>
      </c>
      <c r="Z35">
        <v>1</v>
      </c>
    </row>
    <row r="36" spans="1:26" x14ac:dyDescent="0.2">
      <c r="A36" t="s">
        <v>752</v>
      </c>
      <c r="B36" t="s">
        <v>395</v>
      </c>
      <c r="C36" t="s">
        <v>105</v>
      </c>
      <c r="D36" t="s">
        <v>9</v>
      </c>
      <c r="E36" t="s">
        <v>106</v>
      </c>
      <c r="F36" t="s">
        <v>31</v>
      </c>
      <c r="G36">
        <v>85023</v>
      </c>
      <c r="H36" t="s">
        <v>18</v>
      </c>
      <c r="I36">
        <v>42643</v>
      </c>
      <c r="J36">
        <v>4</v>
      </c>
      <c r="K36" t="s">
        <v>753</v>
      </c>
      <c r="L36">
        <v>0.5</v>
      </c>
      <c r="M36" t="b">
        <v>0</v>
      </c>
      <c r="N36">
        <v>42638</v>
      </c>
      <c r="O36">
        <v>5</v>
      </c>
      <c r="P36">
        <f t="shared" si="1"/>
        <v>1</v>
      </c>
      <c r="Q36">
        <f>IF(CO_Combined4[[#This Row],[Segment]]="COR",1,0)</f>
        <v>0</v>
      </c>
      <c r="R36">
        <f>IF(CO_Combined4[[#This Row],[Region ]]="E",1,0)</f>
        <v>0</v>
      </c>
      <c r="S36">
        <f>IF(CO_Combined4[[#This Row],[Region ]]="W",1,0)</f>
        <v>1</v>
      </c>
      <c r="T36">
        <f>IF(CO_Combined4[[#This Row],[Region ]]="S",1,0)</f>
        <v>0</v>
      </c>
      <c r="U36">
        <f>IF(CO_Combined4[[#This Row],[Ship Mode]]=1,1,0)</f>
        <v>0</v>
      </c>
      <c r="V36">
        <f>IF(CO_Combined4[[#This Row],[Ship Mode]]=2,1,0)</f>
        <v>0</v>
      </c>
      <c r="W36">
        <f>IF(CO_Combined4[[#This Row],[Ship Mode]]=3,1,0)</f>
        <v>0</v>
      </c>
      <c r="X36">
        <f t="shared" si="0"/>
        <v>1</v>
      </c>
      <c r="Y36">
        <v>3</v>
      </c>
      <c r="Z36">
        <v>1</v>
      </c>
    </row>
    <row r="37" spans="1:26" x14ac:dyDescent="0.2">
      <c r="A37" t="s">
        <v>639</v>
      </c>
      <c r="B37" t="s">
        <v>512</v>
      </c>
      <c r="C37" t="s">
        <v>292</v>
      </c>
      <c r="D37" t="s">
        <v>9</v>
      </c>
      <c r="E37" t="s">
        <v>293</v>
      </c>
      <c r="F37" t="s">
        <v>26</v>
      </c>
      <c r="G37">
        <v>14609</v>
      </c>
      <c r="H37" t="s">
        <v>27</v>
      </c>
      <c r="I37">
        <v>41901</v>
      </c>
      <c r="J37">
        <v>4</v>
      </c>
      <c r="K37" t="s">
        <v>640</v>
      </c>
      <c r="L37">
        <v>0</v>
      </c>
      <c r="M37" t="b">
        <v>0</v>
      </c>
      <c r="N37">
        <v>41896</v>
      </c>
      <c r="O37">
        <v>5</v>
      </c>
      <c r="P37">
        <f t="shared" si="1"/>
        <v>1</v>
      </c>
      <c r="Q37">
        <f>IF(CO_Combined4[[#This Row],[Segment]]="COR",1,0)</f>
        <v>0</v>
      </c>
      <c r="R37">
        <f>IF(CO_Combined4[[#This Row],[Region ]]="E",1,0)</f>
        <v>1</v>
      </c>
      <c r="S37">
        <f>IF(CO_Combined4[[#This Row],[Region ]]="W",1,0)</f>
        <v>0</v>
      </c>
      <c r="T37">
        <f>IF(CO_Combined4[[#This Row],[Region ]]="S",1,0)</f>
        <v>0</v>
      </c>
      <c r="U37">
        <f>IF(CO_Combined4[[#This Row],[Ship Mode]]=1,1,0)</f>
        <v>0</v>
      </c>
      <c r="V37">
        <f>IF(CO_Combined4[[#This Row],[Ship Mode]]=2,1,0)</f>
        <v>0</v>
      </c>
      <c r="W37">
        <f>IF(CO_Combined4[[#This Row],[Ship Mode]]=3,1,0)</f>
        <v>0</v>
      </c>
      <c r="X37">
        <f t="shared" si="0"/>
        <v>1</v>
      </c>
      <c r="Y37">
        <v>8</v>
      </c>
      <c r="Z37">
        <v>0</v>
      </c>
    </row>
    <row r="38" spans="1:26" x14ac:dyDescent="0.2">
      <c r="A38" t="s">
        <v>763</v>
      </c>
      <c r="B38" t="s">
        <v>405</v>
      </c>
      <c r="C38" t="s">
        <v>125</v>
      </c>
      <c r="D38" t="s">
        <v>9</v>
      </c>
      <c r="E38" t="s">
        <v>126</v>
      </c>
      <c r="F38" t="s">
        <v>26</v>
      </c>
      <c r="G38">
        <v>11561</v>
      </c>
      <c r="H38" t="s">
        <v>27</v>
      </c>
      <c r="I38">
        <v>42986</v>
      </c>
      <c r="J38">
        <v>4</v>
      </c>
      <c r="K38" t="s">
        <v>764</v>
      </c>
      <c r="L38">
        <v>0</v>
      </c>
      <c r="M38" t="b">
        <v>0</v>
      </c>
      <c r="N38">
        <v>42982</v>
      </c>
      <c r="O38">
        <v>4</v>
      </c>
      <c r="P38">
        <f t="shared" si="1"/>
        <v>1</v>
      </c>
      <c r="Q38">
        <f>IF(CO_Combined4[[#This Row],[Segment]]="COR",1,0)</f>
        <v>0</v>
      </c>
      <c r="R38">
        <f>IF(CO_Combined4[[#This Row],[Region ]]="E",1,0)</f>
        <v>1</v>
      </c>
      <c r="S38">
        <f>IF(CO_Combined4[[#This Row],[Region ]]="W",1,0)</f>
        <v>0</v>
      </c>
      <c r="T38">
        <f>IF(CO_Combined4[[#This Row],[Region ]]="S",1,0)</f>
        <v>0</v>
      </c>
      <c r="U38">
        <f>IF(CO_Combined4[[#This Row],[Ship Mode]]=1,1,0)</f>
        <v>0</v>
      </c>
      <c r="V38">
        <f>IF(CO_Combined4[[#This Row],[Ship Mode]]=2,1,0)</f>
        <v>0</v>
      </c>
      <c r="W38">
        <f>IF(CO_Combined4[[#This Row],[Ship Mode]]=3,1,0)</f>
        <v>0</v>
      </c>
      <c r="X38">
        <f t="shared" si="0"/>
        <v>1</v>
      </c>
      <c r="Y38">
        <v>4</v>
      </c>
      <c r="Z38">
        <v>0</v>
      </c>
    </row>
    <row r="39" spans="1:26" x14ac:dyDescent="0.2">
      <c r="A39" t="s">
        <v>649</v>
      </c>
      <c r="B39" t="s">
        <v>545</v>
      </c>
      <c r="C39" t="s">
        <v>341</v>
      </c>
      <c r="D39" t="s">
        <v>90</v>
      </c>
      <c r="E39" t="s">
        <v>25</v>
      </c>
      <c r="F39" t="s">
        <v>26</v>
      </c>
      <c r="G39">
        <v>10035</v>
      </c>
      <c r="H39" t="s">
        <v>27</v>
      </c>
      <c r="I39">
        <v>43061</v>
      </c>
      <c r="J39">
        <v>2</v>
      </c>
      <c r="K39" t="s">
        <v>651</v>
      </c>
      <c r="L39">
        <v>0.1</v>
      </c>
      <c r="M39" t="b">
        <v>0</v>
      </c>
      <c r="N39">
        <v>43058</v>
      </c>
      <c r="O39">
        <v>3</v>
      </c>
      <c r="P39">
        <f t="shared" si="1"/>
        <v>0</v>
      </c>
      <c r="Q39">
        <f>IF(CO_Combined4[[#This Row],[Segment]]="COR",1,0)</f>
        <v>0</v>
      </c>
      <c r="R39">
        <f>IF(CO_Combined4[[#This Row],[Region ]]="E",1,0)</f>
        <v>1</v>
      </c>
      <c r="S39">
        <f>IF(CO_Combined4[[#This Row],[Region ]]="W",1,0)</f>
        <v>0</v>
      </c>
      <c r="T39">
        <f>IF(CO_Combined4[[#This Row],[Region ]]="S",1,0)</f>
        <v>0</v>
      </c>
      <c r="U39">
        <f>IF(CO_Combined4[[#This Row],[Ship Mode]]=1,1,0)</f>
        <v>0</v>
      </c>
      <c r="V39">
        <f>IF(CO_Combined4[[#This Row],[Ship Mode]]=2,1,0)</f>
        <v>1</v>
      </c>
      <c r="W39">
        <f>IF(CO_Combined4[[#This Row],[Ship Mode]]=3,1,0)</f>
        <v>0</v>
      </c>
      <c r="X39">
        <f t="shared" si="0"/>
        <v>1</v>
      </c>
      <c r="Y39">
        <v>8</v>
      </c>
      <c r="Z39">
        <v>1</v>
      </c>
    </row>
    <row r="40" spans="1:26" x14ac:dyDescent="0.2">
      <c r="A40" t="s">
        <v>795</v>
      </c>
      <c r="B40" t="s">
        <v>545</v>
      </c>
      <c r="C40" t="s">
        <v>341</v>
      </c>
      <c r="D40" t="s">
        <v>90</v>
      </c>
      <c r="E40" t="s">
        <v>25</v>
      </c>
      <c r="F40" t="s">
        <v>26</v>
      </c>
      <c r="G40">
        <v>10035</v>
      </c>
      <c r="H40" t="s">
        <v>27</v>
      </c>
      <c r="I40">
        <v>42693</v>
      </c>
      <c r="J40">
        <v>2</v>
      </c>
      <c r="K40" t="s">
        <v>796</v>
      </c>
      <c r="L40">
        <v>0</v>
      </c>
      <c r="M40" t="b">
        <v>0</v>
      </c>
      <c r="N40">
        <v>42687</v>
      </c>
      <c r="O40">
        <v>6</v>
      </c>
      <c r="P40">
        <f t="shared" si="1"/>
        <v>0</v>
      </c>
      <c r="Q40">
        <f>IF(CO_Combined4[[#This Row],[Segment]]="COR",1,0)</f>
        <v>0</v>
      </c>
      <c r="R40">
        <f>IF(CO_Combined4[[#This Row],[Region ]]="E",1,0)</f>
        <v>1</v>
      </c>
      <c r="S40">
        <f>IF(CO_Combined4[[#This Row],[Region ]]="W",1,0)</f>
        <v>0</v>
      </c>
      <c r="T40">
        <f>IF(CO_Combined4[[#This Row],[Region ]]="S",1,0)</f>
        <v>0</v>
      </c>
      <c r="U40">
        <f>IF(CO_Combined4[[#This Row],[Ship Mode]]=1,1,0)</f>
        <v>0</v>
      </c>
      <c r="V40">
        <f>IF(CO_Combined4[[#This Row],[Ship Mode]]=2,1,0)</f>
        <v>1</v>
      </c>
      <c r="W40">
        <f>IF(CO_Combined4[[#This Row],[Ship Mode]]=3,1,0)</f>
        <v>0</v>
      </c>
      <c r="X40">
        <f t="shared" si="0"/>
        <v>1</v>
      </c>
      <c r="Y40">
        <v>1</v>
      </c>
      <c r="Z40">
        <v>0</v>
      </c>
    </row>
    <row r="41" spans="1:26" x14ac:dyDescent="0.2">
      <c r="A41" t="s">
        <v>772</v>
      </c>
      <c r="B41" t="s">
        <v>406</v>
      </c>
      <c r="C41" t="s">
        <v>127</v>
      </c>
      <c r="D41" t="s">
        <v>9</v>
      </c>
      <c r="E41" t="s">
        <v>128</v>
      </c>
      <c r="F41" t="s">
        <v>22</v>
      </c>
      <c r="G41">
        <v>75007</v>
      </c>
      <c r="H41" t="s">
        <v>12</v>
      </c>
      <c r="I41">
        <v>43060</v>
      </c>
      <c r="J41">
        <v>3</v>
      </c>
      <c r="K41" t="s">
        <v>774</v>
      </c>
      <c r="L41">
        <v>0.3</v>
      </c>
      <c r="M41" t="b">
        <v>1</v>
      </c>
      <c r="N41">
        <v>43058</v>
      </c>
      <c r="O41">
        <v>2</v>
      </c>
      <c r="P41">
        <f t="shared" si="1"/>
        <v>1</v>
      </c>
      <c r="Q41">
        <f>IF(CO_Combined4[[#This Row],[Segment]]="COR",1,0)</f>
        <v>0</v>
      </c>
      <c r="R41">
        <f>IF(CO_Combined4[[#This Row],[Region ]]="E",1,0)</f>
        <v>0</v>
      </c>
      <c r="S41">
        <f>IF(CO_Combined4[[#This Row],[Region ]]="W",1,0)</f>
        <v>0</v>
      </c>
      <c r="T41">
        <f>IF(CO_Combined4[[#This Row],[Region ]]="S",1,0)</f>
        <v>0</v>
      </c>
      <c r="U41">
        <f>IF(CO_Combined4[[#This Row],[Ship Mode]]=1,1,0)</f>
        <v>0</v>
      </c>
      <c r="V41">
        <f>IF(CO_Combined4[[#This Row],[Ship Mode]]=2,1,0)</f>
        <v>0</v>
      </c>
      <c r="W41">
        <f>IF(CO_Combined4[[#This Row],[Ship Mode]]=3,1,0)</f>
        <v>1</v>
      </c>
      <c r="X41">
        <f t="shared" si="0"/>
        <v>0</v>
      </c>
      <c r="Y41">
        <v>11</v>
      </c>
      <c r="Z41">
        <v>1</v>
      </c>
    </row>
    <row r="42" spans="1:26" x14ac:dyDescent="0.2">
      <c r="A42" t="s">
        <v>652</v>
      </c>
      <c r="B42" t="s">
        <v>510</v>
      </c>
      <c r="C42" t="s">
        <v>289</v>
      </c>
      <c r="D42" t="s">
        <v>9</v>
      </c>
      <c r="E42" t="s">
        <v>290</v>
      </c>
      <c r="F42" t="s">
        <v>63</v>
      </c>
      <c r="G42">
        <v>28403</v>
      </c>
      <c r="H42" t="s">
        <v>47</v>
      </c>
      <c r="I42">
        <v>41705</v>
      </c>
      <c r="J42">
        <v>3</v>
      </c>
      <c r="K42" t="s">
        <v>653</v>
      </c>
      <c r="L42">
        <v>0.2</v>
      </c>
      <c r="M42" t="b">
        <v>0</v>
      </c>
      <c r="N42">
        <v>41701</v>
      </c>
      <c r="O42">
        <v>4</v>
      </c>
      <c r="P42">
        <f t="shared" si="1"/>
        <v>1</v>
      </c>
      <c r="Q42">
        <f>IF(CO_Combined4[[#This Row],[Segment]]="COR",1,0)</f>
        <v>0</v>
      </c>
      <c r="R42">
        <f>IF(CO_Combined4[[#This Row],[Region ]]="E",1,0)</f>
        <v>0</v>
      </c>
      <c r="S42">
        <f>IF(CO_Combined4[[#This Row],[Region ]]="W",1,0)</f>
        <v>0</v>
      </c>
      <c r="T42">
        <f>IF(CO_Combined4[[#This Row],[Region ]]="S",1,0)</f>
        <v>1</v>
      </c>
      <c r="U42">
        <f>IF(CO_Combined4[[#This Row],[Ship Mode]]=1,1,0)</f>
        <v>0</v>
      </c>
      <c r="V42">
        <f>IF(CO_Combined4[[#This Row],[Ship Mode]]=2,1,0)</f>
        <v>0</v>
      </c>
      <c r="W42">
        <f>IF(CO_Combined4[[#This Row],[Ship Mode]]=3,1,0)</f>
        <v>1</v>
      </c>
      <c r="X42">
        <f t="shared" si="0"/>
        <v>1</v>
      </c>
      <c r="Y42">
        <v>4</v>
      </c>
      <c r="Z42">
        <v>1</v>
      </c>
    </row>
    <row r="43" spans="1:26" x14ac:dyDescent="0.2">
      <c r="A43" t="s">
        <v>654</v>
      </c>
      <c r="B43" t="s">
        <v>548</v>
      </c>
      <c r="C43" t="s">
        <v>346</v>
      </c>
      <c r="D43" t="s">
        <v>9</v>
      </c>
      <c r="E43" t="s">
        <v>347</v>
      </c>
      <c r="F43" t="s">
        <v>166</v>
      </c>
      <c r="G43">
        <v>33614</v>
      </c>
      <c r="H43" t="s">
        <v>47</v>
      </c>
      <c r="I43">
        <v>41717</v>
      </c>
      <c r="J43">
        <v>4</v>
      </c>
      <c r="K43" t="s">
        <v>655</v>
      </c>
      <c r="L43">
        <v>0.4</v>
      </c>
      <c r="M43" t="b">
        <v>0</v>
      </c>
      <c r="N43">
        <v>41713</v>
      </c>
      <c r="O43">
        <v>4</v>
      </c>
      <c r="P43">
        <f t="shared" si="1"/>
        <v>1</v>
      </c>
      <c r="Q43">
        <f>IF(CO_Combined4[[#This Row],[Segment]]="COR",1,0)</f>
        <v>0</v>
      </c>
      <c r="R43">
        <f>IF(CO_Combined4[[#This Row],[Region ]]="E",1,0)</f>
        <v>0</v>
      </c>
      <c r="S43">
        <f>IF(CO_Combined4[[#This Row],[Region ]]="W",1,0)</f>
        <v>0</v>
      </c>
      <c r="T43">
        <f>IF(CO_Combined4[[#This Row],[Region ]]="S",1,0)</f>
        <v>1</v>
      </c>
      <c r="U43">
        <f>IF(CO_Combined4[[#This Row],[Ship Mode]]=1,1,0)</f>
        <v>0</v>
      </c>
      <c r="V43">
        <f>IF(CO_Combined4[[#This Row],[Ship Mode]]=2,1,0)</f>
        <v>0</v>
      </c>
      <c r="W43">
        <f>IF(CO_Combined4[[#This Row],[Ship Mode]]=3,1,0)</f>
        <v>0</v>
      </c>
      <c r="X43">
        <f t="shared" si="0"/>
        <v>1</v>
      </c>
      <c r="Y43">
        <v>14</v>
      </c>
      <c r="Z43">
        <v>1</v>
      </c>
    </row>
    <row r="44" spans="1:26" x14ac:dyDescent="0.2">
      <c r="A44" t="s">
        <v>673</v>
      </c>
      <c r="B44" t="s">
        <v>574</v>
      </c>
      <c r="C44" t="s">
        <v>573</v>
      </c>
      <c r="D44" t="s">
        <v>9</v>
      </c>
      <c r="E44" t="s">
        <v>38</v>
      </c>
      <c r="F44" t="s">
        <v>17</v>
      </c>
      <c r="G44">
        <v>90036</v>
      </c>
      <c r="H44" t="s">
        <v>18</v>
      </c>
      <c r="I44">
        <v>42096</v>
      </c>
      <c r="J44">
        <v>4</v>
      </c>
      <c r="K44" t="s">
        <v>674</v>
      </c>
      <c r="L44">
        <v>0</v>
      </c>
      <c r="M44" t="b">
        <v>0</v>
      </c>
      <c r="N44">
        <v>42091</v>
      </c>
      <c r="O44">
        <v>5</v>
      </c>
      <c r="P44">
        <f t="shared" si="1"/>
        <v>1</v>
      </c>
      <c r="Q44">
        <f>IF(CO_Combined4[[#This Row],[Segment]]="COR",1,0)</f>
        <v>0</v>
      </c>
      <c r="R44">
        <f>IF(CO_Combined4[[#This Row],[Region ]]="E",1,0)</f>
        <v>0</v>
      </c>
      <c r="S44">
        <f>IF(CO_Combined4[[#This Row],[Region ]]="W",1,0)</f>
        <v>1</v>
      </c>
      <c r="T44">
        <f>IF(CO_Combined4[[#This Row],[Region ]]="S",1,0)</f>
        <v>0</v>
      </c>
      <c r="U44">
        <f>IF(CO_Combined4[[#This Row],[Ship Mode]]=1,1,0)</f>
        <v>0</v>
      </c>
      <c r="V44">
        <f>IF(CO_Combined4[[#This Row],[Ship Mode]]=2,1,0)</f>
        <v>0</v>
      </c>
      <c r="W44">
        <f>IF(CO_Combined4[[#This Row],[Ship Mode]]=3,1,0)</f>
        <v>0</v>
      </c>
      <c r="X44">
        <f t="shared" si="0"/>
        <v>1</v>
      </c>
      <c r="Y44">
        <v>6</v>
      </c>
      <c r="Z44">
        <v>0</v>
      </c>
    </row>
    <row r="45" spans="1:26" x14ac:dyDescent="0.2">
      <c r="A45" t="s">
        <v>701</v>
      </c>
      <c r="B45" t="s">
        <v>574</v>
      </c>
      <c r="C45" t="s">
        <v>573</v>
      </c>
      <c r="D45" t="s">
        <v>9</v>
      </c>
      <c r="E45" t="s">
        <v>38</v>
      </c>
      <c r="F45" t="s">
        <v>17</v>
      </c>
      <c r="G45">
        <v>90036</v>
      </c>
      <c r="H45" t="s">
        <v>18</v>
      </c>
      <c r="I45">
        <v>42842</v>
      </c>
      <c r="J45">
        <v>2</v>
      </c>
      <c r="K45" t="s">
        <v>703</v>
      </c>
      <c r="L45">
        <v>0.2</v>
      </c>
      <c r="M45" t="b">
        <v>0</v>
      </c>
      <c r="N45">
        <v>42839</v>
      </c>
      <c r="O45">
        <v>3</v>
      </c>
      <c r="P45">
        <f t="shared" si="1"/>
        <v>1</v>
      </c>
      <c r="Q45">
        <f>IF(CO_Combined4[[#This Row],[Segment]]="COR",1,0)</f>
        <v>0</v>
      </c>
      <c r="R45">
        <f>IF(CO_Combined4[[#This Row],[Region ]]="E",1,0)</f>
        <v>0</v>
      </c>
      <c r="S45">
        <f>IF(CO_Combined4[[#This Row],[Region ]]="W",1,0)</f>
        <v>1</v>
      </c>
      <c r="T45">
        <f>IF(CO_Combined4[[#This Row],[Region ]]="S",1,0)</f>
        <v>0</v>
      </c>
      <c r="U45">
        <f>IF(CO_Combined4[[#This Row],[Ship Mode]]=1,1,0)</f>
        <v>0</v>
      </c>
      <c r="V45">
        <f>IF(CO_Combined4[[#This Row],[Ship Mode]]=2,1,0)</f>
        <v>1</v>
      </c>
      <c r="W45">
        <f>IF(CO_Combined4[[#This Row],[Ship Mode]]=3,1,0)</f>
        <v>0</v>
      </c>
      <c r="X45">
        <f t="shared" si="0"/>
        <v>1</v>
      </c>
      <c r="Y45">
        <v>9</v>
      </c>
      <c r="Z45">
        <v>1</v>
      </c>
    </row>
    <row r="46" spans="1:26" x14ac:dyDescent="0.2">
      <c r="A46" t="s">
        <v>739</v>
      </c>
      <c r="B46" t="s">
        <v>410</v>
      </c>
      <c r="C46" t="s">
        <v>135</v>
      </c>
      <c r="D46" t="s">
        <v>90</v>
      </c>
      <c r="E46" t="s">
        <v>136</v>
      </c>
      <c r="F46" t="s">
        <v>137</v>
      </c>
      <c r="G46">
        <v>44052</v>
      </c>
      <c r="H46" t="s">
        <v>27</v>
      </c>
      <c r="I46">
        <v>42892</v>
      </c>
      <c r="J46">
        <v>4</v>
      </c>
      <c r="K46" t="s">
        <v>740</v>
      </c>
      <c r="L46">
        <v>0.30000000000000004</v>
      </c>
      <c r="M46" t="b">
        <v>0</v>
      </c>
      <c r="N46">
        <v>42888</v>
      </c>
      <c r="O46">
        <v>4</v>
      </c>
      <c r="P46">
        <f t="shared" si="1"/>
        <v>0</v>
      </c>
      <c r="Q46">
        <f>IF(CO_Combined4[[#This Row],[Segment]]="COR",1,0)</f>
        <v>0</v>
      </c>
      <c r="R46">
        <f>IF(CO_Combined4[[#This Row],[Region ]]="E",1,0)</f>
        <v>1</v>
      </c>
      <c r="S46">
        <f>IF(CO_Combined4[[#This Row],[Region ]]="W",1,0)</f>
        <v>0</v>
      </c>
      <c r="T46">
        <f>IF(CO_Combined4[[#This Row],[Region ]]="S",1,0)</f>
        <v>0</v>
      </c>
      <c r="U46">
        <f>IF(CO_Combined4[[#This Row],[Ship Mode]]=1,1,0)</f>
        <v>0</v>
      </c>
      <c r="V46">
        <f>IF(CO_Combined4[[#This Row],[Ship Mode]]=2,1,0)</f>
        <v>0</v>
      </c>
      <c r="W46">
        <f>IF(CO_Combined4[[#This Row],[Ship Mode]]=3,1,0)</f>
        <v>0</v>
      </c>
      <c r="X46">
        <f t="shared" si="0"/>
        <v>1</v>
      </c>
      <c r="Y46">
        <v>3</v>
      </c>
      <c r="Z46">
        <v>1</v>
      </c>
    </row>
    <row r="47" spans="1:26" x14ac:dyDescent="0.2">
      <c r="A47" t="s">
        <v>782</v>
      </c>
      <c r="B47" t="s">
        <v>411</v>
      </c>
      <c r="C47" t="s">
        <v>138</v>
      </c>
      <c r="D47" t="s">
        <v>90</v>
      </c>
      <c r="E47" t="s">
        <v>139</v>
      </c>
      <c r="F47" t="s">
        <v>22</v>
      </c>
      <c r="G47">
        <v>75023</v>
      </c>
      <c r="H47" t="s">
        <v>12</v>
      </c>
      <c r="I47">
        <v>42550</v>
      </c>
      <c r="J47">
        <v>3</v>
      </c>
      <c r="K47" t="s">
        <v>783</v>
      </c>
      <c r="L47">
        <v>0.2</v>
      </c>
      <c r="M47" t="b">
        <v>0</v>
      </c>
      <c r="N47">
        <v>42547</v>
      </c>
      <c r="O47">
        <v>3</v>
      </c>
      <c r="P47">
        <f t="shared" si="1"/>
        <v>0</v>
      </c>
      <c r="Q47">
        <f>IF(CO_Combined4[[#This Row],[Segment]]="COR",1,0)</f>
        <v>0</v>
      </c>
      <c r="R47">
        <f>IF(CO_Combined4[[#This Row],[Region ]]="E",1,0)</f>
        <v>0</v>
      </c>
      <c r="S47">
        <f>IF(CO_Combined4[[#This Row],[Region ]]="W",1,0)</f>
        <v>0</v>
      </c>
      <c r="T47">
        <f>IF(CO_Combined4[[#This Row],[Region ]]="S",1,0)</f>
        <v>0</v>
      </c>
      <c r="U47">
        <f>IF(CO_Combined4[[#This Row],[Ship Mode]]=1,1,0)</f>
        <v>0</v>
      </c>
      <c r="V47">
        <f>IF(CO_Combined4[[#This Row],[Ship Mode]]=2,1,0)</f>
        <v>0</v>
      </c>
      <c r="W47">
        <f>IF(CO_Combined4[[#This Row],[Ship Mode]]=3,1,0)</f>
        <v>1</v>
      </c>
      <c r="X47">
        <f t="shared" si="0"/>
        <v>1</v>
      </c>
      <c r="Y47">
        <v>2</v>
      </c>
      <c r="Z47">
        <v>1</v>
      </c>
    </row>
    <row r="48" spans="1:26" x14ac:dyDescent="0.2">
      <c r="A48" t="s">
        <v>660</v>
      </c>
      <c r="B48" t="s">
        <v>532</v>
      </c>
      <c r="C48" t="s">
        <v>323</v>
      </c>
      <c r="D48" t="s">
        <v>9</v>
      </c>
      <c r="E48" t="s">
        <v>97</v>
      </c>
      <c r="F48" t="s">
        <v>67</v>
      </c>
      <c r="G48">
        <v>19134</v>
      </c>
      <c r="H48" t="s">
        <v>27</v>
      </c>
      <c r="I48">
        <v>41786</v>
      </c>
      <c r="J48">
        <v>4</v>
      </c>
      <c r="K48" t="s">
        <v>663</v>
      </c>
      <c r="L48">
        <v>0.43333333333333335</v>
      </c>
      <c r="M48" t="b">
        <v>0</v>
      </c>
      <c r="N48">
        <v>41782</v>
      </c>
      <c r="O48">
        <v>4</v>
      </c>
      <c r="P48">
        <f t="shared" si="1"/>
        <v>1</v>
      </c>
      <c r="Q48">
        <f>IF(CO_Combined4[[#This Row],[Segment]]="COR",1,0)</f>
        <v>0</v>
      </c>
      <c r="R48">
        <f>IF(CO_Combined4[[#This Row],[Region ]]="E",1,0)</f>
        <v>1</v>
      </c>
      <c r="S48">
        <f>IF(CO_Combined4[[#This Row],[Region ]]="W",1,0)</f>
        <v>0</v>
      </c>
      <c r="T48">
        <f>IF(CO_Combined4[[#This Row],[Region ]]="S",1,0)</f>
        <v>0</v>
      </c>
      <c r="U48">
        <f>IF(CO_Combined4[[#This Row],[Ship Mode]]=1,1,0)</f>
        <v>0</v>
      </c>
      <c r="V48">
        <f>IF(CO_Combined4[[#This Row],[Ship Mode]]=2,1,0)</f>
        <v>0</v>
      </c>
      <c r="W48">
        <f>IF(CO_Combined4[[#This Row],[Ship Mode]]=3,1,0)</f>
        <v>0</v>
      </c>
      <c r="X48">
        <f t="shared" si="0"/>
        <v>1</v>
      </c>
      <c r="Y48">
        <v>13</v>
      </c>
      <c r="Z48">
        <v>1</v>
      </c>
    </row>
    <row r="49" spans="1:26" x14ac:dyDescent="0.2">
      <c r="A49" t="s">
        <v>680</v>
      </c>
      <c r="B49" t="s">
        <v>532</v>
      </c>
      <c r="C49" t="s">
        <v>323</v>
      </c>
      <c r="D49" t="s">
        <v>9</v>
      </c>
      <c r="E49" t="s">
        <v>97</v>
      </c>
      <c r="F49" t="s">
        <v>67</v>
      </c>
      <c r="G49">
        <v>19134</v>
      </c>
      <c r="H49" t="s">
        <v>27</v>
      </c>
      <c r="I49">
        <v>42252</v>
      </c>
      <c r="J49">
        <v>4</v>
      </c>
      <c r="K49" t="s">
        <v>681</v>
      </c>
      <c r="L49">
        <v>0</v>
      </c>
      <c r="M49" t="b">
        <v>0</v>
      </c>
      <c r="N49">
        <v>42247</v>
      </c>
      <c r="O49">
        <v>5</v>
      </c>
      <c r="P49">
        <f t="shared" si="1"/>
        <v>1</v>
      </c>
      <c r="Q49">
        <f>IF(CO_Combined4[[#This Row],[Segment]]="COR",1,0)</f>
        <v>0</v>
      </c>
      <c r="R49">
        <f>IF(CO_Combined4[[#This Row],[Region ]]="E",1,0)</f>
        <v>1</v>
      </c>
      <c r="S49">
        <f>IF(CO_Combined4[[#This Row],[Region ]]="W",1,0)</f>
        <v>0</v>
      </c>
      <c r="T49">
        <f>IF(CO_Combined4[[#This Row],[Region ]]="S",1,0)</f>
        <v>0</v>
      </c>
      <c r="U49">
        <f>IF(CO_Combined4[[#This Row],[Ship Mode]]=1,1,0)</f>
        <v>0</v>
      </c>
      <c r="V49">
        <f>IF(CO_Combined4[[#This Row],[Ship Mode]]=2,1,0)</f>
        <v>0</v>
      </c>
      <c r="W49">
        <f>IF(CO_Combined4[[#This Row],[Ship Mode]]=3,1,0)</f>
        <v>0</v>
      </c>
      <c r="X49">
        <f t="shared" si="0"/>
        <v>1</v>
      </c>
      <c r="Y49">
        <v>9</v>
      </c>
      <c r="Z49">
        <v>0</v>
      </c>
    </row>
    <row r="50" spans="1:26" x14ac:dyDescent="0.2">
      <c r="A50" t="s">
        <v>664</v>
      </c>
      <c r="B50" t="s">
        <v>557</v>
      </c>
      <c r="C50" t="s">
        <v>361</v>
      </c>
      <c r="D50" t="s">
        <v>9</v>
      </c>
      <c r="E50" t="s">
        <v>362</v>
      </c>
      <c r="F50" t="s">
        <v>53</v>
      </c>
      <c r="G50">
        <v>37211</v>
      </c>
      <c r="H50" t="s">
        <v>47</v>
      </c>
      <c r="I50">
        <v>42878</v>
      </c>
      <c r="J50">
        <v>4</v>
      </c>
      <c r="K50" t="s">
        <v>665</v>
      </c>
      <c r="L50">
        <v>0</v>
      </c>
      <c r="M50" t="b">
        <v>0</v>
      </c>
      <c r="N50">
        <v>42874</v>
      </c>
      <c r="O50">
        <v>4</v>
      </c>
      <c r="P50">
        <f t="shared" si="1"/>
        <v>1</v>
      </c>
      <c r="Q50">
        <f>IF(CO_Combined4[[#This Row],[Segment]]="COR",1,0)</f>
        <v>0</v>
      </c>
      <c r="R50">
        <f>IF(CO_Combined4[[#This Row],[Region ]]="E",1,0)</f>
        <v>0</v>
      </c>
      <c r="S50">
        <f>IF(CO_Combined4[[#This Row],[Region ]]="W",1,0)</f>
        <v>0</v>
      </c>
      <c r="T50">
        <f>IF(CO_Combined4[[#This Row],[Region ]]="S",1,0)</f>
        <v>1</v>
      </c>
      <c r="U50">
        <f>IF(CO_Combined4[[#This Row],[Ship Mode]]=1,1,0)</f>
        <v>0</v>
      </c>
      <c r="V50">
        <f>IF(CO_Combined4[[#This Row],[Ship Mode]]=2,1,0)</f>
        <v>0</v>
      </c>
      <c r="W50">
        <f>IF(CO_Combined4[[#This Row],[Ship Mode]]=3,1,0)</f>
        <v>0</v>
      </c>
      <c r="X50">
        <f t="shared" si="0"/>
        <v>1</v>
      </c>
      <c r="Y50">
        <v>2</v>
      </c>
      <c r="Z50">
        <v>0</v>
      </c>
    </row>
    <row r="51" spans="1:26" x14ac:dyDescent="0.2">
      <c r="A51" t="s">
        <v>708</v>
      </c>
      <c r="B51" t="s">
        <v>557</v>
      </c>
      <c r="C51" t="s">
        <v>361</v>
      </c>
      <c r="D51" t="s">
        <v>9</v>
      </c>
      <c r="E51" t="s">
        <v>362</v>
      </c>
      <c r="F51" t="s">
        <v>53</v>
      </c>
      <c r="G51">
        <v>37211</v>
      </c>
      <c r="H51" t="s">
        <v>47</v>
      </c>
      <c r="I51">
        <v>42950</v>
      </c>
      <c r="J51">
        <v>4</v>
      </c>
      <c r="K51" t="s">
        <v>709</v>
      </c>
      <c r="L51">
        <v>0.2</v>
      </c>
      <c r="M51" t="b">
        <v>0</v>
      </c>
      <c r="N51">
        <v>42948</v>
      </c>
      <c r="O51">
        <v>2</v>
      </c>
      <c r="P51">
        <f t="shared" si="1"/>
        <v>1</v>
      </c>
      <c r="Q51">
        <f>IF(CO_Combined4[[#This Row],[Segment]]="COR",1,0)</f>
        <v>0</v>
      </c>
      <c r="R51">
        <f>IF(CO_Combined4[[#This Row],[Region ]]="E",1,0)</f>
        <v>0</v>
      </c>
      <c r="S51">
        <f>IF(CO_Combined4[[#This Row],[Region ]]="W",1,0)</f>
        <v>0</v>
      </c>
      <c r="T51">
        <f>IF(CO_Combined4[[#This Row],[Region ]]="S",1,0)</f>
        <v>1</v>
      </c>
      <c r="U51">
        <f>IF(CO_Combined4[[#This Row],[Ship Mode]]=1,1,0)</f>
        <v>0</v>
      </c>
      <c r="V51">
        <f>IF(CO_Combined4[[#This Row],[Ship Mode]]=2,1,0)</f>
        <v>0</v>
      </c>
      <c r="W51">
        <f>IF(CO_Combined4[[#This Row],[Ship Mode]]=3,1,0)</f>
        <v>0</v>
      </c>
      <c r="X51">
        <f t="shared" si="0"/>
        <v>1</v>
      </c>
      <c r="Y51">
        <v>2</v>
      </c>
      <c r="Z51">
        <v>1</v>
      </c>
    </row>
    <row r="52" spans="1:26" x14ac:dyDescent="0.2">
      <c r="A52" t="s">
        <v>666</v>
      </c>
      <c r="B52" t="s">
        <v>535</v>
      </c>
      <c r="C52" t="s">
        <v>326</v>
      </c>
      <c r="D52" t="s">
        <v>150</v>
      </c>
      <c r="E52" t="s">
        <v>327</v>
      </c>
      <c r="F52" t="s">
        <v>86</v>
      </c>
      <c r="G52">
        <v>98661</v>
      </c>
      <c r="H52" t="s">
        <v>18</v>
      </c>
      <c r="I52">
        <v>42720</v>
      </c>
      <c r="J52">
        <v>3</v>
      </c>
      <c r="K52" t="s">
        <v>668</v>
      </c>
      <c r="L52">
        <v>6.6666666666666666E-2</v>
      </c>
      <c r="M52" t="b">
        <v>0</v>
      </c>
      <c r="N52">
        <v>42715</v>
      </c>
      <c r="O52">
        <v>5</v>
      </c>
      <c r="P52">
        <f t="shared" si="1"/>
        <v>0</v>
      </c>
      <c r="Q52">
        <f>IF(CO_Combined4[[#This Row],[Segment]]="COR",1,0)</f>
        <v>1</v>
      </c>
      <c r="R52">
        <f>IF(CO_Combined4[[#This Row],[Region ]]="E",1,0)</f>
        <v>0</v>
      </c>
      <c r="S52">
        <f>IF(CO_Combined4[[#This Row],[Region ]]="W",1,0)</f>
        <v>1</v>
      </c>
      <c r="T52">
        <f>IF(CO_Combined4[[#This Row],[Region ]]="S",1,0)</f>
        <v>0</v>
      </c>
      <c r="U52">
        <f>IF(CO_Combined4[[#This Row],[Ship Mode]]=1,1,0)</f>
        <v>0</v>
      </c>
      <c r="V52">
        <f>IF(CO_Combined4[[#This Row],[Ship Mode]]=2,1,0)</f>
        <v>0</v>
      </c>
      <c r="W52">
        <f>IF(CO_Combined4[[#This Row],[Ship Mode]]=3,1,0)</f>
        <v>1</v>
      </c>
      <c r="X52">
        <f t="shared" si="0"/>
        <v>1</v>
      </c>
      <c r="Y52">
        <v>11</v>
      </c>
      <c r="Z52">
        <v>1</v>
      </c>
    </row>
    <row r="53" spans="1:26" x14ac:dyDescent="0.2">
      <c r="A53" t="s">
        <v>746</v>
      </c>
      <c r="B53" t="s">
        <v>417</v>
      </c>
      <c r="C53" t="s">
        <v>149</v>
      </c>
      <c r="D53" t="s">
        <v>150</v>
      </c>
      <c r="E53" t="s">
        <v>151</v>
      </c>
      <c r="F53" t="s">
        <v>31</v>
      </c>
      <c r="G53">
        <v>85705</v>
      </c>
      <c r="H53" t="s">
        <v>18</v>
      </c>
      <c r="I53">
        <v>43050</v>
      </c>
      <c r="J53">
        <v>2</v>
      </c>
      <c r="K53" t="s">
        <v>750</v>
      </c>
      <c r="L53">
        <v>0.4</v>
      </c>
      <c r="M53" t="b">
        <v>1</v>
      </c>
      <c r="N53">
        <v>43049</v>
      </c>
      <c r="O53">
        <v>1</v>
      </c>
      <c r="P53">
        <f t="shared" si="1"/>
        <v>0</v>
      </c>
      <c r="Q53">
        <f>IF(CO_Combined4[[#This Row],[Segment]]="COR",1,0)</f>
        <v>1</v>
      </c>
      <c r="R53">
        <f>IF(CO_Combined4[[#This Row],[Region ]]="E",1,0)</f>
        <v>0</v>
      </c>
      <c r="S53">
        <f>IF(CO_Combined4[[#This Row],[Region ]]="W",1,0)</f>
        <v>1</v>
      </c>
      <c r="T53">
        <f>IF(CO_Combined4[[#This Row],[Region ]]="S",1,0)</f>
        <v>0</v>
      </c>
      <c r="U53">
        <f>IF(CO_Combined4[[#This Row],[Ship Mode]]=1,1,0)</f>
        <v>0</v>
      </c>
      <c r="V53">
        <f>IF(CO_Combined4[[#This Row],[Ship Mode]]=2,1,0)</f>
        <v>1</v>
      </c>
      <c r="W53">
        <f>IF(CO_Combined4[[#This Row],[Ship Mode]]=3,1,0)</f>
        <v>0</v>
      </c>
      <c r="X53">
        <f t="shared" si="0"/>
        <v>0</v>
      </c>
      <c r="Y53">
        <v>28</v>
      </c>
      <c r="Z53">
        <v>1</v>
      </c>
    </row>
    <row r="54" spans="1:26" x14ac:dyDescent="0.2">
      <c r="A54" t="s">
        <v>807</v>
      </c>
      <c r="B54" t="s">
        <v>423</v>
      </c>
      <c r="C54" t="s">
        <v>159</v>
      </c>
      <c r="D54" t="s">
        <v>150</v>
      </c>
      <c r="E54" t="s">
        <v>121</v>
      </c>
      <c r="F54" t="s">
        <v>22</v>
      </c>
      <c r="G54">
        <v>77041</v>
      </c>
      <c r="H54" t="s">
        <v>12</v>
      </c>
      <c r="I54">
        <v>43014</v>
      </c>
      <c r="J54">
        <v>2</v>
      </c>
      <c r="K54" t="s">
        <v>808</v>
      </c>
      <c r="L54">
        <v>0</v>
      </c>
      <c r="M54" t="b">
        <v>0</v>
      </c>
      <c r="N54">
        <v>43011</v>
      </c>
      <c r="O54">
        <v>3</v>
      </c>
      <c r="P54">
        <f t="shared" si="1"/>
        <v>0</v>
      </c>
      <c r="Q54">
        <f>IF(CO_Combined4[[#This Row],[Segment]]="COR",1,0)</f>
        <v>1</v>
      </c>
      <c r="R54">
        <f>IF(CO_Combined4[[#This Row],[Region ]]="E",1,0)</f>
        <v>0</v>
      </c>
      <c r="S54">
        <f>IF(CO_Combined4[[#This Row],[Region ]]="W",1,0)</f>
        <v>0</v>
      </c>
      <c r="T54">
        <f>IF(CO_Combined4[[#This Row],[Region ]]="S",1,0)</f>
        <v>0</v>
      </c>
      <c r="U54">
        <f>IF(CO_Combined4[[#This Row],[Ship Mode]]=1,1,0)</f>
        <v>0</v>
      </c>
      <c r="V54">
        <f>IF(CO_Combined4[[#This Row],[Ship Mode]]=2,1,0)</f>
        <v>1</v>
      </c>
      <c r="W54">
        <f>IF(CO_Combined4[[#This Row],[Ship Mode]]=3,1,0)</f>
        <v>0</v>
      </c>
      <c r="X54">
        <f t="shared" si="0"/>
        <v>1</v>
      </c>
      <c r="Y54">
        <v>2</v>
      </c>
      <c r="Z54">
        <v>0</v>
      </c>
    </row>
    <row r="55" spans="1:26" x14ac:dyDescent="0.2">
      <c r="A55" t="s">
        <v>678</v>
      </c>
      <c r="B55" t="s">
        <v>524</v>
      </c>
      <c r="C55" t="s">
        <v>311</v>
      </c>
      <c r="D55" t="s">
        <v>9</v>
      </c>
      <c r="E55" t="s">
        <v>38</v>
      </c>
      <c r="F55" t="s">
        <v>17</v>
      </c>
      <c r="G55">
        <v>90045</v>
      </c>
      <c r="H55" t="s">
        <v>18</v>
      </c>
      <c r="I55">
        <v>42985</v>
      </c>
      <c r="J55">
        <v>4</v>
      </c>
      <c r="K55" t="s">
        <v>679</v>
      </c>
      <c r="L55">
        <v>0.2</v>
      </c>
      <c r="M55" t="b">
        <v>0</v>
      </c>
      <c r="N55">
        <v>42981</v>
      </c>
      <c r="O55">
        <v>4</v>
      </c>
      <c r="P55">
        <f t="shared" si="1"/>
        <v>1</v>
      </c>
      <c r="Q55">
        <f>IF(CO_Combined4[[#This Row],[Segment]]="COR",1,0)</f>
        <v>0</v>
      </c>
      <c r="R55">
        <f>IF(CO_Combined4[[#This Row],[Region ]]="E",1,0)</f>
        <v>0</v>
      </c>
      <c r="S55">
        <f>IF(CO_Combined4[[#This Row],[Region ]]="W",1,0)</f>
        <v>1</v>
      </c>
      <c r="T55">
        <f>IF(CO_Combined4[[#This Row],[Region ]]="S",1,0)</f>
        <v>0</v>
      </c>
      <c r="U55">
        <f>IF(CO_Combined4[[#This Row],[Ship Mode]]=1,1,0)</f>
        <v>0</v>
      </c>
      <c r="V55">
        <f>IF(CO_Combined4[[#This Row],[Ship Mode]]=2,1,0)</f>
        <v>0</v>
      </c>
      <c r="W55">
        <f>IF(CO_Combined4[[#This Row],[Ship Mode]]=3,1,0)</f>
        <v>0</v>
      </c>
      <c r="X55">
        <f t="shared" si="0"/>
        <v>1</v>
      </c>
      <c r="Y55">
        <v>4</v>
      </c>
      <c r="Z55">
        <v>1</v>
      </c>
    </row>
    <row r="56" spans="1:26" x14ac:dyDescent="0.2">
      <c r="A56" t="s">
        <v>714</v>
      </c>
      <c r="B56" t="s">
        <v>524</v>
      </c>
      <c r="C56" t="s">
        <v>311</v>
      </c>
      <c r="D56" t="s">
        <v>9</v>
      </c>
      <c r="E56" t="s">
        <v>38</v>
      </c>
      <c r="F56" t="s">
        <v>17</v>
      </c>
      <c r="G56">
        <v>90045</v>
      </c>
      <c r="H56" t="s">
        <v>18</v>
      </c>
      <c r="I56">
        <v>41915</v>
      </c>
      <c r="J56">
        <v>4</v>
      </c>
      <c r="K56" t="s">
        <v>718</v>
      </c>
      <c r="L56">
        <v>0.04</v>
      </c>
      <c r="M56" t="b">
        <v>0</v>
      </c>
      <c r="N56">
        <v>41911</v>
      </c>
      <c r="O56">
        <v>4</v>
      </c>
      <c r="P56">
        <f t="shared" si="1"/>
        <v>1</v>
      </c>
      <c r="Q56">
        <f>IF(CO_Combined4[[#This Row],[Segment]]="COR",1,0)</f>
        <v>0</v>
      </c>
      <c r="R56">
        <f>IF(CO_Combined4[[#This Row],[Region ]]="E",1,0)</f>
        <v>0</v>
      </c>
      <c r="S56">
        <f>IF(CO_Combined4[[#This Row],[Region ]]="W",1,0)</f>
        <v>1</v>
      </c>
      <c r="T56">
        <f>IF(CO_Combined4[[#This Row],[Region ]]="S",1,0)</f>
        <v>0</v>
      </c>
      <c r="U56">
        <f>IF(CO_Combined4[[#This Row],[Ship Mode]]=1,1,0)</f>
        <v>0</v>
      </c>
      <c r="V56">
        <f>IF(CO_Combined4[[#This Row],[Ship Mode]]=2,1,0)</f>
        <v>0</v>
      </c>
      <c r="W56">
        <f>IF(CO_Combined4[[#This Row],[Ship Mode]]=3,1,0)</f>
        <v>0</v>
      </c>
      <c r="X56">
        <f t="shared" si="0"/>
        <v>1</v>
      </c>
      <c r="Y56">
        <v>10</v>
      </c>
      <c r="Z56">
        <v>1</v>
      </c>
    </row>
    <row r="57" spans="1:26" x14ac:dyDescent="0.2">
      <c r="A57" t="s">
        <v>682</v>
      </c>
      <c r="B57" t="s">
        <v>506</v>
      </c>
      <c r="C57" t="s">
        <v>284</v>
      </c>
      <c r="D57" t="s">
        <v>150</v>
      </c>
      <c r="E57" t="s">
        <v>212</v>
      </c>
      <c r="F57" t="s">
        <v>166</v>
      </c>
      <c r="G57">
        <v>33710</v>
      </c>
      <c r="H57" t="s">
        <v>47</v>
      </c>
      <c r="I57">
        <v>41779</v>
      </c>
      <c r="J57">
        <v>3</v>
      </c>
      <c r="K57" t="s">
        <v>683</v>
      </c>
      <c r="L57">
        <v>0.2</v>
      </c>
      <c r="M57" t="b">
        <v>0</v>
      </c>
      <c r="N57">
        <v>41773</v>
      </c>
      <c r="O57">
        <v>6</v>
      </c>
      <c r="P57">
        <f t="shared" si="1"/>
        <v>0</v>
      </c>
      <c r="Q57">
        <f>IF(CO_Combined4[[#This Row],[Segment]]="COR",1,0)</f>
        <v>1</v>
      </c>
      <c r="R57">
        <f>IF(CO_Combined4[[#This Row],[Region ]]="E",1,0)</f>
        <v>0</v>
      </c>
      <c r="S57">
        <f>IF(CO_Combined4[[#This Row],[Region ]]="W",1,0)</f>
        <v>0</v>
      </c>
      <c r="T57">
        <f>IF(CO_Combined4[[#This Row],[Region ]]="S",1,0)</f>
        <v>1</v>
      </c>
      <c r="U57">
        <f>IF(CO_Combined4[[#This Row],[Ship Mode]]=1,1,0)</f>
        <v>0</v>
      </c>
      <c r="V57">
        <f>IF(CO_Combined4[[#This Row],[Ship Mode]]=2,1,0)</f>
        <v>0</v>
      </c>
      <c r="W57">
        <f>IF(CO_Combined4[[#This Row],[Ship Mode]]=3,1,0)</f>
        <v>1</v>
      </c>
      <c r="X57">
        <f t="shared" si="0"/>
        <v>1</v>
      </c>
      <c r="Y57">
        <v>2</v>
      </c>
      <c r="Z57">
        <v>1</v>
      </c>
    </row>
    <row r="58" spans="1:26" x14ac:dyDescent="0.2">
      <c r="A58" t="s">
        <v>690</v>
      </c>
      <c r="B58" t="s">
        <v>506</v>
      </c>
      <c r="C58" t="s">
        <v>284</v>
      </c>
      <c r="D58" t="s">
        <v>150</v>
      </c>
      <c r="E58" t="s">
        <v>212</v>
      </c>
      <c r="F58" t="s">
        <v>166</v>
      </c>
      <c r="G58">
        <v>33710</v>
      </c>
      <c r="H58" t="s">
        <v>47</v>
      </c>
      <c r="I58">
        <v>42376</v>
      </c>
      <c r="J58">
        <v>3</v>
      </c>
      <c r="K58" t="s">
        <v>693</v>
      </c>
      <c r="L58">
        <v>0.2</v>
      </c>
      <c r="M58" t="b">
        <v>1</v>
      </c>
      <c r="N58">
        <v>42374</v>
      </c>
      <c r="O58">
        <v>2</v>
      </c>
      <c r="P58">
        <f t="shared" si="1"/>
        <v>0</v>
      </c>
      <c r="Q58">
        <f>IF(CO_Combined4[[#This Row],[Segment]]="COR",1,0)</f>
        <v>1</v>
      </c>
      <c r="R58">
        <f>IF(CO_Combined4[[#This Row],[Region ]]="E",1,0)</f>
        <v>0</v>
      </c>
      <c r="S58">
        <f>IF(CO_Combined4[[#This Row],[Region ]]="W",1,0)</f>
        <v>0</v>
      </c>
      <c r="T58">
        <f>IF(CO_Combined4[[#This Row],[Region ]]="S",1,0)</f>
        <v>1</v>
      </c>
      <c r="U58">
        <f>IF(CO_Combined4[[#This Row],[Ship Mode]]=1,1,0)</f>
        <v>0</v>
      </c>
      <c r="V58">
        <f>IF(CO_Combined4[[#This Row],[Ship Mode]]=2,1,0)</f>
        <v>0</v>
      </c>
      <c r="W58">
        <f>IF(CO_Combined4[[#This Row],[Ship Mode]]=3,1,0)</f>
        <v>1</v>
      </c>
      <c r="X58">
        <f t="shared" si="0"/>
        <v>0</v>
      </c>
      <c r="Y58">
        <v>10</v>
      </c>
      <c r="Z58">
        <v>1</v>
      </c>
    </row>
    <row r="59" spans="1:26" x14ac:dyDescent="0.2">
      <c r="A59" t="s">
        <v>812</v>
      </c>
      <c r="B59" t="s">
        <v>427</v>
      </c>
      <c r="C59" t="s">
        <v>167</v>
      </c>
      <c r="D59" t="s">
        <v>150</v>
      </c>
      <c r="E59" t="s">
        <v>25</v>
      </c>
      <c r="F59" t="s">
        <v>26</v>
      </c>
      <c r="G59">
        <v>10009</v>
      </c>
      <c r="H59" t="s">
        <v>27</v>
      </c>
      <c r="I59">
        <v>42984</v>
      </c>
      <c r="J59">
        <v>4</v>
      </c>
      <c r="K59" t="s">
        <v>817</v>
      </c>
      <c r="L59">
        <v>5.8333333333333341E-2</v>
      </c>
      <c r="M59" t="b">
        <v>1</v>
      </c>
      <c r="N59">
        <v>42980</v>
      </c>
      <c r="O59">
        <v>4</v>
      </c>
      <c r="P59">
        <f t="shared" si="1"/>
        <v>0</v>
      </c>
      <c r="Q59">
        <f>IF(CO_Combined4[[#This Row],[Segment]]="COR",1,0)</f>
        <v>1</v>
      </c>
      <c r="R59">
        <f>IF(CO_Combined4[[#This Row],[Region ]]="E",1,0)</f>
        <v>1</v>
      </c>
      <c r="S59">
        <f>IF(CO_Combined4[[#This Row],[Region ]]="W",1,0)</f>
        <v>0</v>
      </c>
      <c r="T59">
        <f>IF(CO_Combined4[[#This Row],[Region ]]="S",1,0)</f>
        <v>0</v>
      </c>
      <c r="U59">
        <f>IF(CO_Combined4[[#This Row],[Ship Mode]]=1,1,0)</f>
        <v>0</v>
      </c>
      <c r="V59">
        <f>IF(CO_Combined4[[#This Row],[Ship Mode]]=2,1,0)</f>
        <v>0</v>
      </c>
      <c r="W59">
        <f>IF(CO_Combined4[[#This Row],[Ship Mode]]=3,1,0)</f>
        <v>0</v>
      </c>
      <c r="X59">
        <f t="shared" si="0"/>
        <v>0</v>
      </c>
      <c r="Y59">
        <v>40</v>
      </c>
      <c r="Z59">
        <v>1</v>
      </c>
    </row>
    <row r="60" spans="1:26" x14ac:dyDescent="0.2">
      <c r="A60" t="s">
        <v>687</v>
      </c>
      <c r="B60" t="s">
        <v>576</v>
      </c>
      <c r="C60" t="s">
        <v>575</v>
      </c>
      <c r="D60" t="s">
        <v>9</v>
      </c>
      <c r="E60" t="s">
        <v>251</v>
      </c>
      <c r="F60" t="s">
        <v>73</v>
      </c>
      <c r="G60">
        <v>40214</v>
      </c>
      <c r="H60" t="s">
        <v>47</v>
      </c>
      <c r="I60">
        <v>42294</v>
      </c>
      <c r="J60">
        <v>4</v>
      </c>
      <c r="K60" t="s">
        <v>688</v>
      </c>
      <c r="L60">
        <v>0</v>
      </c>
      <c r="M60" t="b">
        <v>0</v>
      </c>
      <c r="N60">
        <v>42290</v>
      </c>
      <c r="O60">
        <v>4</v>
      </c>
      <c r="P60">
        <f t="shared" si="1"/>
        <v>1</v>
      </c>
      <c r="Q60">
        <f>IF(CO_Combined4[[#This Row],[Segment]]="COR",1,0)</f>
        <v>0</v>
      </c>
      <c r="R60">
        <f>IF(CO_Combined4[[#This Row],[Region ]]="E",1,0)</f>
        <v>0</v>
      </c>
      <c r="S60">
        <f>IF(CO_Combined4[[#This Row],[Region ]]="W",1,0)</f>
        <v>0</v>
      </c>
      <c r="T60">
        <f>IF(CO_Combined4[[#This Row],[Region ]]="S",1,0)</f>
        <v>1</v>
      </c>
      <c r="U60">
        <f>IF(CO_Combined4[[#This Row],[Ship Mode]]=1,1,0)</f>
        <v>0</v>
      </c>
      <c r="V60">
        <f>IF(CO_Combined4[[#This Row],[Ship Mode]]=2,1,0)</f>
        <v>0</v>
      </c>
      <c r="W60">
        <f>IF(CO_Combined4[[#This Row],[Ship Mode]]=3,1,0)</f>
        <v>0</v>
      </c>
      <c r="X60">
        <f t="shared" si="0"/>
        <v>1</v>
      </c>
      <c r="Y60">
        <v>10</v>
      </c>
      <c r="Z60">
        <v>0</v>
      </c>
    </row>
    <row r="61" spans="1:26" x14ac:dyDescent="0.2">
      <c r="A61" t="s">
        <v>694</v>
      </c>
      <c r="B61" t="s">
        <v>503</v>
      </c>
      <c r="C61" t="s">
        <v>278</v>
      </c>
      <c r="D61" t="s">
        <v>150</v>
      </c>
      <c r="E61" t="s">
        <v>270</v>
      </c>
      <c r="F61" t="s">
        <v>95</v>
      </c>
      <c r="G61">
        <v>22153</v>
      </c>
      <c r="H61" t="s">
        <v>47</v>
      </c>
      <c r="I61">
        <v>41654</v>
      </c>
      <c r="J61">
        <v>4</v>
      </c>
      <c r="K61" t="s">
        <v>695</v>
      </c>
      <c r="L61">
        <v>0</v>
      </c>
      <c r="M61" t="b">
        <v>0</v>
      </c>
      <c r="N61">
        <v>41649</v>
      </c>
      <c r="O61">
        <v>5</v>
      </c>
      <c r="P61">
        <f t="shared" si="1"/>
        <v>0</v>
      </c>
      <c r="Q61">
        <f>IF(CO_Combined4[[#This Row],[Segment]]="COR",1,0)</f>
        <v>1</v>
      </c>
      <c r="R61">
        <f>IF(CO_Combined4[[#This Row],[Region ]]="E",1,0)</f>
        <v>0</v>
      </c>
      <c r="S61">
        <f>IF(CO_Combined4[[#This Row],[Region ]]="W",1,0)</f>
        <v>0</v>
      </c>
      <c r="T61">
        <f>IF(CO_Combined4[[#This Row],[Region ]]="S",1,0)</f>
        <v>1</v>
      </c>
      <c r="U61">
        <f>IF(CO_Combined4[[#This Row],[Ship Mode]]=1,1,0)</f>
        <v>0</v>
      </c>
      <c r="V61">
        <f>IF(CO_Combined4[[#This Row],[Ship Mode]]=2,1,0)</f>
        <v>0</v>
      </c>
      <c r="W61">
        <f>IF(CO_Combined4[[#This Row],[Ship Mode]]=3,1,0)</f>
        <v>0</v>
      </c>
      <c r="X61">
        <f t="shared" si="0"/>
        <v>1</v>
      </c>
      <c r="Y61">
        <v>2</v>
      </c>
      <c r="Z61">
        <v>0</v>
      </c>
    </row>
    <row r="62" spans="1:26" x14ac:dyDescent="0.2">
      <c r="A62" t="s">
        <v>733</v>
      </c>
      <c r="B62" t="s">
        <v>435</v>
      </c>
      <c r="C62" t="s">
        <v>180</v>
      </c>
      <c r="D62" t="s">
        <v>9</v>
      </c>
      <c r="E62" t="s">
        <v>25</v>
      </c>
      <c r="F62" t="s">
        <v>26</v>
      </c>
      <c r="G62">
        <v>10035</v>
      </c>
      <c r="H62" t="s">
        <v>27</v>
      </c>
      <c r="I62">
        <v>42193</v>
      </c>
      <c r="J62">
        <v>4</v>
      </c>
      <c r="K62" t="s">
        <v>734</v>
      </c>
      <c r="L62">
        <v>0</v>
      </c>
      <c r="M62" t="b">
        <v>0</v>
      </c>
      <c r="N62">
        <v>42189</v>
      </c>
      <c r="O62">
        <v>4</v>
      </c>
      <c r="P62">
        <f t="shared" si="1"/>
        <v>1</v>
      </c>
      <c r="Q62">
        <f>IF(CO_Combined4[[#This Row],[Segment]]="COR",1,0)</f>
        <v>0</v>
      </c>
      <c r="R62">
        <f>IF(CO_Combined4[[#This Row],[Region ]]="E",1,0)</f>
        <v>1</v>
      </c>
      <c r="S62">
        <f>IF(CO_Combined4[[#This Row],[Region ]]="W",1,0)</f>
        <v>0</v>
      </c>
      <c r="T62">
        <f>IF(CO_Combined4[[#This Row],[Region ]]="S",1,0)</f>
        <v>0</v>
      </c>
      <c r="U62">
        <f>IF(CO_Combined4[[#This Row],[Ship Mode]]=1,1,0)</f>
        <v>0</v>
      </c>
      <c r="V62">
        <f>IF(CO_Combined4[[#This Row],[Ship Mode]]=2,1,0)</f>
        <v>0</v>
      </c>
      <c r="W62">
        <f>IF(CO_Combined4[[#This Row],[Ship Mode]]=3,1,0)</f>
        <v>0</v>
      </c>
      <c r="X62">
        <f t="shared" si="0"/>
        <v>1</v>
      </c>
      <c r="Y62">
        <v>3</v>
      </c>
      <c r="Z62">
        <v>0</v>
      </c>
    </row>
    <row r="63" spans="1:26" x14ac:dyDescent="0.2">
      <c r="A63" t="s">
        <v>697</v>
      </c>
      <c r="B63" t="s">
        <v>462</v>
      </c>
      <c r="C63" t="s">
        <v>220</v>
      </c>
      <c r="D63" t="s">
        <v>90</v>
      </c>
      <c r="E63" t="s">
        <v>97</v>
      </c>
      <c r="F63" t="s">
        <v>67</v>
      </c>
      <c r="G63">
        <v>19120</v>
      </c>
      <c r="H63" t="s">
        <v>27</v>
      </c>
      <c r="I63">
        <v>41903</v>
      </c>
      <c r="J63">
        <v>4</v>
      </c>
      <c r="K63" t="s">
        <v>698</v>
      </c>
      <c r="L63">
        <v>0.7</v>
      </c>
      <c r="M63" t="b">
        <v>0</v>
      </c>
      <c r="N63">
        <v>41899</v>
      </c>
      <c r="O63">
        <v>4</v>
      </c>
      <c r="P63">
        <f t="shared" si="1"/>
        <v>0</v>
      </c>
      <c r="Q63">
        <f>IF(CO_Combined4[[#This Row],[Segment]]="COR",1,0)</f>
        <v>0</v>
      </c>
      <c r="R63">
        <f>IF(CO_Combined4[[#This Row],[Region ]]="E",1,0)</f>
        <v>1</v>
      </c>
      <c r="S63">
        <f>IF(CO_Combined4[[#This Row],[Region ]]="W",1,0)</f>
        <v>0</v>
      </c>
      <c r="T63">
        <f>IF(CO_Combined4[[#This Row],[Region ]]="S",1,0)</f>
        <v>0</v>
      </c>
      <c r="U63">
        <f>IF(CO_Combined4[[#This Row],[Ship Mode]]=1,1,0)</f>
        <v>0</v>
      </c>
      <c r="V63">
        <f>IF(CO_Combined4[[#This Row],[Ship Mode]]=2,1,0)</f>
        <v>0</v>
      </c>
      <c r="W63">
        <f>IF(CO_Combined4[[#This Row],[Ship Mode]]=3,1,0)</f>
        <v>0</v>
      </c>
      <c r="X63">
        <f t="shared" si="0"/>
        <v>1</v>
      </c>
      <c r="Y63">
        <v>4</v>
      </c>
      <c r="Z63">
        <v>1</v>
      </c>
    </row>
    <row r="64" spans="1:26" x14ac:dyDescent="0.2">
      <c r="A64" t="s">
        <v>737</v>
      </c>
      <c r="B64" t="s">
        <v>436</v>
      </c>
      <c r="C64" t="s">
        <v>181</v>
      </c>
      <c r="D64" t="s">
        <v>90</v>
      </c>
      <c r="E64" t="s">
        <v>97</v>
      </c>
      <c r="F64" t="s">
        <v>67</v>
      </c>
      <c r="G64">
        <v>19120</v>
      </c>
      <c r="H64" t="s">
        <v>27</v>
      </c>
      <c r="I64">
        <v>42173</v>
      </c>
      <c r="J64">
        <v>4</v>
      </c>
      <c r="K64" t="s">
        <v>738</v>
      </c>
      <c r="L64">
        <v>0.2</v>
      </c>
      <c r="M64" t="b">
        <v>0</v>
      </c>
      <c r="N64">
        <v>42169</v>
      </c>
      <c r="O64">
        <v>4</v>
      </c>
      <c r="P64">
        <f t="shared" si="1"/>
        <v>0</v>
      </c>
      <c r="Q64">
        <f>IF(CO_Combined4[[#This Row],[Segment]]="COR",1,0)</f>
        <v>0</v>
      </c>
      <c r="R64">
        <f>IF(CO_Combined4[[#This Row],[Region ]]="E",1,0)</f>
        <v>1</v>
      </c>
      <c r="S64">
        <f>IF(CO_Combined4[[#This Row],[Region ]]="W",1,0)</f>
        <v>0</v>
      </c>
      <c r="T64">
        <f>IF(CO_Combined4[[#This Row],[Region ]]="S",1,0)</f>
        <v>0</v>
      </c>
      <c r="U64">
        <f>IF(CO_Combined4[[#This Row],[Ship Mode]]=1,1,0)</f>
        <v>0</v>
      </c>
      <c r="V64">
        <f>IF(CO_Combined4[[#This Row],[Ship Mode]]=2,1,0)</f>
        <v>0</v>
      </c>
      <c r="W64">
        <f>IF(CO_Combined4[[#This Row],[Ship Mode]]=3,1,0)</f>
        <v>0</v>
      </c>
      <c r="X64">
        <f t="shared" si="0"/>
        <v>1</v>
      </c>
      <c r="Y64">
        <v>6</v>
      </c>
      <c r="Z64">
        <v>1</v>
      </c>
    </row>
    <row r="65" spans="1:26" x14ac:dyDescent="0.2">
      <c r="A65" t="s">
        <v>699</v>
      </c>
      <c r="B65" t="s">
        <v>474</v>
      </c>
      <c r="C65" t="s">
        <v>239</v>
      </c>
      <c r="D65" t="s">
        <v>150</v>
      </c>
      <c r="E65" t="s">
        <v>25</v>
      </c>
      <c r="F65" t="s">
        <v>26</v>
      </c>
      <c r="G65">
        <v>10011</v>
      </c>
      <c r="H65" t="s">
        <v>27</v>
      </c>
      <c r="I65">
        <v>42633</v>
      </c>
      <c r="J65">
        <v>4</v>
      </c>
      <c r="K65" t="s">
        <v>700</v>
      </c>
      <c r="L65">
        <v>0.2</v>
      </c>
      <c r="M65" t="b">
        <v>0</v>
      </c>
      <c r="N65">
        <v>42628</v>
      </c>
      <c r="O65">
        <v>5</v>
      </c>
      <c r="P65">
        <f t="shared" si="1"/>
        <v>0</v>
      </c>
      <c r="Q65">
        <f>IF(CO_Combined4[[#This Row],[Segment]]="COR",1,0)</f>
        <v>1</v>
      </c>
      <c r="R65">
        <f>IF(CO_Combined4[[#This Row],[Region ]]="E",1,0)</f>
        <v>1</v>
      </c>
      <c r="S65">
        <f>IF(CO_Combined4[[#This Row],[Region ]]="W",1,0)</f>
        <v>0</v>
      </c>
      <c r="T65">
        <f>IF(CO_Combined4[[#This Row],[Region ]]="S",1,0)</f>
        <v>0</v>
      </c>
      <c r="U65">
        <f>IF(CO_Combined4[[#This Row],[Ship Mode]]=1,1,0)</f>
        <v>0</v>
      </c>
      <c r="V65">
        <f>IF(CO_Combined4[[#This Row],[Ship Mode]]=2,1,0)</f>
        <v>0</v>
      </c>
      <c r="W65">
        <f>IF(CO_Combined4[[#This Row],[Ship Mode]]=3,1,0)</f>
        <v>0</v>
      </c>
      <c r="X65">
        <f t="shared" si="0"/>
        <v>1</v>
      </c>
      <c r="Y65">
        <v>2</v>
      </c>
      <c r="Z65">
        <v>1</v>
      </c>
    </row>
    <row r="66" spans="1:26" x14ac:dyDescent="0.2">
      <c r="A66" t="s">
        <v>768</v>
      </c>
      <c r="B66" t="s">
        <v>474</v>
      </c>
      <c r="C66" t="s">
        <v>239</v>
      </c>
      <c r="D66" t="s">
        <v>150</v>
      </c>
      <c r="E66" t="s">
        <v>25</v>
      </c>
      <c r="F66" t="s">
        <v>26</v>
      </c>
      <c r="G66">
        <v>10011</v>
      </c>
      <c r="H66" t="s">
        <v>27</v>
      </c>
      <c r="I66">
        <v>43069</v>
      </c>
      <c r="J66">
        <v>4</v>
      </c>
      <c r="K66" t="s">
        <v>769</v>
      </c>
      <c r="L66">
        <v>0</v>
      </c>
      <c r="M66" t="b">
        <v>0</v>
      </c>
      <c r="N66">
        <v>43065</v>
      </c>
      <c r="O66">
        <v>4</v>
      </c>
      <c r="P66">
        <f t="shared" ref="P66:P129" si="2">IF($D66="CON",1,0)</f>
        <v>0</v>
      </c>
      <c r="Q66">
        <f>IF(CO_Combined4[[#This Row],[Segment]]="COR",1,0)</f>
        <v>1</v>
      </c>
      <c r="R66">
        <f>IF(CO_Combined4[[#This Row],[Region ]]="E",1,0)</f>
        <v>1</v>
      </c>
      <c r="S66">
        <f>IF(CO_Combined4[[#This Row],[Region ]]="W",1,0)</f>
        <v>0</v>
      </c>
      <c r="T66">
        <f>IF(CO_Combined4[[#This Row],[Region ]]="S",1,0)</f>
        <v>0</v>
      </c>
      <c r="U66">
        <f>IF(CO_Combined4[[#This Row],[Ship Mode]]=1,1,0)</f>
        <v>0</v>
      </c>
      <c r="V66">
        <f>IF(CO_Combined4[[#This Row],[Ship Mode]]=2,1,0)</f>
        <v>0</v>
      </c>
      <c r="W66">
        <f>IF(CO_Combined4[[#This Row],[Ship Mode]]=3,1,0)</f>
        <v>0</v>
      </c>
      <c r="X66">
        <f t="shared" ref="X66:X129" si="3">IF($M66=$M$2,1,0)</f>
        <v>1</v>
      </c>
      <c r="Y66">
        <v>3</v>
      </c>
      <c r="Z66">
        <v>0</v>
      </c>
    </row>
    <row r="67" spans="1:26" x14ac:dyDescent="0.2">
      <c r="A67" t="s">
        <v>843</v>
      </c>
      <c r="B67" t="s">
        <v>440</v>
      </c>
      <c r="C67" t="s">
        <v>187</v>
      </c>
      <c r="D67" t="s">
        <v>9</v>
      </c>
      <c r="E67" t="s">
        <v>188</v>
      </c>
      <c r="F67" t="s">
        <v>22</v>
      </c>
      <c r="G67">
        <v>77840</v>
      </c>
      <c r="H67" t="s">
        <v>12</v>
      </c>
      <c r="I67">
        <v>43065</v>
      </c>
      <c r="J67">
        <v>4</v>
      </c>
      <c r="K67" t="s">
        <v>844</v>
      </c>
      <c r="L67">
        <v>0.3</v>
      </c>
      <c r="M67" t="b">
        <v>1</v>
      </c>
      <c r="N67">
        <v>43058</v>
      </c>
      <c r="O67">
        <v>7</v>
      </c>
      <c r="P67">
        <f t="shared" si="2"/>
        <v>1</v>
      </c>
      <c r="Q67">
        <f>IF(CO_Combined4[[#This Row],[Segment]]="COR",1,0)</f>
        <v>0</v>
      </c>
      <c r="R67">
        <f>IF(CO_Combined4[[#This Row],[Region ]]="E",1,0)</f>
        <v>0</v>
      </c>
      <c r="S67">
        <f>IF(CO_Combined4[[#This Row],[Region ]]="W",1,0)</f>
        <v>0</v>
      </c>
      <c r="T67">
        <f>IF(CO_Combined4[[#This Row],[Region ]]="S",1,0)</f>
        <v>0</v>
      </c>
      <c r="U67">
        <f>IF(CO_Combined4[[#This Row],[Ship Mode]]=1,1,0)</f>
        <v>0</v>
      </c>
      <c r="V67">
        <f>IF(CO_Combined4[[#This Row],[Ship Mode]]=2,1,0)</f>
        <v>0</v>
      </c>
      <c r="W67">
        <f>IF(CO_Combined4[[#This Row],[Ship Mode]]=3,1,0)</f>
        <v>0</v>
      </c>
      <c r="X67">
        <f t="shared" si="3"/>
        <v>0</v>
      </c>
      <c r="Y67">
        <v>3</v>
      </c>
      <c r="Z67">
        <v>1</v>
      </c>
    </row>
    <row r="68" spans="1:26" x14ac:dyDescent="0.2">
      <c r="A68" t="s">
        <v>704</v>
      </c>
      <c r="B68" t="s">
        <v>553</v>
      </c>
      <c r="C68" t="s">
        <v>355</v>
      </c>
      <c r="D68" t="s">
        <v>90</v>
      </c>
      <c r="E68" t="s">
        <v>356</v>
      </c>
      <c r="F68" t="s">
        <v>22</v>
      </c>
      <c r="G68">
        <v>77506</v>
      </c>
      <c r="H68" t="s">
        <v>12</v>
      </c>
      <c r="I68">
        <v>43013</v>
      </c>
      <c r="J68">
        <v>4</v>
      </c>
      <c r="K68" t="s">
        <v>707</v>
      </c>
      <c r="L68">
        <v>0.26666666666666666</v>
      </c>
      <c r="M68" t="b">
        <v>1</v>
      </c>
      <c r="N68">
        <v>43007</v>
      </c>
      <c r="O68">
        <v>6</v>
      </c>
      <c r="P68">
        <f t="shared" si="2"/>
        <v>0</v>
      </c>
      <c r="Q68">
        <f>IF(CO_Combined4[[#This Row],[Segment]]="COR",1,0)</f>
        <v>0</v>
      </c>
      <c r="R68">
        <f>IF(CO_Combined4[[#This Row],[Region ]]="E",1,0)</f>
        <v>0</v>
      </c>
      <c r="S68">
        <f>IF(CO_Combined4[[#This Row],[Region ]]="W",1,0)</f>
        <v>0</v>
      </c>
      <c r="T68">
        <f>IF(CO_Combined4[[#This Row],[Region ]]="S",1,0)</f>
        <v>0</v>
      </c>
      <c r="U68">
        <f>IF(CO_Combined4[[#This Row],[Ship Mode]]=1,1,0)</f>
        <v>0</v>
      </c>
      <c r="V68">
        <f>IF(CO_Combined4[[#This Row],[Ship Mode]]=2,1,0)</f>
        <v>0</v>
      </c>
      <c r="W68">
        <f>IF(CO_Combined4[[#This Row],[Ship Mode]]=3,1,0)</f>
        <v>0</v>
      </c>
      <c r="X68">
        <f t="shared" si="3"/>
        <v>0</v>
      </c>
      <c r="Y68">
        <v>9</v>
      </c>
      <c r="Z68">
        <v>1</v>
      </c>
    </row>
    <row r="69" spans="1:26" x14ac:dyDescent="0.2">
      <c r="A69" t="s">
        <v>881</v>
      </c>
      <c r="B69" t="s">
        <v>441</v>
      </c>
      <c r="C69" t="s">
        <v>189</v>
      </c>
      <c r="D69" t="s">
        <v>9</v>
      </c>
      <c r="E69" t="s">
        <v>190</v>
      </c>
      <c r="F69" t="s">
        <v>191</v>
      </c>
      <c r="G69">
        <v>7055</v>
      </c>
      <c r="H69" t="s">
        <v>27</v>
      </c>
      <c r="I69">
        <v>42517</v>
      </c>
      <c r="J69">
        <v>4</v>
      </c>
      <c r="K69" t="s">
        <v>882</v>
      </c>
      <c r="L69">
        <v>4.9999999999999996E-2</v>
      </c>
      <c r="M69" t="b">
        <v>0</v>
      </c>
      <c r="N69">
        <v>42512</v>
      </c>
      <c r="O69">
        <v>5</v>
      </c>
      <c r="P69">
        <f t="shared" si="2"/>
        <v>1</v>
      </c>
      <c r="Q69">
        <f>IF(CO_Combined4[[#This Row],[Segment]]="COR",1,0)</f>
        <v>0</v>
      </c>
      <c r="R69">
        <f>IF(CO_Combined4[[#This Row],[Region ]]="E",1,0)</f>
        <v>1</v>
      </c>
      <c r="S69">
        <f>IF(CO_Combined4[[#This Row],[Region ]]="W",1,0)</f>
        <v>0</v>
      </c>
      <c r="T69">
        <f>IF(CO_Combined4[[#This Row],[Region ]]="S",1,0)</f>
        <v>0</v>
      </c>
      <c r="U69">
        <f>IF(CO_Combined4[[#This Row],[Ship Mode]]=1,1,0)</f>
        <v>0</v>
      </c>
      <c r="V69">
        <f>IF(CO_Combined4[[#This Row],[Ship Mode]]=2,1,0)</f>
        <v>0</v>
      </c>
      <c r="W69">
        <f>IF(CO_Combined4[[#This Row],[Ship Mode]]=3,1,0)</f>
        <v>0</v>
      </c>
      <c r="X69">
        <f t="shared" si="3"/>
        <v>1</v>
      </c>
      <c r="Y69">
        <v>24</v>
      </c>
      <c r="Z69">
        <v>1</v>
      </c>
    </row>
    <row r="70" spans="1:26" x14ac:dyDescent="0.2">
      <c r="A70" t="s">
        <v>710</v>
      </c>
      <c r="B70" t="s">
        <v>451</v>
      </c>
      <c r="C70" t="s">
        <v>204</v>
      </c>
      <c r="D70" t="s">
        <v>9</v>
      </c>
      <c r="E70" t="s">
        <v>205</v>
      </c>
      <c r="F70" t="s">
        <v>137</v>
      </c>
      <c r="G70">
        <v>45231</v>
      </c>
      <c r="H70" t="s">
        <v>27</v>
      </c>
      <c r="I70">
        <v>42696</v>
      </c>
      <c r="J70">
        <v>2</v>
      </c>
      <c r="K70" t="s">
        <v>711</v>
      </c>
      <c r="L70">
        <v>0.53333333333333333</v>
      </c>
      <c r="M70" t="b">
        <v>0</v>
      </c>
      <c r="N70">
        <v>42694</v>
      </c>
      <c r="O70">
        <v>2</v>
      </c>
      <c r="P70">
        <f t="shared" si="2"/>
        <v>1</v>
      </c>
      <c r="Q70">
        <f>IF(CO_Combined4[[#This Row],[Segment]]="COR",1,0)</f>
        <v>0</v>
      </c>
      <c r="R70">
        <f>IF(CO_Combined4[[#This Row],[Region ]]="E",1,0)</f>
        <v>1</v>
      </c>
      <c r="S70">
        <f>IF(CO_Combined4[[#This Row],[Region ]]="W",1,0)</f>
        <v>0</v>
      </c>
      <c r="T70">
        <f>IF(CO_Combined4[[#This Row],[Region ]]="S",1,0)</f>
        <v>0</v>
      </c>
      <c r="U70">
        <f>IF(CO_Combined4[[#This Row],[Ship Mode]]=1,1,0)</f>
        <v>0</v>
      </c>
      <c r="V70">
        <f>IF(CO_Combined4[[#This Row],[Ship Mode]]=2,1,0)</f>
        <v>1</v>
      </c>
      <c r="W70">
        <f>IF(CO_Combined4[[#This Row],[Ship Mode]]=3,1,0)</f>
        <v>0</v>
      </c>
      <c r="X70">
        <f t="shared" si="3"/>
        <v>1</v>
      </c>
      <c r="Y70">
        <v>8</v>
      </c>
      <c r="Z70">
        <v>1</v>
      </c>
    </row>
    <row r="71" spans="1:26" x14ac:dyDescent="0.2">
      <c r="A71" t="s">
        <v>853</v>
      </c>
      <c r="B71" t="s">
        <v>451</v>
      </c>
      <c r="C71" t="s">
        <v>204</v>
      </c>
      <c r="D71" t="s">
        <v>9</v>
      </c>
      <c r="E71" t="s">
        <v>205</v>
      </c>
      <c r="F71" t="s">
        <v>137</v>
      </c>
      <c r="G71">
        <v>45231</v>
      </c>
      <c r="H71" t="s">
        <v>27</v>
      </c>
      <c r="I71">
        <v>42710</v>
      </c>
      <c r="J71">
        <v>4</v>
      </c>
      <c r="K71" t="s">
        <v>854</v>
      </c>
      <c r="L71">
        <v>0.2</v>
      </c>
      <c r="M71" t="b">
        <v>0</v>
      </c>
      <c r="N71">
        <v>42705</v>
      </c>
      <c r="O71">
        <v>5</v>
      </c>
      <c r="P71">
        <f t="shared" si="2"/>
        <v>1</v>
      </c>
      <c r="Q71">
        <f>IF(CO_Combined4[[#This Row],[Segment]]="COR",1,0)</f>
        <v>0</v>
      </c>
      <c r="R71">
        <f>IF(CO_Combined4[[#This Row],[Region ]]="E",1,0)</f>
        <v>1</v>
      </c>
      <c r="S71">
        <f>IF(CO_Combined4[[#This Row],[Region ]]="W",1,0)</f>
        <v>0</v>
      </c>
      <c r="T71">
        <f>IF(CO_Combined4[[#This Row],[Region ]]="S",1,0)</f>
        <v>0</v>
      </c>
      <c r="U71">
        <f>IF(CO_Combined4[[#This Row],[Ship Mode]]=1,1,0)</f>
        <v>0</v>
      </c>
      <c r="V71">
        <f>IF(CO_Combined4[[#This Row],[Ship Mode]]=2,1,0)</f>
        <v>0</v>
      </c>
      <c r="W71">
        <f>IF(CO_Combined4[[#This Row],[Ship Mode]]=3,1,0)</f>
        <v>0</v>
      </c>
      <c r="X71">
        <f t="shared" si="3"/>
        <v>1</v>
      </c>
      <c r="Y71">
        <v>2</v>
      </c>
      <c r="Z71">
        <v>1</v>
      </c>
    </row>
    <row r="72" spans="1:26" x14ac:dyDescent="0.2">
      <c r="A72" t="s">
        <v>723</v>
      </c>
      <c r="B72" t="s">
        <v>520</v>
      </c>
      <c r="C72" t="s">
        <v>305</v>
      </c>
      <c r="D72" t="s">
        <v>90</v>
      </c>
      <c r="E72" t="s">
        <v>25</v>
      </c>
      <c r="F72" t="s">
        <v>26</v>
      </c>
      <c r="G72">
        <v>10035</v>
      </c>
      <c r="H72" t="s">
        <v>27</v>
      </c>
      <c r="I72">
        <v>41706</v>
      </c>
      <c r="J72">
        <v>4</v>
      </c>
      <c r="K72" t="s">
        <v>724</v>
      </c>
      <c r="L72">
        <v>0.13333333333333333</v>
      </c>
      <c r="M72" t="b">
        <v>0</v>
      </c>
      <c r="N72">
        <v>41701</v>
      </c>
      <c r="O72">
        <v>5</v>
      </c>
      <c r="P72">
        <f t="shared" si="2"/>
        <v>0</v>
      </c>
      <c r="Q72">
        <f>IF(CO_Combined4[[#This Row],[Segment]]="COR",1,0)</f>
        <v>0</v>
      </c>
      <c r="R72">
        <f>IF(CO_Combined4[[#This Row],[Region ]]="E",1,0)</f>
        <v>1</v>
      </c>
      <c r="S72">
        <f>IF(CO_Combined4[[#This Row],[Region ]]="W",1,0)</f>
        <v>0</v>
      </c>
      <c r="T72">
        <f>IF(CO_Combined4[[#This Row],[Region ]]="S",1,0)</f>
        <v>0</v>
      </c>
      <c r="U72">
        <f>IF(CO_Combined4[[#This Row],[Ship Mode]]=1,1,0)</f>
        <v>0</v>
      </c>
      <c r="V72">
        <f>IF(CO_Combined4[[#This Row],[Ship Mode]]=2,1,0)</f>
        <v>0</v>
      </c>
      <c r="W72">
        <f>IF(CO_Combined4[[#This Row],[Ship Mode]]=3,1,0)</f>
        <v>0</v>
      </c>
      <c r="X72">
        <f t="shared" si="3"/>
        <v>1</v>
      </c>
      <c r="Y72">
        <v>9</v>
      </c>
      <c r="Z72">
        <v>1</v>
      </c>
    </row>
    <row r="73" spans="1:26" x14ac:dyDescent="0.2">
      <c r="A73" t="s">
        <v>770</v>
      </c>
      <c r="B73" t="s">
        <v>520</v>
      </c>
      <c r="C73" t="s">
        <v>305</v>
      </c>
      <c r="D73" t="s">
        <v>90</v>
      </c>
      <c r="E73" t="s">
        <v>25</v>
      </c>
      <c r="F73" t="s">
        <v>26</v>
      </c>
      <c r="G73">
        <v>10035</v>
      </c>
      <c r="H73" t="s">
        <v>27</v>
      </c>
      <c r="I73">
        <v>42517</v>
      </c>
      <c r="J73">
        <v>4</v>
      </c>
      <c r="K73" t="s">
        <v>771</v>
      </c>
      <c r="L73">
        <v>0</v>
      </c>
      <c r="M73" t="b">
        <v>0</v>
      </c>
      <c r="N73">
        <v>42513</v>
      </c>
      <c r="O73">
        <v>4</v>
      </c>
      <c r="P73">
        <f t="shared" si="2"/>
        <v>0</v>
      </c>
      <c r="Q73">
        <f>IF(CO_Combined4[[#This Row],[Segment]]="COR",1,0)</f>
        <v>0</v>
      </c>
      <c r="R73">
        <f>IF(CO_Combined4[[#This Row],[Region ]]="E",1,0)</f>
        <v>1</v>
      </c>
      <c r="S73">
        <f>IF(CO_Combined4[[#This Row],[Region ]]="W",1,0)</f>
        <v>0</v>
      </c>
      <c r="T73">
        <f>IF(CO_Combined4[[#This Row],[Region ]]="S",1,0)</f>
        <v>0</v>
      </c>
      <c r="U73">
        <f>IF(CO_Combined4[[#This Row],[Ship Mode]]=1,1,0)</f>
        <v>0</v>
      </c>
      <c r="V73">
        <f>IF(CO_Combined4[[#This Row],[Ship Mode]]=2,1,0)</f>
        <v>0</v>
      </c>
      <c r="W73">
        <f>IF(CO_Combined4[[#This Row],[Ship Mode]]=3,1,0)</f>
        <v>0</v>
      </c>
      <c r="X73">
        <f t="shared" si="3"/>
        <v>1</v>
      </c>
      <c r="Y73">
        <v>1</v>
      </c>
      <c r="Z73">
        <v>0</v>
      </c>
    </row>
    <row r="74" spans="1:26" x14ac:dyDescent="0.2">
      <c r="A74" t="s">
        <v>731</v>
      </c>
      <c r="B74" t="s">
        <v>556</v>
      </c>
      <c r="C74" t="s">
        <v>360</v>
      </c>
      <c r="D74" t="s">
        <v>90</v>
      </c>
      <c r="E74" t="s">
        <v>38</v>
      </c>
      <c r="F74" t="s">
        <v>17</v>
      </c>
      <c r="G74">
        <v>90004</v>
      </c>
      <c r="H74" t="s">
        <v>18</v>
      </c>
      <c r="I74">
        <v>42003</v>
      </c>
      <c r="J74">
        <v>3</v>
      </c>
      <c r="K74" t="s">
        <v>732</v>
      </c>
      <c r="L74">
        <v>0</v>
      </c>
      <c r="M74" t="b">
        <v>0</v>
      </c>
      <c r="N74">
        <v>42000</v>
      </c>
      <c r="O74">
        <v>3</v>
      </c>
      <c r="P74">
        <f t="shared" si="2"/>
        <v>0</v>
      </c>
      <c r="Q74">
        <f>IF(CO_Combined4[[#This Row],[Segment]]="COR",1,0)</f>
        <v>0</v>
      </c>
      <c r="R74">
        <f>IF(CO_Combined4[[#This Row],[Region ]]="E",1,0)</f>
        <v>0</v>
      </c>
      <c r="S74">
        <f>IF(CO_Combined4[[#This Row],[Region ]]="W",1,0)</f>
        <v>1</v>
      </c>
      <c r="T74">
        <f>IF(CO_Combined4[[#This Row],[Region ]]="S",1,0)</f>
        <v>0</v>
      </c>
      <c r="U74">
        <f>IF(CO_Combined4[[#This Row],[Ship Mode]]=1,1,0)</f>
        <v>0</v>
      </c>
      <c r="V74">
        <f>IF(CO_Combined4[[#This Row],[Ship Mode]]=2,1,0)</f>
        <v>0</v>
      </c>
      <c r="W74">
        <f>IF(CO_Combined4[[#This Row],[Ship Mode]]=3,1,0)</f>
        <v>1</v>
      </c>
      <c r="X74">
        <f t="shared" si="3"/>
        <v>1</v>
      </c>
      <c r="Y74">
        <v>4</v>
      </c>
      <c r="Z74">
        <v>0</v>
      </c>
    </row>
    <row r="75" spans="1:26" x14ac:dyDescent="0.2">
      <c r="A75" t="s">
        <v>756</v>
      </c>
      <c r="B75" t="s">
        <v>556</v>
      </c>
      <c r="C75" t="s">
        <v>360</v>
      </c>
      <c r="D75" t="s">
        <v>90</v>
      </c>
      <c r="E75" t="s">
        <v>38</v>
      </c>
      <c r="F75" t="s">
        <v>17</v>
      </c>
      <c r="G75">
        <v>90004</v>
      </c>
      <c r="H75" t="s">
        <v>18</v>
      </c>
      <c r="I75">
        <v>42705</v>
      </c>
      <c r="J75">
        <v>4</v>
      </c>
      <c r="K75" t="s">
        <v>757</v>
      </c>
      <c r="L75">
        <v>0.1</v>
      </c>
      <c r="M75" t="b">
        <v>0</v>
      </c>
      <c r="N75">
        <v>42698</v>
      </c>
      <c r="O75">
        <v>7</v>
      </c>
      <c r="P75">
        <f t="shared" si="2"/>
        <v>0</v>
      </c>
      <c r="Q75">
        <f>IF(CO_Combined4[[#This Row],[Segment]]="COR",1,0)</f>
        <v>0</v>
      </c>
      <c r="R75">
        <f>IF(CO_Combined4[[#This Row],[Region ]]="E",1,0)</f>
        <v>0</v>
      </c>
      <c r="S75">
        <f>IF(CO_Combined4[[#This Row],[Region ]]="W",1,0)</f>
        <v>1</v>
      </c>
      <c r="T75">
        <f>IF(CO_Combined4[[#This Row],[Region ]]="S",1,0)</f>
        <v>0</v>
      </c>
      <c r="U75">
        <f>IF(CO_Combined4[[#This Row],[Ship Mode]]=1,1,0)</f>
        <v>0</v>
      </c>
      <c r="V75">
        <f>IF(CO_Combined4[[#This Row],[Ship Mode]]=2,1,0)</f>
        <v>0</v>
      </c>
      <c r="W75">
        <f>IF(CO_Combined4[[#This Row],[Ship Mode]]=3,1,0)</f>
        <v>0</v>
      </c>
      <c r="X75">
        <f t="shared" si="3"/>
        <v>1</v>
      </c>
      <c r="Y75">
        <v>4</v>
      </c>
      <c r="Z75">
        <v>1</v>
      </c>
    </row>
    <row r="76" spans="1:26" x14ac:dyDescent="0.2">
      <c r="A76" t="s">
        <v>787</v>
      </c>
      <c r="B76" t="s">
        <v>458</v>
      </c>
      <c r="C76" t="s">
        <v>214</v>
      </c>
      <c r="D76" t="s">
        <v>9</v>
      </c>
      <c r="E76" t="s">
        <v>156</v>
      </c>
      <c r="F76" t="s">
        <v>63</v>
      </c>
      <c r="G76">
        <v>28540</v>
      </c>
      <c r="H76" t="s">
        <v>47</v>
      </c>
      <c r="I76">
        <v>42948</v>
      </c>
      <c r="J76">
        <v>3</v>
      </c>
      <c r="K76" t="s">
        <v>789</v>
      </c>
      <c r="L76">
        <v>0.2</v>
      </c>
      <c r="M76" t="b">
        <v>0</v>
      </c>
      <c r="N76">
        <v>42945</v>
      </c>
      <c r="O76">
        <v>3</v>
      </c>
      <c r="P76">
        <f t="shared" si="2"/>
        <v>1</v>
      </c>
      <c r="Q76">
        <f>IF(CO_Combined4[[#This Row],[Segment]]="COR",1,0)</f>
        <v>0</v>
      </c>
      <c r="R76">
        <f>IF(CO_Combined4[[#This Row],[Region ]]="E",1,0)</f>
        <v>0</v>
      </c>
      <c r="S76">
        <f>IF(CO_Combined4[[#This Row],[Region ]]="W",1,0)</f>
        <v>0</v>
      </c>
      <c r="T76">
        <f>IF(CO_Combined4[[#This Row],[Region ]]="S",1,0)</f>
        <v>1</v>
      </c>
      <c r="U76">
        <f>IF(CO_Combined4[[#This Row],[Ship Mode]]=1,1,0)</f>
        <v>0</v>
      </c>
      <c r="V76">
        <f>IF(CO_Combined4[[#This Row],[Ship Mode]]=2,1,0)</f>
        <v>0</v>
      </c>
      <c r="W76">
        <f>IF(CO_Combined4[[#This Row],[Ship Mode]]=3,1,0)</f>
        <v>1</v>
      </c>
      <c r="X76">
        <f t="shared" si="3"/>
        <v>1</v>
      </c>
      <c r="Y76">
        <v>10</v>
      </c>
      <c r="Z76">
        <v>1</v>
      </c>
    </row>
    <row r="77" spans="1:26" x14ac:dyDescent="0.2">
      <c r="A77" t="s">
        <v>741</v>
      </c>
      <c r="B77" t="s">
        <v>537</v>
      </c>
      <c r="C77" t="s">
        <v>330</v>
      </c>
      <c r="D77" t="s">
        <v>150</v>
      </c>
      <c r="E77" t="s">
        <v>156</v>
      </c>
      <c r="F77" t="s">
        <v>63</v>
      </c>
      <c r="G77">
        <v>28540</v>
      </c>
      <c r="H77" t="s">
        <v>47</v>
      </c>
      <c r="I77">
        <v>42739</v>
      </c>
      <c r="J77">
        <v>2</v>
      </c>
      <c r="K77" t="s">
        <v>742</v>
      </c>
      <c r="L77">
        <v>0.6333333333333333</v>
      </c>
      <c r="M77" t="b">
        <v>0</v>
      </c>
      <c r="N77">
        <v>42737</v>
      </c>
      <c r="O77">
        <v>2</v>
      </c>
      <c r="P77">
        <f t="shared" si="2"/>
        <v>0</v>
      </c>
      <c r="Q77">
        <f>IF(CO_Combined4[[#This Row],[Segment]]="COR",1,0)</f>
        <v>1</v>
      </c>
      <c r="R77">
        <f>IF(CO_Combined4[[#This Row],[Region ]]="E",1,0)</f>
        <v>0</v>
      </c>
      <c r="S77">
        <f>IF(CO_Combined4[[#This Row],[Region ]]="W",1,0)</f>
        <v>0</v>
      </c>
      <c r="T77">
        <f>IF(CO_Combined4[[#This Row],[Region ]]="S",1,0)</f>
        <v>1</v>
      </c>
      <c r="U77">
        <f>IF(CO_Combined4[[#This Row],[Ship Mode]]=1,1,0)</f>
        <v>0</v>
      </c>
      <c r="V77">
        <f>IF(CO_Combined4[[#This Row],[Ship Mode]]=2,1,0)</f>
        <v>1</v>
      </c>
      <c r="W77">
        <f>IF(CO_Combined4[[#This Row],[Ship Mode]]=3,1,0)</f>
        <v>0</v>
      </c>
      <c r="X77">
        <f t="shared" si="3"/>
        <v>1</v>
      </c>
      <c r="Y77">
        <v>13</v>
      </c>
      <c r="Z77">
        <v>1</v>
      </c>
    </row>
    <row r="78" spans="1:26" x14ac:dyDescent="0.2">
      <c r="A78" t="s">
        <v>744</v>
      </c>
      <c r="B78" t="s">
        <v>537</v>
      </c>
      <c r="C78" t="s">
        <v>330</v>
      </c>
      <c r="D78" t="s">
        <v>150</v>
      </c>
      <c r="E78" t="s">
        <v>156</v>
      </c>
      <c r="F78" t="s">
        <v>63</v>
      </c>
      <c r="G78">
        <v>28540</v>
      </c>
      <c r="H78" t="s">
        <v>47</v>
      </c>
      <c r="I78">
        <v>42460</v>
      </c>
      <c r="J78">
        <v>2</v>
      </c>
      <c r="K78" t="s">
        <v>745</v>
      </c>
      <c r="L78">
        <v>0</v>
      </c>
      <c r="M78" t="b">
        <v>0</v>
      </c>
      <c r="N78">
        <v>42457</v>
      </c>
      <c r="O78">
        <v>3</v>
      </c>
      <c r="P78">
        <f t="shared" si="2"/>
        <v>0</v>
      </c>
      <c r="Q78">
        <f>IF(CO_Combined4[[#This Row],[Segment]]="COR",1,0)</f>
        <v>1</v>
      </c>
      <c r="R78">
        <f>IF(CO_Combined4[[#This Row],[Region ]]="E",1,0)</f>
        <v>0</v>
      </c>
      <c r="S78">
        <f>IF(CO_Combined4[[#This Row],[Region ]]="W",1,0)</f>
        <v>0</v>
      </c>
      <c r="T78">
        <f>IF(CO_Combined4[[#This Row],[Region ]]="S",1,0)</f>
        <v>1</v>
      </c>
      <c r="U78">
        <f>IF(CO_Combined4[[#This Row],[Ship Mode]]=1,1,0)</f>
        <v>0</v>
      </c>
      <c r="V78">
        <f>IF(CO_Combined4[[#This Row],[Ship Mode]]=2,1,0)</f>
        <v>1</v>
      </c>
      <c r="W78">
        <f>IF(CO_Combined4[[#This Row],[Ship Mode]]=3,1,0)</f>
        <v>0</v>
      </c>
      <c r="X78">
        <f t="shared" si="3"/>
        <v>1</v>
      </c>
      <c r="Y78">
        <v>2</v>
      </c>
      <c r="Z78">
        <v>0</v>
      </c>
    </row>
    <row r="79" spans="1:26" x14ac:dyDescent="0.2">
      <c r="A79" t="s">
        <v>797</v>
      </c>
      <c r="B79" t="s">
        <v>537</v>
      </c>
      <c r="C79" t="s">
        <v>330</v>
      </c>
      <c r="D79" t="s">
        <v>150</v>
      </c>
      <c r="E79" t="s">
        <v>156</v>
      </c>
      <c r="F79" t="s">
        <v>63</v>
      </c>
      <c r="G79">
        <v>28540</v>
      </c>
      <c r="H79" t="s">
        <v>47</v>
      </c>
      <c r="I79">
        <v>42954</v>
      </c>
      <c r="J79">
        <v>4</v>
      </c>
      <c r="K79" t="s">
        <v>798</v>
      </c>
      <c r="L79">
        <v>0.30000000000000004</v>
      </c>
      <c r="M79" t="b">
        <v>0</v>
      </c>
      <c r="N79">
        <v>42948</v>
      </c>
      <c r="O79">
        <v>6</v>
      </c>
      <c r="P79">
        <f t="shared" si="2"/>
        <v>0</v>
      </c>
      <c r="Q79">
        <f>IF(CO_Combined4[[#This Row],[Segment]]="COR",1,0)</f>
        <v>1</v>
      </c>
      <c r="R79">
        <f>IF(CO_Combined4[[#This Row],[Region ]]="E",1,0)</f>
        <v>0</v>
      </c>
      <c r="S79">
        <f>IF(CO_Combined4[[#This Row],[Region ]]="W",1,0)</f>
        <v>0</v>
      </c>
      <c r="T79">
        <f>IF(CO_Combined4[[#This Row],[Region ]]="S",1,0)</f>
        <v>1</v>
      </c>
      <c r="U79">
        <f>IF(CO_Combined4[[#This Row],[Ship Mode]]=1,1,0)</f>
        <v>0</v>
      </c>
      <c r="V79">
        <f>IF(CO_Combined4[[#This Row],[Ship Mode]]=2,1,0)</f>
        <v>0</v>
      </c>
      <c r="W79">
        <f>IF(CO_Combined4[[#This Row],[Ship Mode]]=3,1,0)</f>
        <v>0</v>
      </c>
      <c r="X79">
        <f t="shared" si="3"/>
        <v>1</v>
      </c>
      <c r="Y79">
        <v>10</v>
      </c>
      <c r="Z79">
        <v>1</v>
      </c>
    </row>
    <row r="80" spans="1:26" x14ac:dyDescent="0.2">
      <c r="A80" t="s">
        <v>784</v>
      </c>
      <c r="B80" t="s">
        <v>466</v>
      </c>
      <c r="C80" t="s">
        <v>225</v>
      </c>
      <c r="D80" t="s">
        <v>9</v>
      </c>
      <c r="E80" t="s">
        <v>38</v>
      </c>
      <c r="F80" t="s">
        <v>17</v>
      </c>
      <c r="G80">
        <v>90008</v>
      </c>
      <c r="H80" t="s">
        <v>18</v>
      </c>
      <c r="I80">
        <v>42369</v>
      </c>
      <c r="J80">
        <v>4</v>
      </c>
      <c r="K80" t="s">
        <v>786</v>
      </c>
      <c r="L80">
        <v>0</v>
      </c>
      <c r="M80" t="b">
        <v>0</v>
      </c>
      <c r="N80">
        <v>42365</v>
      </c>
      <c r="O80">
        <v>4</v>
      </c>
      <c r="P80">
        <f t="shared" si="2"/>
        <v>1</v>
      </c>
      <c r="Q80">
        <f>IF(CO_Combined4[[#This Row],[Segment]]="COR",1,0)</f>
        <v>0</v>
      </c>
      <c r="R80">
        <f>IF(CO_Combined4[[#This Row],[Region ]]="E",1,0)</f>
        <v>0</v>
      </c>
      <c r="S80">
        <f>IF(CO_Combined4[[#This Row],[Region ]]="W",1,0)</f>
        <v>1</v>
      </c>
      <c r="T80">
        <f>IF(CO_Combined4[[#This Row],[Region ]]="S",1,0)</f>
        <v>0</v>
      </c>
      <c r="U80">
        <f>IF(CO_Combined4[[#This Row],[Ship Mode]]=1,1,0)</f>
        <v>0</v>
      </c>
      <c r="V80">
        <f>IF(CO_Combined4[[#This Row],[Ship Mode]]=2,1,0)</f>
        <v>0</v>
      </c>
      <c r="W80">
        <f>IF(CO_Combined4[[#This Row],[Ship Mode]]=3,1,0)</f>
        <v>0</v>
      </c>
      <c r="X80">
        <f t="shared" si="3"/>
        <v>1</v>
      </c>
      <c r="Y80">
        <v>9</v>
      </c>
      <c r="Z80">
        <v>0</v>
      </c>
    </row>
    <row r="81" spans="1:26" x14ac:dyDescent="0.2">
      <c r="A81" t="s">
        <v>791</v>
      </c>
      <c r="B81" t="s">
        <v>466</v>
      </c>
      <c r="C81" t="s">
        <v>225</v>
      </c>
      <c r="D81" t="s">
        <v>9</v>
      </c>
      <c r="E81" t="s">
        <v>38</v>
      </c>
      <c r="F81" t="s">
        <v>17</v>
      </c>
      <c r="G81">
        <v>90008</v>
      </c>
      <c r="H81" t="s">
        <v>18</v>
      </c>
      <c r="I81">
        <v>42256</v>
      </c>
      <c r="J81">
        <v>4</v>
      </c>
      <c r="K81" t="s">
        <v>793</v>
      </c>
      <c r="L81">
        <v>0.16666666666666666</v>
      </c>
      <c r="M81" t="b">
        <v>0</v>
      </c>
      <c r="N81">
        <v>42252</v>
      </c>
      <c r="O81">
        <v>4</v>
      </c>
      <c r="P81">
        <f t="shared" si="2"/>
        <v>1</v>
      </c>
      <c r="Q81">
        <f>IF(CO_Combined4[[#This Row],[Segment]]="COR",1,0)</f>
        <v>0</v>
      </c>
      <c r="R81">
        <f>IF(CO_Combined4[[#This Row],[Region ]]="E",1,0)</f>
        <v>0</v>
      </c>
      <c r="S81">
        <f>IF(CO_Combined4[[#This Row],[Region ]]="W",1,0)</f>
        <v>1</v>
      </c>
      <c r="T81">
        <f>IF(CO_Combined4[[#This Row],[Region ]]="S",1,0)</f>
        <v>0</v>
      </c>
      <c r="U81">
        <f>IF(CO_Combined4[[#This Row],[Ship Mode]]=1,1,0)</f>
        <v>0</v>
      </c>
      <c r="V81">
        <f>IF(CO_Combined4[[#This Row],[Ship Mode]]=2,1,0)</f>
        <v>0</v>
      </c>
      <c r="W81">
        <f>IF(CO_Combined4[[#This Row],[Ship Mode]]=3,1,0)</f>
        <v>0</v>
      </c>
      <c r="X81">
        <f t="shared" si="3"/>
        <v>1</v>
      </c>
      <c r="Y81">
        <v>13</v>
      </c>
      <c r="Z81">
        <v>1</v>
      </c>
    </row>
    <row r="82" spans="1:26" x14ac:dyDescent="0.2">
      <c r="A82" t="s">
        <v>759</v>
      </c>
      <c r="B82" t="s">
        <v>533</v>
      </c>
      <c r="C82" t="s">
        <v>324</v>
      </c>
      <c r="D82" t="s">
        <v>9</v>
      </c>
      <c r="E82" t="s">
        <v>145</v>
      </c>
      <c r="F82" t="s">
        <v>119</v>
      </c>
      <c r="G82">
        <v>49201</v>
      </c>
      <c r="H82" t="s">
        <v>12</v>
      </c>
      <c r="I82">
        <v>43098</v>
      </c>
      <c r="J82">
        <v>3</v>
      </c>
      <c r="K82" t="s">
        <v>760</v>
      </c>
      <c r="L82">
        <v>0.2</v>
      </c>
      <c r="M82" t="b">
        <v>0</v>
      </c>
      <c r="N82">
        <v>43093</v>
      </c>
      <c r="O82">
        <v>5</v>
      </c>
      <c r="P82">
        <f t="shared" si="2"/>
        <v>1</v>
      </c>
      <c r="Q82">
        <f>IF(CO_Combined4[[#This Row],[Segment]]="COR",1,0)</f>
        <v>0</v>
      </c>
      <c r="R82">
        <f>IF(CO_Combined4[[#This Row],[Region ]]="E",1,0)</f>
        <v>0</v>
      </c>
      <c r="S82">
        <f>IF(CO_Combined4[[#This Row],[Region ]]="W",1,0)</f>
        <v>0</v>
      </c>
      <c r="T82">
        <f>IF(CO_Combined4[[#This Row],[Region ]]="S",1,0)</f>
        <v>0</v>
      </c>
      <c r="U82">
        <f>IF(CO_Combined4[[#This Row],[Ship Mode]]=1,1,0)</f>
        <v>0</v>
      </c>
      <c r="V82">
        <f>IF(CO_Combined4[[#This Row],[Ship Mode]]=2,1,0)</f>
        <v>0</v>
      </c>
      <c r="W82">
        <f>IF(CO_Combined4[[#This Row],[Ship Mode]]=3,1,0)</f>
        <v>1</v>
      </c>
      <c r="X82">
        <f t="shared" si="3"/>
        <v>1</v>
      </c>
      <c r="Y82">
        <v>3</v>
      </c>
      <c r="Z82">
        <v>1</v>
      </c>
    </row>
    <row r="83" spans="1:26" x14ac:dyDescent="0.2">
      <c r="A83" t="s">
        <v>845</v>
      </c>
      <c r="B83" t="s">
        <v>533</v>
      </c>
      <c r="C83" t="s">
        <v>324</v>
      </c>
      <c r="D83" t="s">
        <v>9</v>
      </c>
      <c r="E83" t="s">
        <v>145</v>
      </c>
      <c r="F83" t="s">
        <v>119</v>
      </c>
      <c r="G83">
        <v>49201</v>
      </c>
      <c r="H83" t="s">
        <v>12</v>
      </c>
      <c r="I83">
        <v>42334</v>
      </c>
      <c r="J83">
        <v>3</v>
      </c>
      <c r="K83" t="s">
        <v>846</v>
      </c>
      <c r="L83">
        <v>0</v>
      </c>
      <c r="M83" t="b">
        <v>0</v>
      </c>
      <c r="N83">
        <v>42330</v>
      </c>
      <c r="O83">
        <v>4</v>
      </c>
      <c r="P83">
        <f t="shared" si="2"/>
        <v>1</v>
      </c>
      <c r="Q83">
        <f>IF(CO_Combined4[[#This Row],[Segment]]="COR",1,0)</f>
        <v>0</v>
      </c>
      <c r="R83">
        <f>IF(CO_Combined4[[#This Row],[Region ]]="E",1,0)</f>
        <v>0</v>
      </c>
      <c r="S83">
        <f>IF(CO_Combined4[[#This Row],[Region ]]="W",1,0)</f>
        <v>0</v>
      </c>
      <c r="T83">
        <f>IF(CO_Combined4[[#This Row],[Region ]]="S",1,0)</f>
        <v>0</v>
      </c>
      <c r="U83">
        <f>IF(CO_Combined4[[#This Row],[Ship Mode]]=1,1,0)</f>
        <v>0</v>
      </c>
      <c r="V83">
        <f>IF(CO_Combined4[[#This Row],[Ship Mode]]=2,1,0)</f>
        <v>0</v>
      </c>
      <c r="W83">
        <f>IF(CO_Combined4[[#This Row],[Ship Mode]]=3,1,0)</f>
        <v>1</v>
      </c>
      <c r="X83">
        <f t="shared" si="3"/>
        <v>1</v>
      </c>
      <c r="Y83">
        <v>3</v>
      </c>
      <c r="Z83">
        <v>0</v>
      </c>
    </row>
    <row r="84" spans="1:26" x14ac:dyDescent="0.2">
      <c r="A84" t="s">
        <v>803</v>
      </c>
      <c r="B84" t="s">
        <v>475</v>
      </c>
      <c r="C84" t="s">
        <v>240</v>
      </c>
      <c r="D84" t="s">
        <v>150</v>
      </c>
      <c r="E84" t="s">
        <v>108</v>
      </c>
      <c r="F84" t="s">
        <v>230</v>
      </c>
      <c r="G84">
        <v>89015</v>
      </c>
      <c r="H84" t="s">
        <v>18</v>
      </c>
      <c r="I84">
        <v>42843</v>
      </c>
      <c r="J84">
        <v>2</v>
      </c>
      <c r="K84" t="s">
        <v>804</v>
      </c>
      <c r="L84">
        <v>0</v>
      </c>
      <c r="M84" t="b">
        <v>0</v>
      </c>
      <c r="N84">
        <v>42840</v>
      </c>
      <c r="O84">
        <v>3</v>
      </c>
      <c r="P84">
        <f t="shared" si="2"/>
        <v>0</v>
      </c>
      <c r="Q84">
        <f>IF(CO_Combined4[[#This Row],[Segment]]="COR",1,0)</f>
        <v>1</v>
      </c>
      <c r="R84">
        <f>IF(CO_Combined4[[#This Row],[Region ]]="E",1,0)</f>
        <v>0</v>
      </c>
      <c r="S84">
        <f>IF(CO_Combined4[[#This Row],[Region ]]="W",1,0)</f>
        <v>1</v>
      </c>
      <c r="T84">
        <f>IF(CO_Combined4[[#This Row],[Region ]]="S",1,0)</f>
        <v>0</v>
      </c>
      <c r="U84">
        <f>IF(CO_Combined4[[#This Row],[Ship Mode]]=1,1,0)</f>
        <v>0</v>
      </c>
      <c r="V84">
        <f>IF(CO_Combined4[[#This Row],[Ship Mode]]=2,1,0)</f>
        <v>1</v>
      </c>
      <c r="W84">
        <f>IF(CO_Combined4[[#This Row],[Ship Mode]]=3,1,0)</f>
        <v>0</v>
      </c>
      <c r="X84">
        <f t="shared" si="3"/>
        <v>1</v>
      </c>
      <c r="Y84">
        <v>5</v>
      </c>
      <c r="Z84">
        <v>0</v>
      </c>
    </row>
    <row r="85" spans="1:26" x14ac:dyDescent="0.2">
      <c r="A85" t="s">
        <v>761</v>
      </c>
      <c r="B85" t="s">
        <v>499</v>
      </c>
      <c r="C85" t="s">
        <v>273</v>
      </c>
      <c r="D85" t="s">
        <v>9</v>
      </c>
      <c r="E85" t="s">
        <v>97</v>
      </c>
      <c r="F85" t="s">
        <v>67</v>
      </c>
      <c r="G85">
        <v>19120</v>
      </c>
      <c r="H85" t="s">
        <v>27</v>
      </c>
      <c r="I85">
        <v>43086</v>
      </c>
      <c r="J85">
        <v>4</v>
      </c>
      <c r="K85" t="s">
        <v>762</v>
      </c>
      <c r="L85">
        <v>0.3</v>
      </c>
      <c r="M85" t="b">
        <v>0</v>
      </c>
      <c r="N85">
        <v>43080</v>
      </c>
      <c r="O85">
        <v>6</v>
      </c>
      <c r="P85">
        <f t="shared" si="2"/>
        <v>1</v>
      </c>
      <c r="Q85">
        <f>IF(CO_Combined4[[#This Row],[Segment]]="COR",1,0)</f>
        <v>0</v>
      </c>
      <c r="R85">
        <f>IF(CO_Combined4[[#This Row],[Region ]]="E",1,0)</f>
        <v>1</v>
      </c>
      <c r="S85">
        <f>IF(CO_Combined4[[#This Row],[Region ]]="W",1,0)</f>
        <v>0</v>
      </c>
      <c r="T85">
        <f>IF(CO_Combined4[[#This Row],[Region ]]="S",1,0)</f>
        <v>0</v>
      </c>
      <c r="U85">
        <f>IF(CO_Combined4[[#This Row],[Ship Mode]]=1,1,0)</f>
        <v>0</v>
      </c>
      <c r="V85">
        <f>IF(CO_Combined4[[#This Row],[Ship Mode]]=2,1,0)</f>
        <v>0</v>
      </c>
      <c r="W85">
        <f>IF(CO_Combined4[[#This Row],[Ship Mode]]=3,1,0)</f>
        <v>0</v>
      </c>
      <c r="X85">
        <f t="shared" si="3"/>
        <v>1</v>
      </c>
      <c r="Y85">
        <v>1</v>
      </c>
      <c r="Z85">
        <v>1</v>
      </c>
    </row>
    <row r="86" spans="1:26" x14ac:dyDescent="0.2">
      <c r="A86" t="s">
        <v>765</v>
      </c>
      <c r="B86" t="s">
        <v>561</v>
      </c>
      <c r="C86" t="s">
        <v>368</v>
      </c>
      <c r="D86" t="s">
        <v>9</v>
      </c>
      <c r="E86" t="s">
        <v>369</v>
      </c>
      <c r="F86" t="s">
        <v>17</v>
      </c>
      <c r="G86">
        <v>93309</v>
      </c>
      <c r="H86" t="s">
        <v>18</v>
      </c>
      <c r="I86">
        <v>42338</v>
      </c>
      <c r="J86">
        <v>4</v>
      </c>
      <c r="K86" t="s">
        <v>766</v>
      </c>
      <c r="L86">
        <v>0.5</v>
      </c>
      <c r="M86" t="b">
        <v>1</v>
      </c>
      <c r="N86">
        <v>42337</v>
      </c>
      <c r="O86">
        <v>1</v>
      </c>
      <c r="P86">
        <f t="shared" si="2"/>
        <v>1</v>
      </c>
      <c r="Q86">
        <f>IF(CO_Combined4[[#This Row],[Segment]]="COR",1,0)</f>
        <v>0</v>
      </c>
      <c r="R86">
        <f>IF(CO_Combined4[[#This Row],[Region ]]="E",1,0)</f>
        <v>0</v>
      </c>
      <c r="S86">
        <f>IF(CO_Combined4[[#This Row],[Region ]]="W",1,0)</f>
        <v>1</v>
      </c>
      <c r="T86">
        <f>IF(CO_Combined4[[#This Row],[Region ]]="S",1,0)</f>
        <v>0</v>
      </c>
      <c r="U86">
        <f>IF(CO_Combined4[[#This Row],[Ship Mode]]=1,1,0)</f>
        <v>0</v>
      </c>
      <c r="V86">
        <f>IF(CO_Combined4[[#This Row],[Ship Mode]]=2,1,0)</f>
        <v>0</v>
      </c>
      <c r="W86">
        <f>IF(CO_Combined4[[#This Row],[Ship Mode]]=3,1,0)</f>
        <v>0</v>
      </c>
      <c r="X86">
        <f t="shared" si="3"/>
        <v>0</v>
      </c>
      <c r="Y86">
        <v>7</v>
      </c>
      <c r="Z86">
        <v>1</v>
      </c>
    </row>
    <row r="87" spans="1:26" x14ac:dyDescent="0.2">
      <c r="A87" t="s">
        <v>780</v>
      </c>
      <c r="B87" t="s">
        <v>561</v>
      </c>
      <c r="C87" t="s">
        <v>368</v>
      </c>
      <c r="D87" t="s">
        <v>9</v>
      </c>
      <c r="E87" t="s">
        <v>369</v>
      </c>
      <c r="F87" t="s">
        <v>17</v>
      </c>
      <c r="G87">
        <v>93309</v>
      </c>
      <c r="H87" t="s">
        <v>18</v>
      </c>
      <c r="I87">
        <v>43081</v>
      </c>
      <c r="J87">
        <v>4</v>
      </c>
      <c r="K87" t="s">
        <v>781</v>
      </c>
      <c r="L87">
        <v>0.2</v>
      </c>
      <c r="M87" t="b">
        <v>1</v>
      </c>
      <c r="N87">
        <v>43079</v>
      </c>
      <c r="O87">
        <v>2</v>
      </c>
      <c r="P87">
        <f t="shared" si="2"/>
        <v>1</v>
      </c>
      <c r="Q87">
        <f>IF(CO_Combined4[[#This Row],[Segment]]="COR",1,0)</f>
        <v>0</v>
      </c>
      <c r="R87">
        <f>IF(CO_Combined4[[#This Row],[Region ]]="E",1,0)</f>
        <v>0</v>
      </c>
      <c r="S87">
        <f>IF(CO_Combined4[[#This Row],[Region ]]="W",1,0)</f>
        <v>1</v>
      </c>
      <c r="T87">
        <f>IF(CO_Combined4[[#This Row],[Region ]]="S",1,0)</f>
        <v>0</v>
      </c>
      <c r="U87">
        <f>IF(CO_Combined4[[#This Row],[Ship Mode]]=1,1,0)</f>
        <v>0</v>
      </c>
      <c r="V87">
        <f>IF(CO_Combined4[[#This Row],[Ship Mode]]=2,1,0)</f>
        <v>0</v>
      </c>
      <c r="W87">
        <f>IF(CO_Combined4[[#This Row],[Ship Mode]]=3,1,0)</f>
        <v>0</v>
      </c>
      <c r="X87">
        <f t="shared" si="3"/>
        <v>0</v>
      </c>
      <c r="Y87">
        <v>4</v>
      </c>
      <c r="Z87">
        <v>1</v>
      </c>
    </row>
    <row r="88" spans="1:26" x14ac:dyDescent="0.2">
      <c r="A88" t="s">
        <v>839</v>
      </c>
      <c r="B88" t="s">
        <v>561</v>
      </c>
      <c r="C88" t="s">
        <v>368</v>
      </c>
      <c r="D88" t="s">
        <v>9</v>
      </c>
      <c r="E88" t="s">
        <v>369</v>
      </c>
      <c r="F88" t="s">
        <v>17</v>
      </c>
      <c r="G88">
        <v>93309</v>
      </c>
      <c r="H88" t="s">
        <v>18</v>
      </c>
      <c r="I88">
        <v>42109</v>
      </c>
      <c r="J88">
        <v>4</v>
      </c>
      <c r="K88" t="s">
        <v>840</v>
      </c>
      <c r="L88">
        <v>0</v>
      </c>
      <c r="M88" t="b">
        <v>0</v>
      </c>
      <c r="N88">
        <v>42107</v>
      </c>
      <c r="O88">
        <v>2</v>
      </c>
      <c r="P88">
        <f t="shared" si="2"/>
        <v>1</v>
      </c>
      <c r="Q88">
        <f>IF(CO_Combined4[[#This Row],[Segment]]="COR",1,0)</f>
        <v>0</v>
      </c>
      <c r="R88">
        <f>IF(CO_Combined4[[#This Row],[Region ]]="E",1,0)</f>
        <v>0</v>
      </c>
      <c r="S88">
        <f>IF(CO_Combined4[[#This Row],[Region ]]="W",1,0)</f>
        <v>1</v>
      </c>
      <c r="T88">
        <f>IF(CO_Combined4[[#This Row],[Region ]]="S",1,0)</f>
        <v>0</v>
      </c>
      <c r="U88">
        <f>IF(CO_Combined4[[#This Row],[Ship Mode]]=1,1,0)</f>
        <v>0</v>
      </c>
      <c r="V88">
        <f>IF(CO_Combined4[[#This Row],[Ship Mode]]=2,1,0)</f>
        <v>0</v>
      </c>
      <c r="W88">
        <f>IF(CO_Combined4[[#This Row],[Ship Mode]]=3,1,0)</f>
        <v>0</v>
      </c>
      <c r="X88">
        <f t="shared" si="3"/>
        <v>1</v>
      </c>
      <c r="Y88">
        <v>1</v>
      </c>
      <c r="Z88">
        <v>0</v>
      </c>
    </row>
    <row r="89" spans="1:26" x14ac:dyDescent="0.2">
      <c r="A89" t="s">
        <v>841</v>
      </c>
      <c r="B89" t="s">
        <v>480</v>
      </c>
      <c r="C89" t="s">
        <v>247</v>
      </c>
      <c r="D89" t="s">
        <v>90</v>
      </c>
      <c r="E89" t="s">
        <v>151</v>
      </c>
      <c r="F89" t="s">
        <v>31</v>
      </c>
      <c r="G89">
        <v>85705</v>
      </c>
      <c r="H89" t="s">
        <v>18</v>
      </c>
      <c r="I89">
        <v>41838</v>
      </c>
      <c r="J89">
        <v>1</v>
      </c>
      <c r="K89" t="s">
        <v>842</v>
      </c>
      <c r="L89">
        <v>0.2</v>
      </c>
      <c r="M89" t="b">
        <v>0</v>
      </c>
      <c r="N89">
        <v>41838</v>
      </c>
      <c r="O89">
        <v>0</v>
      </c>
      <c r="P89">
        <f t="shared" si="2"/>
        <v>0</v>
      </c>
      <c r="Q89">
        <f>IF(CO_Combined4[[#This Row],[Segment]]="COR",1,0)</f>
        <v>0</v>
      </c>
      <c r="R89">
        <f>IF(CO_Combined4[[#This Row],[Region ]]="E",1,0)</f>
        <v>0</v>
      </c>
      <c r="S89">
        <f>IF(CO_Combined4[[#This Row],[Region ]]="W",1,0)</f>
        <v>1</v>
      </c>
      <c r="T89">
        <f>IF(CO_Combined4[[#This Row],[Region ]]="S",1,0)</f>
        <v>0</v>
      </c>
      <c r="U89">
        <f>IF(CO_Combined4[[#This Row],[Ship Mode]]=1,1,0)</f>
        <v>1</v>
      </c>
      <c r="V89">
        <f>IF(CO_Combined4[[#This Row],[Ship Mode]]=2,1,0)</f>
        <v>0</v>
      </c>
      <c r="W89">
        <f>IF(CO_Combined4[[#This Row],[Ship Mode]]=3,1,0)</f>
        <v>0</v>
      </c>
      <c r="X89">
        <f t="shared" si="3"/>
        <v>1</v>
      </c>
      <c r="Y89">
        <v>4</v>
      </c>
      <c r="Z89">
        <v>1</v>
      </c>
    </row>
    <row r="90" spans="1:26" x14ac:dyDescent="0.2">
      <c r="A90" t="s">
        <v>777</v>
      </c>
      <c r="B90" t="s">
        <v>549</v>
      </c>
      <c r="C90" t="s">
        <v>348</v>
      </c>
      <c r="D90" t="s">
        <v>9</v>
      </c>
      <c r="E90" t="s">
        <v>349</v>
      </c>
      <c r="F90" t="s">
        <v>137</v>
      </c>
      <c r="G90">
        <v>44105</v>
      </c>
      <c r="H90" t="s">
        <v>27</v>
      </c>
      <c r="I90">
        <v>42911</v>
      </c>
      <c r="J90">
        <v>3</v>
      </c>
      <c r="K90" t="s">
        <v>779</v>
      </c>
      <c r="L90">
        <v>0.44999999999999996</v>
      </c>
      <c r="M90" t="b">
        <v>0</v>
      </c>
      <c r="N90">
        <v>42907</v>
      </c>
      <c r="O90">
        <v>4</v>
      </c>
      <c r="P90">
        <f t="shared" si="2"/>
        <v>1</v>
      </c>
      <c r="Q90">
        <f>IF(CO_Combined4[[#This Row],[Segment]]="COR",1,0)</f>
        <v>0</v>
      </c>
      <c r="R90">
        <f>IF(CO_Combined4[[#This Row],[Region ]]="E",1,0)</f>
        <v>1</v>
      </c>
      <c r="S90">
        <f>IF(CO_Combined4[[#This Row],[Region ]]="W",1,0)</f>
        <v>0</v>
      </c>
      <c r="T90">
        <f>IF(CO_Combined4[[#This Row],[Region ]]="S",1,0)</f>
        <v>0</v>
      </c>
      <c r="U90">
        <f>IF(CO_Combined4[[#This Row],[Ship Mode]]=1,1,0)</f>
        <v>0</v>
      </c>
      <c r="V90">
        <f>IF(CO_Combined4[[#This Row],[Ship Mode]]=2,1,0)</f>
        <v>0</v>
      </c>
      <c r="W90">
        <f>IF(CO_Combined4[[#This Row],[Ship Mode]]=3,1,0)</f>
        <v>1</v>
      </c>
      <c r="X90">
        <f t="shared" si="3"/>
        <v>1</v>
      </c>
      <c r="Y90">
        <v>11</v>
      </c>
      <c r="Z90">
        <v>1</v>
      </c>
    </row>
    <row r="91" spans="1:26" x14ac:dyDescent="0.2">
      <c r="A91" t="s">
        <v>847</v>
      </c>
      <c r="B91" t="s">
        <v>549</v>
      </c>
      <c r="C91" t="s">
        <v>348</v>
      </c>
      <c r="D91" t="s">
        <v>9</v>
      </c>
      <c r="E91" t="s">
        <v>349</v>
      </c>
      <c r="F91" t="s">
        <v>137</v>
      </c>
      <c r="G91">
        <v>44105</v>
      </c>
      <c r="H91" t="s">
        <v>27</v>
      </c>
      <c r="I91">
        <v>42550</v>
      </c>
      <c r="J91">
        <v>3</v>
      </c>
      <c r="K91" t="s">
        <v>848</v>
      </c>
      <c r="L91">
        <v>0</v>
      </c>
      <c r="M91" t="b">
        <v>0</v>
      </c>
      <c r="N91">
        <v>42546</v>
      </c>
      <c r="O91">
        <v>4</v>
      </c>
      <c r="P91">
        <f t="shared" si="2"/>
        <v>1</v>
      </c>
      <c r="Q91">
        <f>IF(CO_Combined4[[#This Row],[Segment]]="COR",1,0)</f>
        <v>0</v>
      </c>
      <c r="R91">
        <f>IF(CO_Combined4[[#This Row],[Region ]]="E",1,0)</f>
        <v>1</v>
      </c>
      <c r="S91">
        <f>IF(CO_Combined4[[#This Row],[Region ]]="W",1,0)</f>
        <v>0</v>
      </c>
      <c r="T91">
        <f>IF(CO_Combined4[[#This Row],[Region ]]="S",1,0)</f>
        <v>0</v>
      </c>
      <c r="U91">
        <f>IF(CO_Combined4[[#This Row],[Ship Mode]]=1,1,0)</f>
        <v>0</v>
      </c>
      <c r="V91">
        <f>IF(CO_Combined4[[#This Row],[Ship Mode]]=2,1,0)</f>
        <v>0</v>
      </c>
      <c r="W91">
        <f>IF(CO_Combined4[[#This Row],[Ship Mode]]=3,1,0)</f>
        <v>1</v>
      </c>
      <c r="X91">
        <f t="shared" si="3"/>
        <v>1</v>
      </c>
      <c r="Y91">
        <v>3</v>
      </c>
      <c r="Z91">
        <v>0</v>
      </c>
    </row>
    <row r="92" spans="1:26" x14ac:dyDescent="0.2">
      <c r="A92" t="s">
        <v>805</v>
      </c>
      <c r="B92" t="s">
        <v>539</v>
      </c>
      <c r="C92" t="s">
        <v>333</v>
      </c>
      <c r="D92" t="s">
        <v>9</v>
      </c>
      <c r="E92" t="s">
        <v>270</v>
      </c>
      <c r="F92" t="s">
        <v>334</v>
      </c>
      <c r="G92">
        <v>65807</v>
      </c>
      <c r="H92" t="s">
        <v>12</v>
      </c>
      <c r="I92">
        <v>43074</v>
      </c>
      <c r="J92">
        <v>4</v>
      </c>
      <c r="K92" t="s">
        <v>806</v>
      </c>
      <c r="L92">
        <v>0</v>
      </c>
      <c r="M92" t="b">
        <v>0</v>
      </c>
      <c r="N92">
        <v>43071</v>
      </c>
      <c r="O92">
        <v>3</v>
      </c>
      <c r="P92">
        <f t="shared" si="2"/>
        <v>1</v>
      </c>
      <c r="Q92">
        <f>IF(CO_Combined4[[#This Row],[Segment]]="COR",1,0)</f>
        <v>0</v>
      </c>
      <c r="R92">
        <f>IF(CO_Combined4[[#This Row],[Region ]]="E",1,0)</f>
        <v>0</v>
      </c>
      <c r="S92">
        <f>IF(CO_Combined4[[#This Row],[Region ]]="W",1,0)</f>
        <v>0</v>
      </c>
      <c r="T92">
        <f>IF(CO_Combined4[[#This Row],[Region ]]="S",1,0)</f>
        <v>0</v>
      </c>
      <c r="U92">
        <f>IF(CO_Combined4[[#This Row],[Ship Mode]]=1,1,0)</f>
        <v>0</v>
      </c>
      <c r="V92">
        <f>IF(CO_Combined4[[#This Row],[Ship Mode]]=2,1,0)</f>
        <v>0</v>
      </c>
      <c r="W92">
        <f>IF(CO_Combined4[[#This Row],[Ship Mode]]=3,1,0)</f>
        <v>0</v>
      </c>
      <c r="X92">
        <f t="shared" si="3"/>
        <v>1</v>
      </c>
      <c r="Y92">
        <v>3</v>
      </c>
      <c r="Z92">
        <v>0</v>
      </c>
    </row>
    <row r="93" spans="1:26" x14ac:dyDescent="0.2">
      <c r="A93" t="s">
        <v>830</v>
      </c>
      <c r="B93" t="s">
        <v>539</v>
      </c>
      <c r="C93" t="s">
        <v>333</v>
      </c>
      <c r="D93" t="s">
        <v>9</v>
      </c>
      <c r="E93" t="s">
        <v>270</v>
      </c>
      <c r="F93" t="s">
        <v>334</v>
      </c>
      <c r="G93">
        <v>65807</v>
      </c>
      <c r="H93" t="s">
        <v>12</v>
      </c>
      <c r="I93">
        <v>42321</v>
      </c>
      <c r="J93">
        <v>4</v>
      </c>
      <c r="K93" t="s">
        <v>834</v>
      </c>
      <c r="L93">
        <v>0</v>
      </c>
      <c r="M93" t="b">
        <v>0</v>
      </c>
      <c r="N93">
        <v>42317</v>
      </c>
      <c r="O93">
        <v>4</v>
      </c>
      <c r="P93">
        <f t="shared" si="2"/>
        <v>1</v>
      </c>
      <c r="Q93">
        <f>IF(CO_Combined4[[#This Row],[Segment]]="COR",1,0)</f>
        <v>0</v>
      </c>
      <c r="R93">
        <f>IF(CO_Combined4[[#This Row],[Region ]]="E",1,0)</f>
        <v>0</v>
      </c>
      <c r="S93">
        <f>IF(CO_Combined4[[#This Row],[Region ]]="W",1,0)</f>
        <v>0</v>
      </c>
      <c r="T93">
        <f>IF(CO_Combined4[[#This Row],[Region ]]="S",1,0)</f>
        <v>0</v>
      </c>
      <c r="U93">
        <f>IF(CO_Combined4[[#This Row],[Ship Mode]]=1,1,0)</f>
        <v>0</v>
      </c>
      <c r="V93">
        <f>IF(CO_Combined4[[#This Row],[Ship Mode]]=2,1,0)</f>
        <v>0</v>
      </c>
      <c r="W93">
        <f>IF(CO_Combined4[[#This Row],[Ship Mode]]=3,1,0)</f>
        <v>0</v>
      </c>
      <c r="X93">
        <f t="shared" si="3"/>
        <v>1</v>
      </c>
      <c r="Y93">
        <v>16</v>
      </c>
      <c r="Z93">
        <v>0</v>
      </c>
    </row>
    <row r="94" spans="1:26" x14ac:dyDescent="0.2">
      <c r="A94" t="s">
        <v>875</v>
      </c>
      <c r="B94" t="s">
        <v>539</v>
      </c>
      <c r="C94" t="s">
        <v>333</v>
      </c>
      <c r="D94" t="s">
        <v>9</v>
      </c>
      <c r="E94" t="s">
        <v>270</v>
      </c>
      <c r="F94" t="s">
        <v>334</v>
      </c>
      <c r="G94">
        <v>65807</v>
      </c>
      <c r="H94" t="s">
        <v>12</v>
      </c>
      <c r="I94">
        <v>42829</v>
      </c>
      <c r="J94">
        <v>4</v>
      </c>
      <c r="K94" t="s">
        <v>745</v>
      </c>
      <c r="L94">
        <v>0</v>
      </c>
      <c r="M94" t="b">
        <v>0</v>
      </c>
      <c r="N94">
        <v>42826</v>
      </c>
      <c r="O94">
        <v>3</v>
      </c>
      <c r="P94">
        <f t="shared" si="2"/>
        <v>1</v>
      </c>
      <c r="Q94">
        <f>IF(CO_Combined4[[#This Row],[Segment]]="COR",1,0)</f>
        <v>0</v>
      </c>
      <c r="R94">
        <f>IF(CO_Combined4[[#This Row],[Region ]]="E",1,0)</f>
        <v>0</v>
      </c>
      <c r="S94">
        <f>IF(CO_Combined4[[#This Row],[Region ]]="W",1,0)</f>
        <v>0</v>
      </c>
      <c r="T94">
        <f>IF(CO_Combined4[[#This Row],[Region ]]="S",1,0)</f>
        <v>0</v>
      </c>
      <c r="U94">
        <f>IF(CO_Combined4[[#This Row],[Ship Mode]]=1,1,0)</f>
        <v>0</v>
      </c>
      <c r="V94">
        <f>IF(CO_Combined4[[#This Row],[Ship Mode]]=2,1,0)</f>
        <v>0</v>
      </c>
      <c r="W94">
        <f>IF(CO_Combined4[[#This Row],[Ship Mode]]=3,1,0)</f>
        <v>0</v>
      </c>
      <c r="X94">
        <f t="shared" si="3"/>
        <v>1</v>
      </c>
      <c r="Y94">
        <v>11</v>
      </c>
      <c r="Z94">
        <v>0</v>
      </c>
    </row>
    <row r="95" spans="1:26" x14ac:dyDescent="0.2">
      <c r="A95" t="s">
        <v>809</v>
      </c>
      <c r="B95" t="s">
        <v>554</v>
      </c>
      <c r="C95" t="s">
        <v>357</v>
      </c>
      <c r="D95" t="s">
        <v>90</v>
      </c>
      <c r="E95" t="s">
        <v>358</v>
      </c>
      <c r="F95" t="s">
        <v>166</v>
      </c>
      <c r="G95">
        <v>33437</v>
      </c>
      <c r="H95" t="s">
        <v>47</v>
      </c>
      <c r="I95">
        <v>42860</v>
      </c>
      <c r="J95">
        <v>4</v>
      </c>
      <c r="K95" t="s">
        <v>810</v>
      </c>
      <c r="L95">
        <v>0.2</v>
      </c>
      <c r="M95" t="b">
        <v>0</v>
      </c>
      <c r="N95">
        <v>42855</v>
      </c>
      <c r="O95">
        <v>5</v>
      </c>
      <c r="P95">
        <f t="shared" si="2"/>
        <v>0</v>
      </c>
      <c r="Q95">
        <f>IF(CO_Combined4[[#This Row],[Segment]]="COR",1,0)</f>
        <v>0</v>
      </c>
      <c r="R95">
        <f>IF(CO_Combined4[[#This Row],[Region ]]="E",1,0)</f>
        <v>0</v>
      </c>
      <c r="S95">
        <f>IF(CO_Combined4[[#This Row],[Region ]]="W",1,0)</f>
        <v>0</v>
      </c>
      <c r="T95">
        <f>IF(CO_Combined4[[#This Row],[Region ]]="S",1,0)</f>
        <v>1</v>
      </c>
      <c r="U95">
        <f>IF(CO_Combined4[[#This Row],[Ship Mode]]=1,1,0)</f>
        <v>0</v>
      </c>
      <c r="V95">
        <f>IF(CO_Combined4[[#This Row],[Ship Mode]]=2,1,0)</f>
        <v>0</v>
      </c>
      <c r="W95">
        <f>IF(CO_Combined4[[#This Row],[Ship Mode]]=3,1,0)</f>
        <v>0</v>
      </c>
      <c r="X95">
        <f t="shared" si="3"/>
        <v>1</v>
      </c>
      <c r="Y95">
        <v>8</v>
      </c>
      <c r="Z95">
        <v>1</v>
      </c>
    </row>
    <row r="96" spans="1:26" x14ac:dyDescent="0.2">
      <c r="A96" t="s">
        <v>877</v>
      </c>
      <c r="B96" t="s">
        <v>554</v>
      </c>
      <c r="C96" t="s">
        <v>357</v>
      </c>
      <c r="D96" t="s">
        <v>90</v>
      </c>
      <c r="E96" t="s">
        <v>358</v>
      </c>
      <c r="F96" t="s">
        <v>166</v>
      </c>
      <c r="G96">
        <v>33437</v>
      </c>
      <c r="H96" t="s">
        <v>47</v>
      </c>
      <c r="I96">
        <v>41857</v>
      </c>
      <c r="J96">
        <v>4</v>
      </c>
      <c r="K96" t="s">
        <v>878</v>
      </c>
      <c r="L96">
        <v>0.2</v>
      </c>
      <c r="M96" t="b">
        <v>0</v>
      </c>
      <c r="N96">
        <v>41852</v>
      </c>
      <c r="O96">
        <v>5</v>
      </c>
      <c r="P96">
        <f t="shared" si="2"/>
        <v>0</v>
      </c>
      <c r="Q96">
        <f>IF(CO_Combined4[[#This Row],[Segment]]="COR",1,0)</f>
        <v>0</v>
      </c>
      <c r="R96">
        <f>IF(CO_Combined4[[#This Row],[Region ]]="E",1,0)</f>
        <v>0</v>
      </c>
      <c r="S96">
        <f>IF(CO_Combined4[[#This Row],[Region ]]="W",1,0)</f>
        <v>0</v>
      </c>
      <c r="T96">
        <f>IF(CO_Combined4[[#This Row],[Region ]]="S",1,0)</f>
        <v>1</v>
      </c>
      <c r="U96">
        <f>IF(CO_Combined4[[#This Row],[Ship Mode]]=1,1,0)</f>
        <v>0</v>
      </c>
      <c r="V96">
        <f>IF(CO_Combined4[[#This Row],[Ship Mode]]=2,1,0)</f>
        <v>0</v>
      </c>
      <c r="W96">
        <f>IF(CO_Combined4[[#This Row],[Ship Mode]]=3,1,0)</f>
        <v>0</v>
      </c>
      <c r="X96">
        <f t="shared" si="3"/>
        <v>1</v>
      </c>
      <c r="Y96">
        <v>2</v>
      </c>
      <c r="Z96">
        <v>1</v>
      </c>
    </row>
    <row r="97" spans="1:26" x14ac:dyDescent="0.2">
      <c r="A97" t="s">
        <v>835</v>
      </c>
      <c r="B97" t="s">
        <v>515</v>
      </c>
      <c r="C97" t="s">
        <v>297</v>
      </c>
      <c r="D97" t="s">
        <v>9</v>
      </c>
      <c r="E97" t="s">
        <v>298</v>
      </c>
      <c r="F97" t="s">
        <v>299</v>
      </c>
      <c r="G97">
        <v>36830</v>
      </c>
      <c r="H97" t="s">
        <v>47</v>
      </c>
      <c r="I97">
        <v>42636</v>
      </c>
      <c r="J97">
        <v>4</v>
      </c>
      <c r="K97" t="s">
        <v>838</v>
      </c>
      <c r="L97">
        <v>0</v>
      </c>
      <c r="M97" t="b">
        <v>1</v>
      </c>
      <c r="N97">
        <v>42631</v>
      </c>
      <c r="O97">
        <v>5</v>
      </c>
      <c r="P97">
        <f t="shared" si="2"/>
        <v>1</v>
      </c>
      <c r="Q97">
        <f>IF(CO_Combined4[[#This Row],[Segment]]="COR",1,0)</f>
        <v>0</v>
      </c>
      <c r="R97">
        <f>IF(CO_Combined4[[#This Row],[Region ]]="E",1,0)</f>
        <v>0</v>
      </c>
      <c r="S97">
        <f>IF(CO_Combined4[[#This Row],[Region ]]="W",1,0)</f>
        <v>0</v>
      </c>
      <c r="T97">
        <f>IF(CO_Combined4[[#This Row],[Region ]]="S",1,0)</f>
        <v>1</v>
      </c>
      <c r="U97">
        <f>IF(CO_Combined4[[#This Row],[Ship Mode]]=1,1,0)</f>
        <v>0</v>
      </c>
      <c r="V97">
        <f>IF(CO_Combined4[[#This Row],[Ship Mode]]=2,1,0)</f>
        <v>0</v>
      </c>
      <c r="W97">
        <f>IF(CO_Combined4[[#This Row],[Ship Mode]]=3,1,0)</f>
        <v>0</v>
      </c>
      <c r="X97">
        <f t="shared" si="3"/>
        <v>0</v>
      </c>
      <c r="Y97">
        <v>7</v>
      </c>
      <c r="Z97">
        <v>0</v>
      </c>
    </row>
    <row r="98" spans="1:26" x14ac:dyDescent="0.2">
      <c r="A98" t="s">
        <v>888</v>
      </c>
      <c r="B98" t="s">
        <v>515</v>
      </c>
      <c r="C98" t="s">
        <v>297</v>
      </c>
      <c r="D98" t="s">
        <v>9</v>
      </c>
      <c r="E98" t="s">
        <v>298</v>
      </c>
      <c r="F98" t="s">
        <v>299</v>
      </c>
      <c r="G98">
        <v>36830</v>
      </c>
      <c r="H98" t="s">
        <v>47</v>
      </c>
      <c r="I98">
        <v>42278</v>
      </c>
      <c r="J98">
        <v>4</v>
      </c>
      <c r="K98" t="s">
        <v>706</v>
      </c>
      <c r="L98">
        <v>0</v>
      </c>
      <c r="M98" t="b">
        <v>1</v>
      </c>
      <c r="N98">
        <v>42272</v>
      </c>
      <c r="O98">
        <v>6</v>
      </c>
      <c r="P98">
        <f t="shared" si="2"/>
        <v>1</v>
      </c>
      <c r="Q98">
        <f>IF(CO_Combined4[[#This Row],[Segment]]="COR",1,0)</f>
        <v>0</v>
      </c>
      <c r="R98">
        <f>IF(CO_Combined4[[#This Row],[Region ]]="E",1,0)</f>
        <v>0</v>
      </c>
      <c r="S98">
        <f>IF(CO_Combined4[[#This Row],[Region ]]="W",1,0)</f>
        <v>0</v>
      </c>
      <c r="T98">
        <f>IF(CO_Combined4[[#This Row],[Region ]]="S",1,0)</f>
        <v>1</v>
      </c>
      <c r="U98">
        <f>IF(CO_Combined4[[#This Row],[Ship Mode]]=1,1,0)</f>
        <v>0</v>
      </c>
      <c r="V98">
        <f>IF(CO_Combined4[[#This Row],[Ship Mode]]=2,1,0)</f>
        <v>0</v>
      </c>
      <c r="W98">
        <f>IF(CO_Combined4[[#This Row],[Ship Mode]]=3,1,0)</f>
        <v>0</v>
      </c>
      <c r="X98">
        <f t="shared" si="3"/>
        <v>0</v>
      </c>
      <c r="Y98">
        <v>2</v>
      </c>
      <c r="Z98">
        <v>0</v>
      </c>
    </row>
    <row r="99" spans="1:26" x14ac:dyDescent="0.2">
      <c r="A99" t="s">
        <v>849</v>
      </c>
      <c r="B99" t="s">
        <v>525</v>
      </c>
      <c r="C99" t="s">
        <v>312</v>
      </c>
      <c r="D99" t="s">
        <v>9</v>
      </c>
      <c r="E99" t="s">
        <v>85</v>
      </c>
      <c r="F99" t="s">
        <v>86</v>
      </c>
      <c r="G99">
        <v>98105</v>
      </c>
      <c r="H99" t="s">
        <v>18</v>
      </c>
      <c r="I99">
        <v>42721</v>
      </c>
      <c r="J99">
        <v>4</v>
      </c>
      <c r="K99" t="s">
        <v>766</v>
      </c>
      <c r="L99">
        <v>4.0000000000000008E-2</v>
      </c>
      <c r="M99" t="b">
        <v>1</v>
      </c>
      <c r="N99">
        <v>42714</v>
      </c>
      <c r="O99">
        <v>7</v>
      </c>
      <c r="P99">
        <f t="shared" si="2"/>
        <v>1</v>
      </c>
      <c r="Q99">
        <f>IF(CO_Combined4[[#This Row],[Segment]]="COR",1,0)</f>
        <v>0</v>
      </c>
      <c r="R99">
        <f>IF(CO_Combined4[[#This Row],[Region ]]="E",1,0)</f>
        <v>0</v>
      </c>
      <c r="S99">
        <f>IF(CO_Combined4[[#This Row],[Region ]]="W",1,0)</f>
        <v>1</v>
      </c>
      <c r="T99">
        <f>IF(CO_Combined4[[#This Row],[Region ]]="S",1,0)</f>
        <v>0</v>
      </c>
      <c r="U99">
        <f>IF(CO_Combined4[[#This Row],[Ship Mode]]=1,1,0)</f>
        <v>0</v>
      </c>
      <c r="V99">
        <f>IF(CO_Combined4[[#This Row],[Ship Mode]]=2,1,0)</f>
        <v>0</v>
      </c>
      <c r="W99">
        <f>IF(CO_Combined4[[#This Row],[Ship Mode]]=3,1,0)</f>
        <v>0</v>
      </c>
      <c r="X99">
        <f t="shared" si="3"/>
        <v>0</v>
      </c>
      <c r="Y99">
        <v>18</v>
      </c>
      <c r="Z99">
        <v>1</v>
      </c>
    </row>
    <row r="100" spans="1:26" x14ac:dyDescent="0.2">
      <c r="A100" t="s">
        <v>855</v>
      </c>
      <c r="B100" t="s">
        <v>562</v>
      </c>
      <c r="C100" t="s">
        <v>370</v>
      </c>
      <c r="D100" t="s">
        <v>90</v>
      </c>
      <c r="E100" t="s">
        <v>371</v>
      </c>
      <c r="F100" t="s">
        <v>124</v>
      </c>
      <c r="G100">
        <v>60505</v>
      </c>
      <c r="H100" t="s">
        <v>12</v>
      </c>
      <c r="I100">
        <v>41840</v>
      </c>
      <c r="J100">
        <v>4</v>
      </c>
      <c r="K100" t="s">
        <v>688</v>
      </c>
      <c r="L100">
        <v>0.5</v>
      </c>
      <c r="M100" t="b">
        <v>0</v>
      </c>
      <c r="N100">
        <v>41834</v>
      </c>
      <c r="O100">
        <v>6</v>
      </c>
      <c r="P100">
        <f t="shared" si="2"/>
        <v>0</v>
      </c>
      <c r="Q100">
        <f>IF(CO_Combined4[[#This Row],[Segment]]="COR",1,0)</f>
        <v>0</v>
      </c>
      <c r="R100">
        <f>IF(CO_Combined4[[#This Row],[Region ]]="E",1,0)</f>
        <v>0</v>
      </c>
      <c r="S100">
        <f>IF(CO_Combined4[[#This Row],[Region ]]="W",1,0)</f>
        <v>0</v>
      </c>
      <c r="T100">
        <f>IF(CO_Combined4[[#This Row],[Region ]]="S",1,0)</f>
        <v>0</v>
      </c>
      <c r="U100">
        <f>IF(CO_Combined4[[#This Row],[Ship Mode]]=1,1,0)</f>
        <v>0</v>
      </c>
      <c r="V100">
        <f>IF(CO_Combined4[[#This Row],[Ship Mode]]=2,1,0)</f>
        <v>0</v>
      </c>
      <c r="W100">
        <f>IF(CO_Combined4[[#This Row],[Ship Mode]]=3,1,0)</f>
        <v>0</v>
      </c>
      <c r="X100">
        <f t="shared" si="3"/>
        <v>1</v>
      </c>
      <c r="Y100">
        <v>11</v>
      </c>
      <c r="Z100">
        <v>1</v>
      </c>
    </row>
    <row r="101" spans="1:26" x14ac:dyDescent="0.2">
      <c r="A101" t="s">
        <v>879</v>
      </c>
      <c r="B101" t="s">
        <v>568</v>
      </c>
      <c r="C101" t="s">
        <v>379</v>
      </c>
      <c r="D101" t="s">
        <v>9</v>
      </c>
      <c r="E101" t="s">
        <v>380</v>
      </c>
      <c r="F101" t="s">
        <v>124</v>
      </c>
      <c r="G101">
        <v>60090</v>
      </c>
      <c r="H101" t="s">
        <v>12</v>
      </c>
      <c r="I101">
        <v>41730</v>
      </c>
      <c r="J101">
        <v>4</v>
      </c>
      <c r="K101" t="s">
        <v>880</v>
      </c>
      <c r="L101">
        <v>0.1</v>
      </c>
      <c r="M101" t="b">
        <v>0</v>
      </c>
      <c r="N101">
        <v>41723</v>
      </c>
      <c r="O101">
        <v>7</v>
      </c>
      <c r="P101">
        <f t="shared" si="2"/>
        <v>1</v>
      </c>
      <c r="Q101">
        <f>IF(CO_Combined4[[#This Row],[Segment]]="COR",1,0)</f>
        <v>0</v>
      </c>
      <c r="R101">
        <f>IF(CO_Combined4[[#This Row],[Region ]]="E",1,0)</f>
        <v>0</v>
      </c>
      <c r="S101">
        <f>IF(CO_Combined4[[#This Row],[Region ]]="W",1,0)</f>
        <v>0</v>
      </c>
      <c r="T101">
        <f>IF(CO_Combined4[[#This Row],[Region ]]="S",1,0)</f>
        <v>0</v>
      </c>
      <c r="U101">
        <f>IF(CO_Combined4[[#This Row],[Ship Mode]]=1,1,0)</f>
        <v>0</v>
      </c>
      <c r="V101">
        <f>IF(CO_Combined4[[#This Row],[Ship Mode]]=2,1,0)</f>
        <v>0</v>
      </c>
      <c r="W101">
        <f>IF(CO_Combined4[[#This Row],[Ship Mode]]=3,1,0)</f>
        <v>0</v>
      </c>
      <c r="X101">
        <f t="shared" si="3"/>
        <v>1</v>
      </c>
      <c r="Y101">
        <v>7</v>
      </c>
      <c r="Z101">
        <v>1</v>
      </c>
    </row>
    <row r="102" spans="1:26" x14ac:dyDescent="0.2">
      <c r="A102" t="s">
        <v>891</v>
      </c>
      <c r="B102" t="s">
        <v>562</v>
      </c>
      <c r="C102" t="s">
        <v>370</v>
      </c>
      <c r="D102" t="s">
        <v>90</v>
      </c>
      <c r="E102" t="s">
        <v>371</v>
      </c>
      <c r="F102" t="s">
        <v>124</v>
      </c>
      <c r="G102">
        <v>60505</v>
      </c>
      <c r="H102" t="s">
        <v>12</v>
      </c>
      <c r="I102">
        <v>42697</v>
      </c>
      <c r="J102">
        <v>4</v>
      </c>
      <c r="K102" t="s">
        <v>892</v>
      </c>
      <c r="L102">
        <v>0</v>
      </c>
      <c r="M102" t="b">
        <v>0</v>
      </c>
      <c r="N102">
        <v>42692</v>
      </c>
      <c r="O102">
        <v>5</v>
      </c>
      <c r="P102">
        <f t="shared" si="2"/>
        <v>0</v>
      </c>
      <c r="Q102">
        <f>IF(CO_Combined4[[#This Row],[Segment]]="COR",1,0)</f>
        <v>0</v>
      </c>
      <c r="R102">
        <f>IF(CO_Combined4[[#This Row],[Region ]]="E",1,0)</f>
        <v>0</v>
      </c>
      <c r="S102">
        <f>IF(CO_Combined4[[#This Row],[Region ]]="W",1,0)</f>
        <v>0</v>
      </c>
      <c r="T102">
        <f>IF(CO_Combined4[[#This Row],[Region ]]="S",1,0)</f>
        <v>0</v>
      </c>
      <c r="U102">
        <f>IF(CO_Combined4[[#This Row],[Ship Mode]]=1,1,0)</f>
        <v>0</v>
      </c>
      <c r="V102">
        <f>IF(CO_Combined4[[#This Row],[Ship Mode]]=2,1,0)</f>
        <v>0</v>
      </c>
      <c r="W102">
        <f>IF(CO_Combined4[[#This Row],[Ship Mode]]=3,1,0)</f>
        <v>0</v>
      </c>
      <c r="X102">
        <f t="shared" si="3"/>
        <v>1</v>
      </c>
      <c r="Y102">
        <v>4</v>
      </c>
      <c r="Z102">
        <v>0</v>
      </c>
    </row>
    <row r="103" spans="1:26" x14ac:dyDescent="0.2">
      <c r="A103" t="s">
        <v>893</v>
      </c>
      <c r="B103" t="s">
        <v>521</v>
      </c>
      <c r="C103" t="s">
        <v>306</v>
      </c>
      <c r="D103" t="s">
        <v>90</v>
      </c>
      <c r="E103" t="s">
        <v>307</v>
      </c>
      <c r="F103" t="s">
        <v>79</v>
      </c>
      <c r="G103">
        <v>2148</v>
      </c>
      <c r="H103" t="s">
        <v>27</v>
      </c>
      <c r="I103">
        <v>42627</v>
      </c>
      <c r="J103">
        <v>4</v>
      </c>
      <c r="K103" t="s">
        <v>895</v>
      </c>
      <c r="L103">
        <v>0</v>
      </c>
      <c r="M103" t="b">
        <v>0</v>
      </c>
      <c r="N103">
        <v>42621</v>
      </c>
      <c r="O103">
        <v>6</v>
      </c>
      <c r="P103">
        <f t="shared" si="2"/>
        <v>0</v>
      </c>
      <c r="Q103">
        <f>IF(CO_Combined4[[#This Row],[Segment]]="COR",1,0)</f>
        <v>0</v>
      </c>
      <c r="R103">
        <f>IF(CO_Combined4[[#This Row],[Region ]]="E",1,0)</f>
        <v>1</v>
      </c>
      <c r="S103">
        <f>IF(CO_Combined4[[#This Row],[Region ]]="W",1,0)</f>
        <v>0</v>
      </c>
      <c r="T103">
        <f>IF(CO_Combined4[[#This Row],[Region ]]="S",1,0)</f>
        <v>0</v>
      </c>
      <c r="U103">
        <f>IF(CO_Combined4[[#This Row],[Ship Mode]]=1,1,0)</f>
        <v>0</v>
      </c>
      <c r="V103">
        <f>IF(CO_Combined4[[#This Row],[Ship Mode]]=2,1,0)</f>
        <v>0</v>
      </c>
      <c r="W103">
        <f>IF(CO_Combined4[[#This Row],[Ship Mode]]=3,1,0)</f>
        <v>0</v>
      </c>
      <c r="X103">
        <f t="shared" si="3"/>
        <v>1</v>
      </c>
      <c r="Y103">
        <v>7</v>
      </c>
      <c r="Z103">
        <v>0</v>
      </c>
    </row>
    <row r="104" spans="1:26" x14ac:dyDescent="0.2">
      <c r="A104" t="s">
        <v>896</v>
      </c>
      <c r="B104" t="s">
        <v>396</v>
      </c>
      <c r="C104" t="s">
        <v>107</v>
      </c>
      <c r="D104" t="s">
        <v>9</v>
      </c>
      <c r="E104" t="s">
        <v>108</v>
      </c>
      <c r="F104" t="s">
        <v>73</v>
      </c>
      <c r="G104">
        <v>42420</v>
      </c>
      <c r="H104" t="s">
        <v>47</v>
      </c>
      <c r="I104">
        <v>43062</v>
      </c>
      <c r="J104">
        <v>4</v>
      </c>
      <c r="K104" t="s">
        <v>767</v>
      </c>
      <c r="L104">
        <v>0</v>
      </c>
      <c r="M104" t="b">
        <v>0</v>
      </c>
      <c r="N104">
        <v>43058</v>
      </c>
      <c r="O104">
        <v>4</v>
      </c>
      <c r="P104">
        <f t="shared" si="2"/>
        <v>1</v>
      </c>
      <c r="Q104">
        <f>IF(CO_Combined4[[#This Row],[Segment]]="COR",1,0)</f>
        <v>0</v>
      </c>
      <c r="R104">
        <f>IF(CO_Combined4[[#This Row],[Region ]]="E",1,0)</f>
        <v>0</v>
      </c>
      <c r="S104">
        <f>IF(CO_Combined4[[#This Row],[Region ]]="W",1,0)</f>
        <v>0</v>
      </c>
      <c r="T104">
        <f>IF(CO_Combined4[[#This Row],[Region ]]="S",1,0)</f>
        <v>1</v>
      </c>
      <c r="U104">
        <f>IF(CO_Combined4[[#This Row],[Ship Mode]]=1,1,0)</f>
        <v>0</v>
      </c>
      <c r="V104">
        <f>IF(CO_Combined4[[#This Row],[Ship Mode]]=2,1,0)</f>
        <v>0</v>
      </c>
      <c r="W104">
        <f>IF(CO_Combined4[[#This Row],[Ship Mode]]=3,1,0)</f>
        <v>0</v>
      </c>
      <c r="X104">
        <f t="shared" si="3"/>
        <v>1</v>
      </c>
      <c r="Y104">
        <v>8</v>
      </c>
      <c r="Z104">
        <v>0</v>
      </c>
    </row>
    <row r="105" spans="1:26" x14ac:dyDescent="0.2">
      <c r="A105" t="s">
        <v>898</v>
      </c>
      <c r="B105" t="s">
        <v>450</v>
      </c>
      <c r="C105" t="s">
        <v>203</v>
      </c>
      <c r="D105" t="s">
        <v>150</v>
      </c>
      <c r="E105" t="s">
        <v>16</v>
      </c>
      <c r="F105" t="s">
        <v>17</v>
      </c>
      <c r="G105">
        <v>94122</v>
      </c>
      <c r="H105" t="s">
        <v>18</v>
      </c>
      <c r="I105">
        <v>41762</v>
      </c>
      <c r="J105">
        <v>4</v>
      </c>
      <c r="K105" t="s">
        <v>900</v>
      </c>
      <c r="L105">
        <v>0.2</v>
      </c>
      <c r="M105" t="b">
        <v>0</v>
      </c>
      <c r="N105">
        <v>41755</v>
      </c>
      <c r="O105">
        <v>7</v>
      </c>
      <c r="P105">
        <f t="shared" si="2"/>
        <v>0</v>
      </c>
      <c r="Q105">
        <f>IF(CO_Combined4[[#This Row],[Segment]]="COR",1,0)</f>
        <v>1</v>
      </c>
      <c r="R105">
        <f>IF(CO_Combined4[[#This Row],[Region ]]="E",1,0)</f>
        <v>0</v>
      </c>
      <c r="S105">
        <f>IF(CO_Combined4[[#This Row],[Region ]]="W",1,0)</f>
        <v>1</v>
      </c>
      <c r="T105">
        <f>IF(CO_Combined4[[#This Row],[Region ]]="S",1,0)</f>
        <v>0</v>
      </c>
      <c r="U105">
        <f>IF(CO_Combined4[[#This Row],[Ship Mode]]=1,1,0)</f>
        <v>0</v>
      </c>
      <c r="V105">
        <f>IF(CO_Combined4[[#This Row],[Ship Mode]]=2,1,0)</f>
        <v>0</v>
      </c>
      <c r="W105">
        <f>IF(CO_Combined4[[#This Row],[Ship Mode]]=3,1,0)</f>
        <v>0</v>
      </c>
      <c r="X105">
        <f t="shared" si="3"/>
        <v>1</v>
      </c>
      <c r="Y105">
        <v>9</v>
      </c>
      <c r="Z105">
        <v>1</v>
      </c>
    </row>
    <row r="106" spans="1:26" x14ac:dyDescent="0.2">
      <c r="A106" t="s">
        <v>901</v>
      </c>
      <c r="B106" t="s">
        <v>407</v>
      </c>
      <c r="C106" t="s">
        <v>129</v>
      </c>
      <c r="D106" t="s">
        <v>9</v>
      </c>
      <c r="E106" t="s">
        <v>130</v>
      </c>
      <c r="F106" t="s">
        <v>83</v>
      </c>
      <c r="G106">
        <v>74133</v>
      </c>
      <c r="H106" t="s">
        <v>12</v>
      </c>
      <c r="I106">
        <v>42262</v>
      </c>
      <c r="J106">
        <v>4</v>
      </c>
      <c r="K106" t="s">
        <v>902</v>
      </c>
      <c r="L106">
        <v>0</v>
      </c>
      <c r="M106" t="b">
        <v>1</v>
      </c>
      <c r="N106">
        <v>42257</v>
      </c>
      <c r="O106">
        <v>5</v>
      </c>
      <c r="P106">
        <f t="shared" si="2"/>
        <v>1</v>
      </c>
      <c r="Q106">
        <f>IF(CO_Combined4[[#This Row],[Segment]]="COR",1,0)</f>
        <v>0</v>
      </c>
      <c r="R106">
        <f>IF(CO_Combined4[[#This Row],[Region ]]="E",1,0)</f>
        <v>0</v>
      </c>
      <c r="S106">
        <f>IF(CO_Combined4[[#This Row],[Region ]]="W",1,0)</f>
        <v>0</v>
      </c>
      <c r="T106">
        <f>IF(CO_Combined4[[#This Row],[Region ]]="S",1,0)</f>
        <v>0</v>
      </c>
      <c r="U106">
        <f>IF(CO_Combined4[[#This Row],[Ship Mode]]=1,1,0)</f>
        <v>0</v>
      </c>
      <c r="V106">
        <f>IF(CO_Combined4[[#This Row],[Ship Mode]]=2,1,0)</f>
        <v>0</v>
      </c>
      <c r="W106">
        <f>IF(CO_Combined4[[#This Row],[Ship Mode]]=3,1,0)</f>
        <v>0</v>
      </c>
      <c r="X106">
        <f t="shared" si="3"/>
        <v>0</v>
      </c>
      <c r="Y106">
        <v>3</v>
      </c>
      <c r="Z106">
        <v>0</v>
      </c>
    </row>
    <row r="107" spans="1:26" x14ac:dyDescent="0.2">
      <c r="A107" t="s">
        <v>903</v>
      </c>
      <c r="B107" t="s">
        <v>547</v>
      </c>
      <c r="C107" t="s">
        <v>344</v>
      </c>
      <c r="D107" t="s">
        <v>150</v>
      </c>
      <c r="E107" t="s">
        <v>345</v>
      </c>
      <c r="F107" t="s">
        <v>199</v>
      </c>
      <c r="G107">
        <v>84604</v>
      </c>
      <c r="H107" t="s">
        <v>18</v>
      </c>
      <c r="I107">
        <v>42999</v>
      </c>
      <c r="J107">
        <v>3</v>
      </c>
      <c r="K107" t="s">
        <v>908</v>
      </c>
      <c r="L107">
        <v>8.5714285714285715E-2</v>
      </c>
      <c r="M107" t="b">
        <v>0</v>
      </c>
      <c r="N107">
        <v>42995</v>
      </c>
      <c r="O107">
        <v>4</v>
      </c>
      <c r="P107">
        <f t="shared" si="2"/>
        <v>0</v>
      </c>
      <c r="Q107">
        <f>IF(CO_Combined4[[#This Row],[Segment]]="COR",1,0)</f>
        <v>1</v>
      </c>
      <c r="R107">
        <f>IF(CO_Combined4[[#This Row],[Region ]]="E",1,0)</f>
        <v>0</v>
      </c>
      <c r="S107">
        <f>IF(CO_Combined4[[#This Row],[Region ]]="W",1,0)</f>
        <v>1</v>
      </c>
      <c r="T107">
        <f>IF(CO_Combined4[[#This Row],[Region ]]="S",1,0)</f>
        <v>0</v>
      </c>
      <c r="U107">
        <f>IF(CO_Combined4[[#This Row],[Ship Mode]]=1,1,0)</f>
        <v>0</v>
      </c>
      <c r="V107">
        <f>IF(CO_Combined4[[#This Row],[Ship Mode]]=2,1,0)</f>
        <v>0</v>
      </c>
      <c r="W107">
        <f>IF(CO_Combined4[[#This Row],[Ship Mode]]=3,1,0)</f>
        <v>1</v>
      </c>
      <c r="X107">
        <f t="shared" si="3"/>
        <v>1</v>
      </c>
      <c r="Y107">
        <v>21</v>
      </c>
      <c r="Z107">
        <v>1</v>
      </c>
    </row>
    <row r="108" spans="1:26" x14ac:dyDescent="0.2">
      <c r="A108" t="s">
        <v>910</v>
      </c>
      <c r="B108" t="s">
        <v>507</v>
      </c>
      <c r="C108" t="s">
        <v>285</v>
      </c>
      <c r="D108" t="s">
        <v>150</v>
      </c>
      <c r="E108" t="s">
        <v>16</v>
      </c>
      <c r="F108" t="s">
        <v>17</v>
      </c>
      <c r="G108">
        <v>94110</v>
      </c>
      <c r="H108" t="s">
        <v>18</v>
      </c>
      <c r="I108">
        <v>42397</v>
      </c>
      <c r="J108">
        <v>4</v>
      </c>
      <c r="K108" t="s">
        <v>911</v>
      </c>
      <c r="L108">
        <v>0</v>
      </c>
      <c r="M108" t="b">
        <v>0</v>
      </c>
      <c r="N108">
        <v>42391</v>
      </c>
      <c r="O108">
        <v>6</v>
      </c>
      <c r="P108">
        <f t="shared" si="2"/>
        <v>0</v>
      </c>
      <c r="Q108">
        <f>IF(CO_Combined4[[#This Row],[Segment]]="COR",1,0)</f>
        <v>1</v>
      </c>
      <c r="R108">
        <f>IF(CO_Combined4[[#This Row],[Region ]]="E",1,0)</f>
        <v>0</v>
      </c>
      <c r="S108">
        <f>IF(CO_Combined4[[#This Row],[Region ]]="W",1,0)</f>
        <v>1</v>
      </c>
      <c r="T108">
        <f>IF(CO_Combined4[[#This Row],[Region ]]="S",1,0)</f>
        <v>0</v>
      </c>
      <c r="U108">
        <f>IF(CO_Combined4[[#This Row],[Ship Mode]]=1,1,0)</f>
        <v>0</v>
      </c>
      <c r="V108">
        <f>IF(CO_Combined4[[#This Row],[Ship Mode]]=2,1,0)</f>
        <v>0</v>
      </c>
      <c r="W108">
        <f>IF(CO_Combined4[[#This Row],[Ship Mode]]=3,1,0)</f>
        <v>0</v>
      </c>
      <c r="X108">
        <f t="shared" si="3"/>
        <v>1</v>
      </c>
      <c r="Y108">
        <v>5</v>
      </c>
      <c r="Z108">
        <v>0</v>
      </c>
    </row>
    <row r="109" spans="1:26" x14ac:dyDescent="0.2">
      <c r="A109" t="s">
        <v>912</v>
      </c>
      <c r="B109" t="s">
        <v>412</v>
      </c>
      <c r="C109" t="s">
        <v>140</v>
      </c>
      <c r="D109" t="s">
        <v>90</v>
      </c>
      <c r="E109" t="s">
        <v>141</v>
      </c>
      <c r="F109" t="s">
        <v>142</v>
      </c>
      <c r="G109">
        <v>88220</v>
      </c>
      <c r="H109" t="s">
        <v>18</v>
      </c>
      <c r="I109">
        <v>42907</v>
      </c>
      <c r="J109">
        <v>4</v>
      </c>
      <c r="K109" t="s">
        <v>774</v>
      </c>
      <c r="L109">
        <v>0</v>
      </c>
      <c r="M109" t="b">
        <v>0</v>
      </c>
      <c r="N109">
        <v>42902</v>
      </c>
      <c r="O109">
        <v>5</v>
      </c>
      <c r="P109">
        <f t="shared" si="2"/>
        <v>0</v>
      </c>
      <c r="Q109">
        <f>IF(CO_Combined4[[#This Row],[Segment]]="COR",1,0)</f>
        <v>0</v>
      </c>
      <c r="R109">
        <f>IF(CO_Combined4[[#This Row],[Region ]]="E",1,0)</f>
        <v>0</v>
      </c>
      <c r="S109">
        <f>IF(CO_Combined4[[#This Row],[Region ]]="W",1,0)</f>
        <v>1</v>
      </c>
      <c r="T109">
        <f>IF(CO_Combined4[[#This Row],[Region ]]="S",1,0)</f>
        <v>0</v>
      </c>
      <c r="U109">
        <f>IF(CO_Combined4[[#This Row],[Ship Mode]]=1,1,0)</f>
        <v>0</v>
      </c>
      <c r="V109">
        <f>IF(CO_Combined4[[#This Row],[Ship Mode]]=2,1,0)</f>
        <v>0</v>
      </c>
      <c r="W109">
        <f>IF(CO_Combined4[[#This Row],[Ship Mode]]=3,1,0)</f>
        <v>0</v>
      </c>
      <c r="X109">
        <f t="shared" si="3"/>
        <v>1</v>
      </c>
      <c r="Y109">
        <v>9</v>
      </c>
      <c r="Z109">
        <v>0</v>
      </c>
    </row>
    <row r="110" spans="1:26" x14ac:dyDescent="0.2">
      <c r="A110" t="s">
        <v>915</v>
      </c>
      <c r="B110" t="s">
        <v>521</v>
      </c>
      <c r="C110" t="s">
        <v>306</v>
      </c>
      <c r="D110" t="s">
        <v>90</v>
      </c>
      <c r="E110" t="s">
        <v>307</v>
      </c>
      <c r="F110" t="s">
        <v>79</v>
      </c>
      <c r="G110">
        <v>2148</v>
      </c>
      <c r="H110" t="s">
        <v>27</v>
      </c>
      <c r="I110">
        <v>42334</v>
      </c>
      <c r="J110">
        <v>4</v>
      </c>
      <c r="K110" t="s">
        <v>916</v>
      </c>
      <c r="L110">
        <v>0.2</v>
      </c>
      <c r="M110" t="b">
        <v>0</v>
      </c>
      <c r="N110">
        <v>42330</v>
      </c>
      <c r="O110">
        <v>4</v>
      </c>
      <c r="P110">
        <f t="shared" si="2"/>
        <v>0</v>
      </c>
      <c r="Q110">
        <f>IF(CO_Combined4[[#This Row],[Segment]]="COR",1,0)</f>
        <v>0</v>
      </c>
      <c r="R110">
        <f>IF(CO_Combined4[[#This Row],[Region ]]="E",1,0)</f>
        <v>1</v>
      </c>
      <c r="S110">
        <f>IF(CO_Combined4[[#This Row],[Region ]]="W",1,0)</f>
        <v>0</v>
      </c>
      <c r="T110">
        <f>IF(CO_Combined4[[#This Row],[Region ]]="S",1,0)</f>
        <v>0</v>
      </c>
      <c r="U110">
        <f>IF(CO_Combined4[[#This Row],[Ship Mode]]=1,1,0)</f>
        <v>0</v>
      </c>
      <c r="V110">
        <f>IF(CO_Combined4[[#This Row],[Ship Mode]]=2,1,0)</f>
        <v>0</v>
      </c>
      <c r="W110">
        <f>IF(CO_Combined4[[#This Row],[Ship Mode]]=3,1,0)</f>
        <v>0</v>
      </c>
      <c r="X110">
        <f t="shared" si="3"/>
        <v>1</v>
      </c>
      <c r="Y110">
        <v>4</v>
      </c>
      <c r="Z110">
        <v>1</v>
      </c>
    </row>
    <row r="111" spans="1:26" x14ac:dyDescent="0.2">
      <c r="A111" t="s">
        <v>917</v>
      </c>
      <c r="B111" t="s">
        <v>552</v>
      </c>
      <c r="C111" t="s">
        <v>353</v>
      </c>
      <c r="D111" t="s">
        <v>150</v>
      </c>
      <c r="E111" t="s">
        <v>354</v>
      </c>
      <c r="F111" t="s">
        <v>104</v>
      </c>
      <c r="G111">
        <v>46060</v>
      </c>
      <c r="H111" t="s">
        <v>12</v>
      </c>
      <c r="I111">
        <v>42684</v>
      </c>
      <c r="J111">
        <v>4</v>
      </c>
      <c r="K111" t="s">
        <v>918</v>
      </c>
      <c r="L111">
        <v>0.4</v>
      </c>
      <c r="M111" t="b">
        <v>0</v>
      </c>
      <c r="N111">
        <v>42679</v>
      </c>
      <c r="O111">
        <v>5</v>
      </c>
      <c r="P111">
        <f t="shared" si="2"/>
        <v>0</v>
      </c>
      <c r="Q111">
        <f>IF(CO_Combined4[[#This Row],[Segment]]="COR",1,0)</f>
        <v>1</v>
      </c>
      <c r="R111">
        <f>IF(CO_Combined4[[#This Row],[Region ]]="E",1,0)</f>
        <v>0</v>
      </c>
      <c r="S111">
        <f>IF(CO_Combined4[[#This Row],[Region ]]="W",1,0)</f>
        <v>0</v>
      </c>
      <c r="T111">
        <f>IF(CO_Combined4[[#This Row],[Region ]]="S",1,0)</f>
        <v>0</v>
      </c>
      <c r="U111">
        <f>IF(CO_Combined4[[#This Row],[Ship Mode]]=1,1,0)</f>
        <v>0</v>
      </c>
      <c r="V111">
        <f>IF(CO_Combined4[[#This Row],[Ship Mode]]=2,1,0)</f>
        <v>0</v>
      </c>
      <c r="W111">
        <f>IF(CO_Combined4[[#This Row],[Ship Mode]]=3,1,0)</f>
        <v>0</v>
      </c>
      <c r="X111">
        <f t="shared" si="3"/>
        <v>1</v>
      </c>
      <c r="Y111">
        <v>2</v>
      </c>
      <c r="Z111">
        <v>1</v>
      </c>
    </row>
    <row r="112" spans="1:26" x14ac:dyDescent="0.2">
      <c r="A112" t="s">
        <v>919</v>
      </c>
      <c r="B112" t="s">
        <v>431</v>
      </c>
      <c r="C112" t="s">
        <v>172</v>
      </c>
      <c r="D112" t="s">
        <v>9</v>
      </c>
      <c r="E112" t="s">
        <v>173</v>
      </c>
      <c r="F112" t="s">
        <v>137</v>
      </c>
      <c r="G112">
        <v>44134</v>
      </c>
      <c r="H112" t="s">
        <v>27</v>
      </c>
      <c r="I112">
        <v>42821</v>
      </c>
      <c r="J112">
        <v>4</v>
      </c>
      <c r="K112" t="s">
        <v>640</v>
      </c>
      <c r="L112">
        <v>0.2</v>
      </c>
      <c r="M112" t="b">
        <v>0</v>
      </c>
      <c r="N112">
        <v>42817</v>
      </c>
      <c r="O112">
        <v>4</v>
      </c>
      <c r="P112">
        <f t="shared" si="2"/>
        <v>1</v>
      </c>
      <c r="Q112">
        <f>IF(CO_Combined4[[#This Row],[Segment]]="COR",1,0)</f>
        <v>0</v>
      </c>
      <c r="R112">
        <f>IF(CO_Combined4[[#This Row],[Region ]]="E",1,0)</f>
        <v>1</v>
      </c>
      <c r="S112">
        <f>IF(CO_Combined4[[#This Row],[Region ]]="W",1,0)</f>
        <v>0</v>
      </c>
      <c r="T112">
        <f>IF(CO_Combined4[[#This Row],[Region ]]="S",1,0)</f>
        <v>0</v>
      </c>
      <c r="U112">
        <f>IF(CO_Combined4[[#This Row],[Ship Mode]]=1,1,0)</f>
        <v>0</v>
      </c>
      <c r="V112">
        <f>IF(CO_Combined4[[#This Row],[Ship Mode]]=2,1,0)</f>
        <v>0</v>
      </c>
      <c r="W112">
        <f>IF(CO_Combined4[[#This Row],[Ship Mode]]=3,1,0)</f>
        <v>0</v>
      </c>
      <c r="X112">
        <f t="shared" si="3"/>
        <v>1</v>
      </c>
      <c r="Y112">
        <v>2</v>
      </c>
      <c r="Z112">
        <v>1</v>
      </c>
    </row>
    <row r="113" spans="1:26" x14ac:dyDescent="0.2">
      <c r="A113" t="s">
        <v>920</v>
      </c>
      <c r="B113" t="s">
        <v>503</v>
      </c>
      <c r="C113" t="s">
        <v>278</v>
      </c>
      <c r="D113" t="s">
        <v>150</v>
      </c>
      <c r="E113" t="s">
        <v>270</v>
      </c>
      <c r="F113" t="s">
        <v>95</v>
      </c>
      <c r="G113">
        <v>22153</v>
      </c>
      <c r="H113" t="s">
        <v>47</v>
      </c>
      <c r="I113">
        <v>42707</v>
      </c>
      <c r="J113">
        <v>4</v>
      </c>
      <c r="K113" t="s">
        <v>728</v>
      </c>
      <c r="L113">
        <v>0.7</v>
      </c>
      <c r="M113" t="b">
        <v>0</v>
      </c>
      <c r="N113">
        <v>42702</v>
      </c>
      <c r="O113">
        <v>5</v>
      </c>
      <c r="P113">
        <f t="shared" si="2"/>
        <v>0</v>
      </c>
      <c r="Q113">
        <f>IF(CO_Combined4[[#This Row],[Segment]]="COR",1,0)</f>
        <v>1</v>
      </c>
      <c r="R113">
        <f>IF(CO_Combined4[[#This Row],[Region ]]="E",1,0)</f>
        <v>0</v>
      </c>
      <c r="S113">
        <f>IF(CO_Combined4[[#This Row],[Region ]]="W",1,0)</f>
        <v>0</v>
      </c>
      <c r="T113">
        <f>IF(CO_Combined4[[#This Row],[Region ]]="S",1,0)</f>
        <v>1</v>
      </c>
      <c r="U113">
        <f>IF(CO_Combined4[[#This Row],[Ship Mode]]=1,1,0)</f>
        <v>0</v>
      </c>
      <c r="V113">
        <f>IF(CO_Combined4[[#This Row],[Ship Mode]]=2,1,0)</f>
        <v>0</v>
      </c>
      <c r="W113">
        <f>IF(CO_Combined4[[#This Row],[Ship Mode]]=3,1,0)</f>
        <v>0</v>
      </c>
      <c r="X113">
        <f t="shared" si="3"/>
        <v>1</v>
      </c>
      <c r="Y113">
        <v>6</v>
      </c>
      <c r="Z113">
        <v>1</v>
      </c>
    </row>
    <row r="114" spans="1:26" x14ac:dyDescent="0.2">
      <c r="A114" t="s">
        <v>921</v>
      </c>
      <c r="B114" t="s">
        <v>576</v>
      </c>
      <c r="C114" t="s">
        <v>575</v>
      </c>
      <c r="D114" t="s">
        <v>9</v>
      </c>
      <c r="E114" t="s">
        <v>251</v>
      </c>
      <c r="F114" t="s">
        <v>73</v>
      </c>
      <c r="G114">
        <v>40214</v>
      </c>
      <c r="H114" t="s">
        <v>47</v>
      </c>
      <c r="I114">
        <v>42686</v>
      </c>
      <c r="J114">
        <v>3</v>
      </c>
      <c r="K114" t="s">
        <v>922</v>
      </c>
      <c r="L114">
        <v>0.2</v>
      </c>
      <c r="M114" t="b">
        <v>0</v>
      </c>
      <c r="N114">
        <v>42684</v>
      </c>
      <c r="O114">
        <v>2</v>
      </c>
      <c r="P114">
        <f t="shared" si="2"/>
        <v>1</v>
      </c>
      <c r="Q114">
        <f>IF(CO_Combined4[[#This Row],[Segment]]="COR",1,0)</f>
        <v>0</v>
      </c>
      <c r="R114">
        <f>IF(CO_Combined4[[#This Row],[Region ]]="E",1,0)</f>
        <v>0</v>
      </c>
      <c r="S114">
        <f>IF(CO_Combined4[[#This Row],[Region ]]="W",1,0)</f>
        <v>0</v>
      </c>
      <c r="T114">
        <f>IF(CO_Combined4[[#This Row],[Region ]]="S",1,0)</f>
        <v>1</v>
      </c>
      <c r="U114">
        <f>IF(CO_Combined4[[#This Row],[Ship Mode]]=1,1,0)</f>
        <v>0</v>
      </c>
      <c r="V114">
        <f>IF(CO_Combined4[[#This Row],[Ship Mode]]=2,1,0)</f>
        <v>0</v>
      </c>
      <c r="W114">
        <f>IF(CO_Combined4[[#This Row],[Ship Mode]]=3,1,0)</f>
        <v>1</v>
      </c>
      <c r="X114">
        <f t="shared" si="3"/>
        <v>1</v>
      </c>
      <c r="Y114">
        <v>8</v>
      </c>
      <c r="Z114">
        <v>1</v>
      </c>
    </row>
    <row r="115" spans="1:26" x14ac:dyDescent="0.2">
      <c r="A115" t="s">
        <v>924</v>
      </c>
      <c r="B115" t="s">
        <v>566</v>
      </c>
      <c r="C115" t="s">
        <v>376</v>
      </c>
      <c r="D115" t="s">
        <v>150</v>
      </c>
      <c r="E115" t="s">
        <v>377</v>
      </c>
      <c r="F115" t="s">
        <v>17</v>
      </c>
      <c r="G115">
        <v>92054</v>
      </c>
      <c r="H115" t="s">
        <v>18</v>
      </c>
      <c r="I115">
        <v>43090</v>
      </c>
      <c r="J115">
        <v>3</v>
      </c>
      <c r="K115" t="s">
        <v>926</v>
      </c>
      <c r="L115">
        <v>0.15000000000000002</v>
      </c>
      <c r="M115" t="b">
        <v>0</v>
      </c>
      <c r="N115">
        <v>43085</v>
      </c>
      <c r="O115">
        <v>5</v>
      </c>
      <c r="P115">
        <f t="shared" si="2"/>
        <v>0</v>
      </c>
      <c r="Q115">
        <f>IF(CO_Combined4[[#This Row],[Segment]]="COR",1,0)</f>
        <v>1</v>
      </c>
      <c r="R115">
        <f>IF(CO_Combined4[[#This Row],[Region ]]="E",1,0)</f>
        <v>0</v>
      </c>
      <c r="S115">
        <f>IF(CO_Combined4[[#This Row],[Region ]]="W",1,0)</f>
        <v>1</v>
      </c>
      <c r="T115">
        <f>IF(CO_Combined4[[#This Row],[Region ]]="S",1,0)</f>
        <v>0</v>
      </c>
      <c r="U115">
        <f>IF(CO_Combined4[[#This Row],[Ship Mode]]=1,1,0)</f>
        <v>0</v>
      </c>
      <c r="V115">
        <f>IF(CO_Combined4[[#This Row],[Ship Mode]]=2,1,0)</f>
        <v>0</v>
      </c>
      <c r="W115">
        <f>IF(CO_Combined4[[#This Row],[Ship Mode]]=3,1,0)</f>
        <v>1</v>
      </c>
      <c r="X115">
        <f t="shared" si="3"/>
        <v>1</v>
      </c>
      <c r="Y115">
        <v>11</v>
      </c>
      <c r="Z115">
        <v>1</v>
      </c>
    </row>
    <row r="116" spans="1:26" x14ac:dyDescent="0.2">
      <c r="A116" t="s">
        <v>928</v>
      </c>
      <c r="B116" t="s">
        <v>532</v>
      </c>
      <c r="C116" t="s">
        <v>323</v>
      </c>
      <c r="D116" t="s">
        <v>9</v>
      </c>
      <c r="E116" t="s">
        <v>97</v>
      </c>
      <c r="F116" t="s">
        <v>67</v>
      </c>
      <c r="G116">
        <v>19134</v>
      </c>
      <c r="H116" t="s">
        <v>27</v>
      </c>
      <c r="I116">
        <v>43089</v>
      </c>
      <c r="J116">
        <v>4</v>
      </c>
      <c r="K116" t="s">
        <v>929</v>
      </c>
      <c r="L116">
        <v>0</v>
      </c>
      <c r="M116" t="b">
        <v>0</v>
      </c>
      <c r="N116">
        <v>43085</v>
      </c>
      <c r="O116">
        <v>4</v>
      </c>
      <c r="P116">
        <f t="shared" si="2"/>
        <v>1</v>
      </c>
      <c r="Q116">
        <f>IF(CO_Combined4[[#This Row],[Segment]]="COR",1,0)</f>
        <v>0</v>
      </c>
      <c r="R116">
        <f>IF(CO_Combined4[[#This Row],[Region ]]="E",1,0)</f>
        <v>1</v>
      </c>
      <c r="S116">
        <f>IF(CO_Combined4[[#This Row],[Region ]]="W",1,0)</f>
        <v>0</v>
      </c>
      <c r="T116">
        <f>IF(CO_Combined4[[#This Row],[Region ]]="S",1,0)</f>
        <v>0</v>
      </c>
      <c r="U116">
        <f>IF(CO_Combined4[[#This Row],[Ship Mode]]=1,1,0)</f>
        <v>0</v>
      </c>
      <c r="V116">
        <f>IF(CO_Combined4[[#This Row],[Ship Mode]]=2,1,0)</f>
        <v>0</v>
      </c>
      <c r="W116">
        <f>IF(CO_Combined4[[#This Row],[Ship Mode]]=3,1,0)</f>
        <v>0</v>
      </c>
      <c r="X116">
        <f t="shared" si="3"/>
        <v>1</v>
      </c>
      <c r="Y116">
        <v>5</v>
      </c>
      <c r="Z116">
        <v>0</v>
      </c>
    </row>
    <row r="117" spans="1:26" x14ac:dyDescent="0.2">
      <c r="A117" t="s">
        <v>930</v>
      </c>
      <c r="B117" t="s">
        <v>459</v>
      </c>
      <c r="C117" t="s">
        <v>215</v>
      </c>
      <c r="D117" t="s">
        <v>9</v>
      </c>
      <c r="E117" t="s">
        <v>216</v>
      </c>
      <c r="F117" t="s">
        <v>22</v>
      </c>
      <c r="G117">
        <v>75002</v>
      </c>
      <c r="H117" t="s">
        <v>12</v>
      </c>
      <c r="I117">
        <v>42136</v>
      </c>
      <c r="J117">
        <v>4</v>
      </c>
      <c r="K117" t="s">
        <v>932</v>
      </c>
      <c r="L117">
        <v>0.25</v>
      </c>
      <c r="M117" t="b">
        <v>0</v>
      </c>
      <c r="N117">
        <v>42131</v>
      </c>
      <c r="O117">
        <v>5</v>
      </c>
      <c r="P117">
        <f t="shared" si="2"/>
        <v>1</v>
      </c>
      <c r="Q117">
        <f>IF(CO_Combined4[[#This Row],[Segment]]="COR",1,0)</f>
        <v>0</v>
      </c>
      <c r="R117">
        <f>IF(CO_Combined4[[#This Row],[Region ]]="E",1,0)</f>
        <v>0</v>
      </c>
      <c r="S117">
        <f>IF(CO_Combined4[[#This Row],[Region ]]="W",1,0)</f>
        <v>0</v>
      </c>
      <c r="T117">
        <f>IF(CO_Combined4[[#This Row],[Region ]]="S",1,0)</f>
        <v>0</v>
      </c>
      <c r="U117">
        <f>IF(CO_Combined4[[#This Row],[Ship Mode]]=1,1,0)</f>
        <v>0</v>
      </c>
      <c r="V117">
        <f>IF(CO_Combined4[[#This Row],[Ship Mode]]=2,1,0)</f>
        <v>0</v>
      </c>
      <c r="W117">
        <f>IF(CO_Combined4[[#This Row],[Ship Mode]]=3,1,0)</f>
        <v>0</v>
      </c>
      <c r="X117">
        <f t="shared" si="3"/>
        <v>1</v>
      </c>
      <c r="Y117">
        <v>6</v>
      </c>
      <c r="Z117">
        <v>1</v>
      </c>
    </row>
    <row r="118" spans="1:26" x14ac:dyDescent="0.2">
      <c r="A118" t="s">
        <v>933</v>
      </c>
      <c r="B118" t="s">
        <v>557</v>
      </c>
      <c r="C118" t="s">
        <v>361</v>
      </c>
      <c r="D118" t="s">
        <v>9</v>
      </c>
      <c r="E118" t="s">
        <v>362</v>
      </c>
      <c r="F118" t="s">
        <v>53</v>
      </c>
      <c r="G118">
        <v>37211</v>
      </c>
      <c r="H118" t="s">
        <v>47</v>
      </c>
      <c r="I118">
        <v>42626</v>
      </c>
      <c r="J118">
        <v>4</v>
      </c>
      <c r="K118" t="s">
        <v>722</v>
      </c>
      <c r="L118">
        <v>0.2</v>
      </c>
      <c r="M118" t="b">
        <v>0</v>
      </c>
      <c r="N118">
        <v>42622</v>
      </c>
      <c r="O118">
        <v>4</v>
      </c>
      <c r="P118">
        <f t="shared" si="2"/>
        <v>1</v>
      </c>
      <c r="Q118">
        <f>IF(CO_Combined4[[#This Row],[Segment]]="COR",1,0)</f>
        <v>0</v>
      </c>
      <c r="R118">
        <f>IF(CO_Combined4[[#This Row],[Region ]]="E",1,0)</f>
        <v>0</v>
      </c>
      <c r="S118">
        <f>IF(CO_Combined4[[#This Row],[Region ]]="W",1,0)</f>
        <v>0</v>
      </c>
      <c r="T118">
        <f>IF(CO_Combined4[[#This Row],[Region ]]="S",1,0)</f>
        <v>1</v>
      </c>
      <c r="U118">
        <f>IF(CO_Combined4[[#This Row],[Ship Mode]]=1,1,0)</f>
        <v>0</v>
      </c>
      <c r="V118">
        <f>IF(CO_Combined4[[#This Row],[Ship Mode]]=2,1,0)</f>
        <v>0</v>
      </c>
      <c r="W118">
        <f>IF(CO_Combined4[[#This Row],[Ship Mode]]=3,1,0)</f>
        <v>0</v>
      </c>
      <c r="X118">
        <f t="shared" si="3"/>
        <v>1</v>
      </c>
      <c r="Y118">
        <v>4</v>
      </c>
      <c r="Z118">
        <v>1</v>
      </c>
    </row>
    <row r="119" spans="1:26" x14ac:dyDescent="0.2">
      <c r="A119" t="s">
        <v>934</v>
      </c>
      <c r="B119" t="s">
        <v>48</v>
      </c>
      <c r="C119" t="s">
        <v>49</v>
      </c>
      <c r="D119" t="s">
        <v>9</v>
      </c>
      <c r="E119" t="s">
        <v>50</v>
      </c>
      <c r="F119" t="s">
        <v>17</v>
      </c>
      <c r="G119">
        <v>91730</v>
      </c>
      <c r="H119" t="s">
        <v>18</v>
      </c>
      <c r="I119">
        <v>41941</v>
      </c>
      <c r="J119">
        <v>4</v>
      </c>
      <c r="K119" t="s">
        <v>935</v>
      </c>
      <c r="L119">
        <v>0.2</v>
      </c>
      <c r="M119" t="b">
        <v>0</v>
      </c>
      <c r="N119">
        <v>41936</v>
      </c>
      <c r="O119">
        <v>5</v>
      </c>
      <c r="P119">
        <f t="shared" si="2"/>
        <v>1</v>
      </c>
      <c r="Q119">
        <f>IF(CO_Combined4[[#This Row],[Segment]]="COR",1,0)</f>
        <v>0</v>
      </c>
      <c r="R119">
        <f>IF(CO_Combined4[[#This Row],[Region ]]="E",1,0)</f>
        <v>0</v>
      </c>
      <c r="S119">
        <f>IF(CO_Combined4[[#This Row],[Region ]]="W",1,0)</f>
        <v>1</v>
      </c>
      <c r="T119">
        <f>IF(CO_Combined4[[#This Row],[Region ]]="S",1,0)</f>
        <v>0</v>
      </c>
      <c r="U119">
        <f>IF(CO_Combined4[[#This Row],[Ship Mode]]=1,1,0)</f>
        <v>0</v>
      </c>
      <c r="V119">
        <f>IF(CO_Combined4[[#This Row],[Ship Mode]]=2,1,0)</f>
        <v>0</v>
      </c>
      <c r="W119">
        <f>IF(CO_Combined4[[#This Row],[Ship Mode]]=3,1,0)</f>
        <v>0</v>
      </c>
      <c r="X119">
        <f t="shared" si="3"/>
        <v>1</v>
      </c>
      <c r="Y119">
        <v>3</v>
      </c>
      <c r="Z119">
        <v>1</v>
      </c>
    </row>
    <row r="120" spans="1:26" x14ac:dyDescent="0.2">
      <c r="A120" t="s">
        <v>936</v>
      </c>
      <c r="B120" t="s">
        <v>422</v>
      </c>
      <c r="C120" t="s">
        <v>158</v>
      </c>
      <c r="D120" t="s">
        <v>9</v>
      </c>
      <c r="E120" t="s">
        <v>25</v>
      </c>
      <c r="F120" t="s">
        <v>26</v>
      </c>
      <c r="G120">
        <v>10011</v>
      </c>
      <c r="H120" t="s">
        <v>27</v>
      </c>
      <c r="I120">
        <v>42321</v>
      </c>
      <c r="J120">
        <v>4</v>
      </c>
      <c r="K120" t="s">
        <v>645</v>
      </c>
      <c r="L120">
        <v>0.1</v>
      </c>
      <c r="M120" t="b">
        <v>0</v>
      </c>
      <c r="N120">
        <v>42316</v>
      </c>
      <c r="O120">
        <v>5</v>
      </c>
      <c r="P120">
        <f t="shared" si="2"/>
        <v>1</v>
      </c>
      <c r="Q120">
        <f>IF(CO_Combined4[[#This Row],[Segment]]="COR",1,0)</f>
        <v>0</v>
      </c>
      <c r="R120">
        <f>IF(CO_Combined4[[#This Row],[Region ]]="E",1,0)</f>
        <v>1</v>
      </c>
      <c r="S120">
        <f>IF(CO_Combined4[[#This Row],[Region ]]="W",1,0)</f>
        <v>0</v>
      </c>
      <c r="T120">
        <f>IF(CO_Combined4[[#This Row],[Region ]]="S",1,0)</f>
        <v>0</v>
      </c>
      <c r="U120">
        <f>IF(CO_Combined4[[#This Row],[Ship Mode]]=1,1,0)</f>
        <v>0</v>
      </c>
      <c r="V120">
        <f>IF(CO_Combined4[[#This Row],[Ship Mode]]=2,1,0)</f>
        <v>0</v>
      </c>
      <c r="W120">
        <f>IF(CO_Combined4[[#This Row],[Ship Mode]]=3,1,0)</f>
        <v>0</v>
      </c>
      <c r="X120">
        <f t="shared" si="3"/>
        <v>1</v>
      </c>
      <c r="Y120">
        <v>14</v>
      </c>
      <c r="Z120">
        <v>1</v>
      </c>
    </row>
    <row r="121" spans="1:26" x14ac:dyDescent="0.2">
      <c r="A121" t="s">
        <v>938</v>
      </c>
      <c r="B121" t="s">
        <v>499</v>
      </c>
      <c r="C121" t="s">
        <v>273</v>
      </c>
      <c r="D121" t="s">
        <v>9</v>
      </c>
      <c r="E121" t="s">
        <v>97</v>
      </c>
      <c r="F121" t="s">
        <v>67</v>
      </c>
      <c r="G121">
        <v>19120</v>
      </c>
      <c r="H121" t="s">
        <v>27</v>
      </c>
      <c r="I121">
        <v>43090</v>
      </c>
      <c r="J121">
        <v>4</v>
      </c>
      <c r="K121" t="s">
        <v>939</v>
      </c>
      <c r="L121">
        <v>0</v>
      </c>
      <c r="M121" t="b">
        <v>0</v>
      </c>
      <c r="N121">
        <v>43086</v>
      </c>
      <c r="O121">
        <v>4</v>
      </c>
      <c r="P121">
        <f t="shared" si="2"/>
        <v>1</v>
      </c>
      <c r="Q121">
        <f>IF(CO_Combined4[[#This Row],[Segment]]="COR",1,0)</f>
        <v>0</v>
      </c>
      <c r="R121">
        <f>IF(CO_Combined4[[#This Row],[Region ]]="E",1,0)</f>
        <v>1</v>
      </c>
      <c r="S121">
        <f>IF(CO_Combined4[[#This Row],[Region ]]="W",1,0)</f>
        <v>0</v>
      </c>
      <c r="T121">
        <f>IF(CO_Combined4[[#This Row],[Region ]]="S",1,0)</f>
        <v>0</v>
      </c>
      <c r="U121">
        <f>IF(CO_Combined4[[#This Row],[Ship Mode]]=1,1,0)</f>
        <v>0</v>
      </c>
      <c r="V121">
        <f>IF(CO_Combined4[[#This Row],[Ship Mode]]=2,1,0)</f>
        <v>0</v>
      </c>
      <c r="W121">
        <f>IF(CO_Combined4[[#This Row],[Ship Mode]]=3,1,0)</f>
        <v>0</v>
      </c>
      <c r="X121">
        <f t="shared" si="3"/>
        <v>1</v>
      </c>
      <c r="Y121">
        <v>5</v>
      </c>
      <c r="Z121">
        <v>0</v>
      </c>
    </row>
    <row r="122" spans="1:26" x14ac:dyDescent="0.2">
      <c r="A122" t="s">
        <v>940</v>
      </c>
      <c r="B122" t="s">
        <v>390</v>
      </c>
      <c r="C122" t="s">
        <v>96</v>
      </c>
      <c r="D122" t="s">
        <v>90</v>
      </c>
      <c r="E122" t="s">
        <v>97</v>
      </c>
      <c r="F122" t="s">
        <v>67</v>
      </c>
      <c r="G122">
        <v>19143</v>
      </c>
      <c r="H122" t="s">
        <v>27</v>
      </c>
      <c r="I122">
        <v>42999</v>
      </c>
      <c r="J122">
        <v>4</v>
      </c>
      <c r="K122" t="s">
        <v>941</v>
      </c>
      <c r="L122">
        <v>0.2</v>
      </c>
      <c r="M122" t="b">
        <v>1</v>
      </c>
      <c r="N122">
        <v>42994</v>
      </c>
      <c r="O122">
        <v>5</v>
      </c>
      <c r="P122">
        <f t="shared" si="2"/>
        <v>0</v>
      </c>
      <c r="Q122">
        <f>IF(CO_Combined4[[#This Row],[Segment]]="COR",1,0)</f>
        <v>0</v>
      </c>
      <c r="R122">
        <f>IF(CO_Combined4[[#This Row],[Region ]]="E",1,0)</f>
        <v>1</v>
      </c>
      <c r="S122">
        <f>IF(CO_Combined4[[#This Row],[Region ]]="W",1,0)</f>
        <v>0</v>
      </c>
      <c r="T122">
        <f>IF(CO_Combined4[[#This Row],[Region ]]="S",1,0)</f>
        <v>0</v>
      </c>
      <c r="U122">
        <f>IF(CO_Combined4[[#This Row],[Ship Mode]]=1,1,0)</f>
        <v>0</v>
      </c>
      <c r="V122">
        <f>IF(CO_Combined4[[#This Row],[Ship Mode]]=2,1,0)</f>
        <v>0</v>
      </c>
      <c r="W122">
        <f>IF(CO_Combined4[[#This Row],[Ship Mode]]=3,1,0)</f>
        <v>0</v>
      </c>
      <c r="X122">
        <f t="shared" si="3"/>
        <v>0</v>
      </c>
      <c r="Y122">
        <v>4</v>
      </c>
      <c r="Z122">
        <v>1</v>
      </c>
    </row>
    <row r="123" spans="1:26" x14ac:dyDescent="0.2">
      <c r="A123" t="s">
        <v>942</v>
      </c>
      <c r="B123" t="s">
        <v>537</v>
      </c>
      <c r="C123" t="s">
        <v>330</v>
      </c>
      <c r="D123" t="s">
        <v>150</v>
      </c>
      <c r="E123" t="s">
        <v>156</v>
      </c>
      <c r="F123" t="s">
        <v>63</v>
      </c>
      <c r="G123">
        <v>28540</v>
      </c>
      <c r="H123" t="s">
        <v>47</v>
      </c>
      <c r="I123">
        <v>43016</v>
      </c>
      <c r="J123">
        <v>4</v>
      </c>
      <c r="K123" t="s">
        <v>943</v>
      </c>
      <c r="L123">
        <v>0.2</v>
      </c>
      <c r="M123" t="b">
        <v>0</v>
      </c>
      <c r="N123">
        <v>43011</v>
      </c>
      <c r="O123">
        <v>5</v>
      </c>
      <c r="P123">
        <f t="shared" si="2"/>
        <v>0</v>
      </c>
      <c r="Q123">
        <f>IF(CO_Combined4[[#This Row],[Segment]]="COR",1,0)</f>
        <v>1</v>
      </c>
      <c r="R123">
        <f>IF(CO_Combined4[[#This Row],[Region ]]="E",1,0)</f>
        <v>0</v>
      </c>
      <c r="S123">
        <f>IF(CO_Combined4[[#This Row],[Region ]]="W",1,0)</f>
        <v>0</v>
      </c>
      <c r="T123">
        <f>IF(CO_Combined4[[#This Row],[Region ]]="S",1,0)</f>
        <v>1</v>
      </c>
      <c r="U123">
        <f>IF(CO_Combined4[[#This Row],[Ship Mode]]=1,1,0)</f>
        <v>0</v>
      </c>
      <c r="V123">
        <f>IF(CO_Combined4[[#This Row],[Ship Mode]]=2,1,0)</f>
        <v>0</v>
      </c>
      <c r="W123">
        <f>IF(CO_Combined4[[#This Row],[Ship Mode]]=3,1,0)</f>
        <v>0</v>
      </c>
      <c r="X123">
        <f t="shared" si="3"/>
        <v>1</v>
      </c>
      <c r="Y123">
        <v>3</v>
      </c>
      <c r="Z123">
        <v>1</v>
      </c>
    </row>
    <row r="124" spans="1:26" x14ac:dyDescent="0.2">
      <c r="A124" t="s">
        <v>944</v>
      </c>
      <c r="B124" t="s">
        <v>60</v>
      </c>
      <c r="C124" t="s">
        <v>49</v>
      </c>
      <c r="D124" t="s">
        <v>9</v>
      </c>
      <c r="E124" t="s">
        <v>50</v>
      </c>
      <c r="F124" t="s">
        <v>63</v>
      </c>
      <c r="G124">
        <v>91730</v>
      </c>
      <c r="H124" t="s">
        <v>18</v>
      </c>
      <c r="I124">
        <v>42573</v>
      </c>
      <c r="J124">
        <v>4</v>
      </c>
      <c r="K124" t="s">
        <v>946</v>
      </c>
      <c r="L124">
        <v>0</v>
      </c>
      <c r="M124" t="b">
        <v>0</v>
      </c>
      <c r="N124">
        <v>42568</v>
      </c>
      <c r="O124">
        <v>5</v>
      </c>
      <c r="P124">
        <f t="shared" si="2"/>
        <v>1</v>
      </c>
      <c r="Q124">
        <f>IF(CO_Combined4[[#This Row],[Segment]]="COR",1,0)</f>
        <v>0</v>
      </c>
      <c r="R124">
        <f>IF(CO_Combined4[[#This Row],[Region ]]="E",1,0)</f>
        <v>0</v>
      </c>
      <c r="S124">
        <f>IF(CO_Combined4[[#This Row],[Region ]]="W",1,0)</f>
        <v>1</v>
      </c>
      <c r="T124">
        <f>IF(CO_Combined4[[#This Row],[Region ]]="S",1,0)</f>
        <v>0</v>
      </c>
      <c r="U124">
        <f>IF(CO_Combined4[[#This Row],[Ship Mode]]=1,1,0)</f>
        <v>0</v>
      </c>
      <c r="V124">
        <f>IF(CO_Combined4[[#This Row],[Ship Mode]]=2,1,0)</f>
        <v>0</v>
      </c>
      <c r="W124">
        <f>IF(CO_Combined4[[#This Row],[Ship Mode]]=3,1,0)</f>
        <v>0</v>
      </c>
      <c r="X124">
        <f t="shared" si="3"/>
        <v>1</v>
      </c>
      <c r="Y124">
        <v>16</v>
      </c>
      <c r="Z124">
        <v>0</v>
      </c>
    </row>
    <row r="125" spans="1:26" x14ac:dyDescent="0.2">
      <c r="A125" t="s">
        <v>950</v>
      </c>
      <c r="B125" t="s">
        <v>536</v>
      </c>
      <c r="C125" t="s">
        <v>328</v>
      </c>
      <c r="D125" t="s">
        <v>150</v>
      </c>
      <c r="E125" t="s">
        <v>329</v>
      </c>
      <c r="F125" t="s">
        <v>22</v>
      </c>
      <c r="G125">
        <v>78745</v>
      </c>
      <c r="H125" t="s">
        <v>12</v>
      </c>
      <c r="I125">
        <v>42624</v>
      </c>
      <c r="J125">
        <v>4</v>
      </c>
      <c r="K125" t="s">
        <v>951</v>
      </c>
      <c r="L125">
        <v>0.3</v>
      </c>
      <c r="M125" t="b">
        <v>0</v>
      </c>
      <c r="N125">
        <v>42618</v>
      </c>
      <c r="O125">
        <v>6</v>
      </c>
      <c r="P125">
        <f t="shared" si="2"/>
        <v>0</v>
      </c>
      <c r="Q125">
        <f>IF(CO_Combined4[[#This Row],[Segment]]="COR",1,0)</f>
        <v>1</v>
      </c>
      <c r="R125">
        <f>IF(CO_Combined4[[#This Row],[Region ]]="E",1,0)</f>
        <v>0</v>
      </c>
      <c r="S125">
        <f>IF(CO_Combined4[[#This Row],[Region ]]="W",1,0)</f>
        <v>0</v>
      </c>
      <c r="T125">
        <f>IF(CO_Combined4[[#This Row],[Region ]]="S",1,0)</f>
        <v>0</v>
      </c>
      <c r="U125">
        <f>IF(CO_Combined4[[#This Row],[Ship Mode]]=1,1,0)</f>
        <v>0</v>
      </c>
      <c r="V125">
        <f>IF(CO_Combined4[[#This Row],[Ship Mode]]=2,1,0)</f>
        <v>0</v>
      </c>
      <c r="W125">
        <f>IF(CO_Combined4[[#This Row],[Ship Mode]]=3,1,0)</f>
        <v>0</v>
      </c>
      <c r="X125">
        <f t="shared" si="3"/>
        <v>1</v>
      </c>
      <c r="Y125">
        <v>7</v>
      </c>
      <c r="Z125">
        <v>1</v>
      </c>
    </row>
    <row r="126" spans="1:26" x14ac:dyDescent="0.2">
      <c r="A126" t="s">
        <v>952</v>
      </c>
      <c r="B126" t="s">
        <v>535</v>
      </c>
      <c r="C126" t="s">
        <v>326</v>
      </c>
      <c r="D126" t="s">
        <v>150</v>
      </c>
      <c r="E126" t="s">
        <v>327</v>
      </c>
      <c r="F126" t="s">
        <v>86</v>
      </c>
      <c r="G126">
        <v>98661</v>
      </c>
      <c r="H126" t="s">
        <v>18</v>
      </c>
      <c r="I126">
        <v>41823</v>
      </c>
      <c r="J126">
        <v>3</v>
      </c>
      <c r="K126" t="s">
        <v>953</v>
      </c>
      <c r="L126">
        <v>0</v>
      </c>
      <c r="M126" t="b">
        <v>0</v>
      </c>
      <c r="N126">
        <v>41820</v>
      </c>
      <c r="O126">
        <v>3</v>
      </c>
      <c r="P126">
        <f t="shared" si="2"/>
        <v>0</v>
      </c>
      <c r="Q126">
        <f>IF(CO_Combined4[[#This Row],[Segment]]="COR",1,0)</f>
        <v>1</v>
      </c>
      <c r="R126">
        <f>IF(CO_Combined4[[#This Row],[Region ]]="E",1,0)</f>
        <v>0</v>
      </c>
      <c r="S126">
        <f>IF(CO_Combined4[[#This Row],[Region ]]="W",1,0)</f>
        <v>1</v>
      </c>
      <c r="T126">
        <f>IF(CO_Combined4[[#This Row],[Region ]]="S",1,0)</f>
        <v>0</v>
      </c>
      <c r="U126">
        <f>IF(CO_Combined4[[#This Row],[Ship Mode]]=1,1,0)</f>
        <v>0</v>
      </c>
      <c r="V126">
        <f>IF(CO_Combined4[[#This Row],[Ship Mode]]=2,1,0)</f>
        <v>0</v>
      </c>
      <c r="W126">
        <f>IF(CO_Combined4[[#This Row],[Ship Mode]]=3,1,0)</f>
        <v>1</v>
      </c>
      <c r="X126">
        <f t="shared" si="3"/>
        <v>1</v>
      </c>
      <c r="Y126">
        <v>5</v>
      </c>
      <c r="Z126">
        <v>0</v>
      </c>
    </row>
    <row r="127" spans="1:26" x14ac:dyDescent="0.2">
      <c r="A127" t="s">
        <v>954</v>
      </c>
      <c r="B127" t="s">
        <v>526</v>
      </c>
      <c r="C127" t="s">
        <v>313</v>
      </c>
      <c r="D127" t="s">
        <v>9</v>
      </c>
      <c r="E127" t="s">
        <v>314</v>
      </c>
      <c r="F127" t="s">
        <v>315</v>
      </c>
      <c r="G127">
        <v>80525</v>
      </c>
      <c r="H127" t="s">
        <v>18</v>
      </c>
      <c r="I127">
        <v>43007</v>
      </c>
      <c r="J127">
        <v>1</v>
      </c>
      <c r="K127" t="s">
        <v>956</v>
      </c>
      <c r="L127">
        <v>0.44999999999999996</v>
      </c>
      <c r="M127" t="b">
        <v>0</v>
      </c>
      <c r="N127">
        <v>43001</v>
      </c>
      <c r="O127">
        <v>6</v>
      </c>
      <c r="P127">
        <f t="shared" si="2"/>
        <v>1</v>
      </c>
      <c r="Q127">
        <f>IF(CO_Combined4[[#This Row],[Segment]]="COR",1,0)</f>
        <v>0</v>
      </c>
      <c r="R127">
        <f>IF(CO_Combined4[[#This Row],[Region ]]="E",1,0)</f>
        <v>0</v>
      </c>
      <c r="S127">
        <f>IF(CO_Combined4[[#This Row],[Region ]]="W",1,0)</f>
        <v>1</v>
      </c>
      <c r="T127">
        <f>IF(CO_Combined4[[#This Row],[Region ]]="S",1,0)</f>
        <v>0</v>
      </c>
      <c r="U127">
        <f>IF(CO_Combined4[[#This Row],[Ship Mode]]=1,1,0)</f>
        <v>1</v>
      </c>
      <c r="V127">
        <f>IF(CO_Combined4[[#This Row],[Ship Mode]]=2,1,0)</f>
        <v>0</v>
      </c>
      <c r="W127">
        <f>IF(CO_Combined4[[#This Row],[Ship Mode]]=3,1,0)</f>
        <v>0</v>
      </c>
      <c r="X127">
        <f t="shared" si="3"/>
        <v>1</v>
      </c>
      <c r="Y127">
        <v>4</v>
      </c>
      <c r="Z127">
        <v>1</v>
      </c>
    </row>
    <row r="128" spans="1:26" x14ac:dyDescent="0.2">
      <c r="A128" t="s">
        <v>957</v>
      </c>
      <c r="B128" t="s">
        <v>470</v>
      </c>
      <c r="C128" t="s">
        <v>234</v>
      </c>
      <c r="D128" t="s">
        <v>9</v>
      </c>
      <c r="E128" t="s">
        <v>97</v>
      </c>
      <c r="F128" t="s">
        <v>67</v>
      </c>
      <c r="G128">
        <v>19134</v>
      </c>
      <c r="H128" t="s">
        <v>27</v>
      </c>
      <c r="I128">
        <v>43091</v>
      </c>
      <c r="J128">
        <v>4</v>
      </c>
      <c r="K128" t="s">
        <v>958</v>
      </c>
      <c r="L128">
        <v>0.2</v>
      </c>
      <c r="M128" t="b">
        <v>1</v>
      </c>
      <c r="N128">
        <v>43087</v>
      </c>
      <c r="O128">
        <v>4</v>
      </c>
      <c r="P128">
        <f t="shared" si="2"/>
        <v>1</v>
      </c>
      <c r="Q128">
        <f>IF(CO_Combined4[[#This Row],[Segment]]="COR",1,0)</f>
        <v>0</v>
      </c>
      <c r="R128">
        <f>IF(CO_Combined4[[#This Row],[Region ]]="E",1,0)</f>
        <v>1</v>
      </c>
      <c r="S128">
        <f>IF(CO_Combined4[[#This Row],[Region ]]="W",1,0)</f>
        <v>0</v>
      </c>
      <c r="T128">
        <f>IF(CO_Combined4[[#This Row],[Region ]]="S",1,0)</f>
        <v>0</v>
      </c>
      <c r="U128">
        <f>IF(CO_Combined4[[#This Row],[Ship Mode]]=1,1,0)</f>
        <v>0</v>
      </c>
      <c r="V128">
        <f>IF(CO_Combined4[[#This Row],[Ship Mode]]=2,1,0)</f>
        <v>0</v>
      </c>
      <c r="W128">
        <f>IF(CO_Combined4[[#This Row],[Ship Mode]]=3,1,0)</f>
        <v>0</v>
      </c>
      <c r="X128">
        <f t="shared" si="3"/>
        <v>0</v>
      </c>
      <c r="Y128">
        <v>7</v>
      </c>
      <c r="Z128">
        <v>1</v>
      </c>
    </row>
    <row r="129" spans="1:26" x14ac:dyDescent="0.2">
      <c r="A129" t="s">
        <v>959</v>
      </c>
      <c r="B129" t="s">
        <v>576</v>
      </c>
      <c r="C129" t="s">
        <v>575</v>
      </c>
      <c r="D129" t="s">
        <v>9</v>
      </c>
      <c r="E129" t="s">
        <v>251</v>
      </c>
      <c r="F129" t="s">
        <v>73</v>
      </c>
      <c r="G129">
        <v>40214</v>
      </c>
      <c r="H129" t="s">
        <v>47</v>
      </c>
      <c r="I129">
        <v>41899</v>
      </c>
      <c r="J129">
        <v>4</v>
      </c>
      <c r="K129" t="s">
        <v>960</v>
      </c>
      <c r="L129">
        <v>0.7</v>
      </c>
      <c r="M129" t="b">
        <v>0</v>
      </c>
      <c r="N129">
        <v>41894</v>
      </c>
      <c r="O129">
        <v>5</v>
      </c>
      <c r="P129">
        <f t="shared" si="2"/>
        <v>1</v>
      </c>
      <c r="Q129">
        <f>IF(CO_Combined4[[#This Row],[Segment]]="COR",1,0)</f>
        <v>0</v>
      </c>
      <c r="R129">
        <f>IF(CO_Combined4[[#This Row],[Region ]]="E",1,0)</f>
        <v>0</v>
      </c>
      <c r="S129">
        <f>IF(CO_Combined4[[#This Row],[Region ]]="W",1,0)</f>
        <v>0</v>
      </c>
      <c r="T129">
        <f>IF(CO_Combined4[[#This Row],[Region ]]="S",1,0)</f>
        <v>1</v>
      </c>
      <c r="U129">
        <f>IF(CO_Combined4[[#This Row],[Ship Mode]]=1,1,0)</f>
        <v>0</v>
      </c>
      <c r="V129">
        <f>IF(CO_Combined4[[#This Row],[Ship Mode]]=2,1,0)</f>
        <v>0</v>
      </c>
      <c r="W129">
        <f>IF(CO_Combined4[[#This Row],[Ship Mode]]=3,1,0)</f>
        <v>0</v>
      </c>
      <c r="X129">
        <f t="shared" si="3"/>
        <v>1</v>
      </c>
      <c r="Y129">
        <v>7</v>
      </c>
      <c r="Z129">
        <v>1</v>
      </c>
    </row>
    <row r="130" spans="1:26" x14ac:dyDescent="0.2">
      <c r="A130" t="s">
        <v>961</v>
      </c>
      <c r="B130" t="s">
        <v>470</v>
      </c>
      <c r="C130" t="s">
        <v>234</v>
      </c>
      <c r="D130" t="s">
        <v>9</v>
      </c>
      <c r="E130" t="s">
        <v>97</v>
      </c>
      <c r="F130" t="s">
        <v>67</v>
      </c>
      <c r="G130">
        <v>19134</v>
      </c>
      <c r="H130" t="s">
        <v>27</v>
      </c>
      <c r="I130">
        <v>42454</v>
      </c>
      <c r="J130">
        <v>4</v>
      </c>
      <c r="K130" t="s">
        <v>962</v>
      </c>
      <c r="L130">
        <v>0</v>
      </c>
      <c r="M130" t="b">
        <v>0</v>
      </c>
      <c r="N130">
        <v>42449</v>
      </c>
      <c r="O130">
        <v>5</v>
      </c>
      <c r="P130">
        <f t="shared" ref="P130:P193" si="4">IF($D130="CON",1,0)</f>
        <v>1</v>
      </c>
      <c r="Q130">
        <f>IF(CO_Combined4[[#This Row],[Segment]]="COR",1,0)</f>
        <v>0</v>
      </c>
      <c r="R130">
        <f>IF(CO_Combined4[[#This Row],[Region ]]="E",1,0)</f>
        <v>1</v>
      </c>
      <c r="S130">
        <f>IF(CO_Combined4[[#This Row],[Region ]]="W",1,0)</f>
        <v>0</v>
      </c>
      <c r="T130">
        <f>IF(CO_Combined4[[#This Row],[Region ]]="S",1,0)</f>
        <v>0</v>
      </c>
      <c r="U130">
        <f>IF(CO_Combined4[[#This Row],[Ship Mode]]=1,1,0)</f>
        <v>0</v>
      </c>
      <c r="V130">
        <f>IF(CO_Combined4[[#This Row],[Ship Mode]]=2,1,0)</f>
        <v>0</v>
      </c>
      <c r="W130">
        <f>IF(CO_Combined4[[#This Row],[Ship Mode]]=3,1,0)</f>
        <v>0</v>
      </c>
      <c r="X130">
        <f t="shared" ref="X130:X193" si="5">IF($M130=$M$2,1,0)</f>
        <v>1</v>
      </c>
      <c r="Y130">
        <v>7</v>
      </c>
      <c r="Z130">
        <v>0</v>
      </c>
    </row>
    <row r="131" spans="1:26" x14ac:dyDescent="0.2">
      <c r="A131" t="s">
        <v>963</v>
      </c>
      <c r="B131" t="s">
        <v>484</v>
      </c>
      <c r="C131" t="s">
        <v>252</v>
      </c>
      <c r="D131" t="s">
        <v>150</v>
      </c>
      <c r="E131" t="s">
        <v>253</v>
      </c>
      <c r="F131" t="s">
        <v>166</v>
      </c>
      <c r="G131">
        <v>33319</v>
      </c>
      <c r="H131" t="s">
        <v>47</v>
      </c>
      <c r="I131">
        <v>43046</v>
      </c>
      <c r="J131">
        <v>3</v>
      </c>
      <c r="K131" t="s">
        <v>713</v>
      </c>
      <c r="L131">
        <v>0.8</v>
      </c>
      <c r="M131" t="b">
        <v>0</v>
      </c>
      <c r="N131">
        <v>43044</v>
      </c>
      <c r="O131">
        <v>2</v>
      </c>
      <c r="P131">
        <f t="shared" si="4"/>
        <v>0</v>
      </c>
      <c r="Q131">
        <f>IF(CO_Combined4[[#This Row],[Segment]]="COR",1,0)</f>
        <v>1</v>
      </c>
      <c r="R131">
        <f>IF(CO_Combined4[[#This Row],[Region ]]="E",1,0)</f>
        <v>0</v>
      </c>
      <c r="S131">
        <f>IF(CO_Combined4[[#This Row],[Region ]]="W",1,0)</f>
        <v>0</v>
      </c>
      <c r="T131">
        <f>IF(CO_Combined4[[#This Row],[Region ]]="S",1,0)</f>
        <v>1</v>
      </c>
      <c r="U131">
        <f>IF(CO_Combined4[[#This Row],[Ship Mode]]=1,1,0)</f>
        <v>0</v>
      </c>
      <c r="V131">
        <f>IF(CO_Combined4[[#This Row],[Ship Mode]]=2,1,0)</f>
        <v>0</v>
      </c>
      <c r="W131">
        <f>IF(CO_Combined4[[#This Row],[Ship Mode]]=3,1,0)</f>
        <v>1</v>
      </c>
      <c r="X131">
        <f t="shared" si="5"/>
        <v>1</v>
      </c>
      <c r="Y131">
        <v>5</v>
      </c>
      <c r="Z131">
        <v>1</v>
      </c>
    </row>
    <row r="132" spans="1:26" x14ac:dyDescent="0.2">
      <c r="A132" t="s">
        <v>964</v>
      </c>
      <c r="B132" t="s">
        <v>532</v>
      </c>
      <c r="C132" t="s">
        <v>323</v>
      </c>
      <c r="D132" t="s">
        <v>9</v>
      </c>
      <c r="E132" t="s">
        <v>97</v>
      </c>
      <c r="F132" t="s">
        <v>67</v>
      </c>
      <c r="G132">
        <v>19134</v>
      </c>
      <c r="H132" t="s">
        <v>27</v>
      </c>
      <c r="I132">
        <v>42735</v>
      </c>
      <c r="J132">
        <v>4</v>
      </c>
      <c r="K132" t="s">
        <v>956</v>
      </c>
      <c r="L132">
        <v>0</v>
      </c>
      <c r="M132" t="b">
        <v>0</v>
      </c>
      <c r="N132">
        <v>42730</v>
      </c>
      <c r="O132">
        <v>5</v>
      </c>
      <c r="P132">
        <f t="shared" si="4"/>
        <v>1</v>
      </c>
      <c r="Q132">
        <f>IF(CO_Combined4[[#This Row],[Segment]]="COR",1,0)</f>
        <v>0</v>
      </c>
      <c r="R132">
        <f>IF(CO_Combined4[[#This Row],[Region ]]="E",1,0)</f>
        <v>1</v>
      </c>
      <c r="S132">
        <f>IF(CO_Combined4[[#This Row],[Region ]]="W",1,0)</f>
        <v>0</v>
      </c>
      <c r="T132">
        <f>IF(CO_Combined4[[#This Row],[Region ]]="S",1,0)</f>
        <v>0</v>
      </c>
      <c r="U132">
        <f>IF(CO_Combined4[[#This Row],[Ship Mode]]=1,1,0)</f>
        <v>0</v>
      </c>
      <c r="V132">
        <f>IF(CO_Combined4[[#This Row],[Ship Mode]]=2,1,0)</f>
        <v>0</v>
      </c>
      <c r="W132">
        <f>IF(CO_Combined4[[#This Row],[Ship Mode]]=3,1,0)</f>
        <v>0</v>
      </c>
      <c r="X132">
        <f t="shared" si="5"/>
        <v>1</v>
      </c>
      <c r="Y132">
        <v>3</v>
      </c>
      <c r="Z132">
        <v>0</v>
      </c>
    </row>
    <row r="133" spans="1:26" x14ac:dyDescent="0.2">
      <c r="A133" t="s">
        <v>965</v>
      </c>
      <c r="B133" t="s">
        <v>442</v>
      </c>
      <c r="C133" t="s">
        <v>192</v>
      </c>
      <c r="D133" t="s">
        <v>9</v>
      </c>
      <c r="E133" t="s">
        <v>153</v>
      </c>
      <c r="F133" t="s">
        <v>124</v>
      </c>
      <c r="G133">
        <v>60610</v>
      </c>
      <c r="H133" t="s">
        <v>12</v>
      </c>
      <c r="I133">
        <v>42500</v>
      </c>
      <c r="J133">
        <v>4</v>
      </c>
      <c r="K133" t="s">
        <v>966</v>
      </c>
      <c r="L133">
        <v>0.5</v>
      </c>
      <c r="M133" t="b">
        <v>1</v>
      </c>
      <c r="N133">
        <v>42496</v>
      </c>
      <c r="O133">
        <v>4</v>
      </c>
      <c r="P133">
        <f t="shared" si="4"/>
        <v>1</v>
      </c>
      <c r="Q133">
        <f>IF(CO_Combined4[[#This Row],[Segment]]="COR",1,0)</f>
        <v>0</v>
      </c>
      <c r="R133">
        <f>IF(CO_Combined4[[#This Row],[Region ]]="E",1,0)</f>
        <v>0</v>
      </c>
      <c r="S133">
        <f>IF(CO_Combined4[[#This Row],[Region ]]="W",1,0)</f>
        <v>0</v>
      </c>
      <c r="T133">
        <f>IF(CO_Combined4[[#This Row],[Region ]]="S",1,0)</f>
        <v>0</v>
      </c>
      <c r="U133">
        <f>IF(CO_Combined4[[#This Row],[Ship Mode]]=1,1,0)</f>
        <v>0</v>
      </c>
      <c r="V133">
        <f>IF(CO_Combined4[[#This Row],[Ship Mode]]=2,1,0)</f>
        <v>0</v>
      </c>
      <c r="W133">
        <f>IF(CO_Combined4[[#This Row],[Ship Mode]]=3,1,0)</f>
        <v>0</v>
      </c>
      <c r="X133">
        <f t="shared" si="5"/>
        <v>0</v>
      </c>
      <c r="Y133">
        <v>4</v>
      </c>
      <c r="Z133">
        <v>1</v>
      </c>
    </row>
    <row r="134" spans="1:26" x14ac:dyDescent="0.2">
      <c r="A134" t="s">
        <v>967</v>
      </c>
      <c r="B134" t="s">
        <v>574</v>
      </c>
      <c r="C134" t="s">
        <v>573</v>
      </c>
      <c r="D134" t="s">
        <v>9</v>
      </c>
      <c r="E134" t="s">
        <v>38</v>
      </c>
      <c r="F134" t="s">
        <v>17</v>
      </c>
      <c r="G134">
        <v>90036</v>
      </c>
      <c r="H134" t="s">
        <v>18</v>
      </c>
      <c r="I134">
        <v>43078</v>
      </c>
      <c r="J134">
        <v>4</v>
      </c>
      <c r="K134" t="s">
        <v>968</v>
      </c>
      <c r="L134">
        <v>0.2</v>
      </c>
      <c r="M134" t="b">
        <v>0</v>
      </c>
      <c r="N134">
        <v>43074</v>
      </c>
      <c r="O134">
        <v>4</v>
      </c>
      <c r="P134">
        <f t="shared" si="4"/>
        <v>1</v>
      </c>
      <c r="Q134">
        <f>IF(CO_Combined4[[#This Row],[Segment]]="COR",1,0)</f>
        <v>0</v>
      </c>
      <c r="R134">
        <f>IF(CO_Combined4[[#This Row],[Region ]]="E",1,0)</f>
        <v>0</v>
      </c>
      <c r="S134">
        <f>IF(CO_Combined4[[#This Row],[Region ]]="W",1,0)</f>
        <v>1</v>
      </c>
      <c r="T134">
        <f>IF(CO_Combined4[[#This Row],[Region ]]="S",1,0)</f>
        <v>0</v>
      </c>
      <c r="U134">
        <f>IF(CO_Combined4[[#This Row],[Ship Mode]]=1,1,0)</f>
        <v>0</v>
      </c>
      <c r="V134">
        <f>IF(CO_Combined4[[#This Row],[Ship Mode]]=2,1,0)</f>
        <v>0</v>
      </c>
      <c r="W134">
        <f>IF(CO_Combined4[[#This Row],[Ship Mode]]=3,1,0)</f>
        <v>0</v>
      </c>
      <c r="X134">
        <f t="shared" si="5"/>
        <v>1</v>
      </c>
      <c r="Y134">
        <v>9</v>
      </c>
      <c r="Z134">
        <v>1</v>
      </c>
    </row>
    <row r="135" spans="1:26" x14ac:dyDescent="0.2">
      <c r="A135" t="s">
        <v>970</v>
      </c>
      <c r="B135" t="s">
        <v>494</v>
      </c>
      <c r="C135" t="s">
        <v>266</v>
      </c>
      <c r="D135" t="s">
        <v>150</v>
      </c>
      <c r="E135" t="s">
        <v>267</v>
      </c>
      <c r="F135" t="s">
        <v>166</v>
      </c>
      <c r="G135">
        <v>33317</v>
      </c>
      <c r="H135" t="s">
        <v>47</v>
      </c>
      <c r="I135">
        <v>42589</v>
      </c>
      <c r="J135">
        <v>4</v>
      </c>
      <c r="K135" t="s">
        <v>971</v>
      </c>
      <c r="L135">
        <v>0</v>
      </c>
      <c r="M135" t="b">
        <v>0</v>
      </c>
      <c r="N135">
        <v>42588</v>
      </c>
      <c r="O135">
        <v>1</v>
      </c>
      <c r="P135">
        <f t="shared" si="4"/>
        <v>0</v>
      </c>
      <c r="Q135">
        <f>IF(CO_Combined4[[#This Row],[Segment]]="COR",1,0)</f>
        <v>1</v>
      </c>
      <c r="R135">
        <f>IF(CO_Combined4[[#This Row],[Region ]]="E",1,0)</f>
        <v>0</v>
      </c>
      <c r="S135">
        <f>IF(CO_Combined4[[#This Row],[Region ]]="W",1,0)</f>
        <v>0</v>
      </c>
      <c r="T135">
        <f>IF(CO_Combined4[[#This Row],[Region ]]="S",1,0)</f>
        <v>1</v>
      </c>
      <c r="U135">
        <f>IF(CO_Combined4[[#This Row],[Ship Mode]]=1,1,0)</f>
        <v>0</v>
      </c>
      <c r="V135">
        <f>IF(CO_Combined4[[#This Row],[Ship Mode]]=2,1,0)</f>
        <v>0</v>
      </c>
      <c r="W135">
        <f>IF(CO_Combined4[[#This Row],[Ship Mode]]=3,1,0)</f>
        <v>0</v>
      </c>
      <c r="X135">
        <f t="shared" si="5"/>
        <v>1</v>
      </c>
      <c r="Y135">
        <v>2</v>
      </c>
      <c r="Z135">
        <v>0</v>
      </c>
    </row>
    <row r="136" spans="1:26" x14ac:dyDescent="0.2">
      <c r="A136" t="s">
        <v>972</v>
      </c>
      <c r="B136" t="s">
        <v>487</v>
      </c>
      <c r="C136" t="s">
        <v>257</v>
      </c>
      <c r="D136" t="s">
        <v>9</v>
      </c>
      <c r="E136" t="s">
        <v>258</v>
      </c>
      <c r="F136" t="s">
        <v>17</v>
      </c>
      <c r="G136">
        <v>94513</v>
      </c>
      <c r="H136" t="s">
        <v>18</v>
      </c>
      <c r="I136">
        <v>42427</v>
      </c>
      <c r="J136">
        <v>4</v>
      </c>
      <c r="K136" t="s">
        <v>973</v>
      </c>
      <c r="L136">
        <v>0.2</v>
      </c>
      <c r="M136" t="b">
        <v>0</v>
      </c>
      <c r="N136">
        <v>42420</v>
      </c>
      <c r="O136">
        <v>7</v>
      </c>
      <c r="P136">
        <f t="shared" si="4"/>
        <v>1</v>
      </c>
      <c r="Q136">
        <f>IF(CO_Combined4[[#This Row],[Segment]]="COR",1,0)</f>
        <v>0</v>
      </c>
      <c r="R136">
        <f>IF(CO_Combined4[[#This Row],[Region ]]="E",1,0)</f>
        <v>0</v>
      </c>
      <c r="S136">
        <f>IF(CO_Combined4[[#This Row],[Region ]]="W",1,0)</f>
        <v>1</v>
      </c>
      <c r="T136">
        <f>IF(CO_Combined4[[#This Row],[Region ]]="S",1,0)</f>
        <v>0</v>
      </c>
      <c r="U136">
        <f>IF(CO_Combined4[[#This Row],[Ship Mode]]=1,1,0)</f>
        <v>0</v>
      </c>
      <c r="V136">
        <f>IF(CO_Combined4[[#This Row],[Ship Mode]]=2,1,0)</f>
        <v>0</v>
      </c>
      <c r="W136">
        <f>IF(CO_Combined4[[#This Row],[Ship Mode]]=3,1,0)</f>
        <v>0</v>
      </c>
      <c r="X136">
        <f t="shared" si="5"/>
        <v>1</v>
      </c>
      <c r="Y136">
        <v>2</v>
      </c>
      <c r="Z136">
        <v>1</v>
      </c>
    </row>
    <row r="137" spans="1:26" x14ac:dyDescent="0.2">
      <c r="A137" t="s">
        <v>974</v>
      </c>
      <c r="B137" t="s">
        <v>540</v>
      </c>
      <c r="C137" t="s">
        <v>335</v>
      </c>
      <c r="D137" t="s">
        <v>9</v>
      </c>
      <c r="E137" t="s">
        <v>97</v>
      </c>
      <c r="F137" t="s">
        <v>67</v>
      </c>
      <c r="G137">
        <v>19143</v>
      </c>
      <c r="H137" t="s">
        <v>27</v>
      </c>
      <c r="I137">
        <v>42996</v>
      </c>
      <c r="J137">
        <v>2</v>
      </c>
      <c r="K137" t="s">
        <v>977</v>
      </c>
      <c r="L137">
        <v>0.4</v>
      </c>
      <c r="M137" t="b">
        <v>1</v>
      </c>
      <c r="N137">
        <v>42994</v>
      </c>
      <c r="O137">
        <v>2</v>
      </c>
      <c r="P137">
        <f t="shared" si="4"/>
        <v>1</v>
      </c>
      <c r="Q137">
        <f>IF(CO_Combined4[[#This Row],[Segment]]="COR",1,0)</f>
        <v>0</v>
      </c>
      <c r="R137">
        <f>IF(CO_Combined4[[#This Row],[Region ]]="E",1,0)</f>
        <v>1</v>
      </c>
      <c r="S137">
        <f>IF(CO_Combined4[[#This Row],[Region ]]="W",1,0)</f>
        <v>0</v>
      </c>
      <c r="T137">
        <f>IF(CO_Combined4[[#This Row],[Region ]]="S",1,0)</f>
        <v>0</v>
      </c>
      <c r="U137">
        <f>IF(CO_Combined4[[#This Row],[Ship Mode]]=1,1,0)</f>
        <v>0</v>
      </c>
      <c r="V137">
        <f>IF(CO_Combined4[[#This Row],[Ship Mode]]=2,1,0)</f>
        <v>1</v>
      </c>
      <c r="W137">
        <f>IF(CO_Combined4[[#This Row],[Ship Mode]]=3,1,0)</f>
        <v>0</v>
      </c>
      <c r="X137">
        <f t="shared" si="5"/>
        <v>0</v>
      </c>
      <c r="Y137">
        <v>12</v>
      </c>
      <c r="Z137">
        <v>1</v>
      </c>
    </row>
    <row r="138" spans="1:26" x14ac:dyDescent="0.2">
      <c r="A138" t="s">
        <v>978</v>
      </c>
      <c r="B138" t="s">
        <v>450</v>
      </c>
      <c r="C138" t="s">
        <v>203</v>
      </c>
      <c r="D138" t="s">
        <v>150</v>
      </c>
      <c r="E138" t="s">
        <v>16</v>
      </c>
      <c r="F138" t="s">
        <v>17</v>
      </c>
      <c r="G138">
        <v>94122</v>
      </c>
      <c r="H138" t="s">
        <v>18</v>
      </c>
      <c r="I138">
        <v>42986</v>
      </c>
      <c r="J138">
        <v>4</v>
      </c>
      <c r="K138" t="s">
        <v>979</v>
      </c>
      <c r="L138">
        <v>0</v>
      </c>
      <c r="M138" t="b">
        <v>0</v>
      </c>
      <c r="N138">
        <v>42981</v>
      </c>
      <c r="O138">
        <v>5</v>
      </c>
      <c r="P138">
        <f t="shared" si="4"/>
        <v>0</v>
      </c>
      <c r="Q138">
        <f>IF(CO_Combined4[[#This Row],[Segment]]="COR",1,0)</f>
        <v>1</v>
      </c>
      <c r="R138">
        <f>IF(CO_Combined4[[#This Row],[Region ]]="E",1,0)</f>
        <v>0</v>
      </c>
      <c r="S138">
        <f>IF(CO_Combined4[[#This Row],[Region ]]="W",1,0)</f>
        <v>1</v>
      </c>
      <c r="T138">
        <f>IF(CO_Combined4[[#This Row],[Region ]]="S",1,0)</f>
        <v>0</v>
      </c>
      <c r="U138">
        <f>IF(CO_Combined4[[#This Row],[Ship Mode]]=1,1,0)</f>
        <v>0</v>
      </c>
      <c r="V138">
        <f>IF(CO_Combined4[[#This Row],[Ship Mode]]=2,1,0)</f>
        <v>0</v>
      </c>
      <c r="W138">
        <f>IF(CO_Combined4[[#This Row],[Ship Mode]]=3,1,0)</f>
        <v>0</v>
      </c>
      <c r="X138">
        <f t="shared" si="5"/>
        <v>1</v>
      </c>
      <c r="Y138">
        <v>2</v>
      </c>
      <c r="Z138">
        <v>0</v>
      </c>
    </row>
    <row r="139" spans="1:26" x14ac:dyDescent="0.2">
      <c r="A139" t="s">
        <v>980</v>
      </c>
      <c r="B139" t="s">
        <v>424</v>
      </c>
      <c r="C139" t="s">
        <v>160</v>
      </c>
      <c r="D139" t="s">
        <v>150</v>
      </c>
      <c r="E139" t="s">
        <v>161</v>
      </c>
      <c r="F139" t="s">
        <v>162</v>
      </c>
      <c r="G139">
        <v>70506</v>
      </c>
      <c r="H139" t="s">
        <v>47</v>
      </c>
      <c r="I139">
        <v>43090</v>
      </c>
      <c r="J139">
        <v>2</v>
      </c>
      <c r="K139" t="s">
        <v>981</v>
      </c>
      <c r="L139">
        <v>0</v>
      </c>
      <c r="M139" t="b">
        <v>0</v>
      </c>
      <c r="N139">
        <v>43088</v>
      </c>
      <c r="O139">
        <v>2</v>
      </c>
      <c r="P139">
        <f t="shared" si="4"/>
        <v>0</v>
      </c>
      <c r="Q139">
        <f>IF(CO_Combined4[[#This Row],[Segment]]="COR",1,0)</f>
        <v>1</v>
      </c>
      <c r="R139">
        <f>IF(CO_Combined4[[#This Row],[Region ]]="E",1,0)</f>
        <v>0</v>
      </c>
      <c r="S139">
        <f>IF(CO_Combined4[[#This Row],[Region ]]="W",1,0)</f>
        <v>0</v>
      </c>
      <c r="T139">
        <f>IF(CO_Combined4[[#This Row],[Region ]]="S",1,0)</f>
        <v>1</v>
      </c>
      <c r="U139">
        <f>IF(CO_Combined4[[#This Row],[Ship Mode]]=1,1,0)</f>
        <v>0</v>
      </c>
      <c r="V139">
        <f>IF(CO_Combined4[[#This Row],[Ship Mode]]=2,1,0)</f>
        <v>1</v>
      </c>
      <c r="W139">
        <f>IF(CO_Combined4[[#This Row],[Ship Mode]]=3,1,0)</f>
        <v>0</v>
      </c>
      <c r="X139">
        <f t="shared" si="5"/>
        <v>1</v>
      </c>
      <c r="Y139">
        <v>2</v>
      </c>
      <c r="Z139">
        <v>0</v>
      </c>
    </row>
    <row r="140" spans="1:26" x14ac:dyDescent="0.2">
      <c r="A140" t="s">
        <v>982</v>
      </c>
      <c r="B140" t="s">
        <v>413</v>
      </c>
      <c r="C140" t="s">
        <v>143</v>
      </c>
      <c r="D140" t="s">
        <v>90</v>
      </c>
      <c r="E140" t="s">
        <v>97</v>
      </c>
      <c r="F140" t="s">
        <v>67</v>
      </c>
      <c r="G140">
        <v>19134</v>
      </c>
      <c r="H140" t="s">
        <v>27</v>
      </c>
      <c r="I140">
        <v>42346</v>
      </c>
      <c r="J140">
        <v>4</v>
      </c>
      <c r="K140" t="s">
        <v>764</v>
      </c>
      <c r="L140">
        <v>0.2</v>
      </c>
      <c r="M140" t="b">
        <v>0</v>
      </c>
      <c r="N140">
        <v>42341</v>
      </c>
      <c r="O140">
        <v>5</v>
      </c>
      <c r="P140">
        <f t="shared" si="4"/>
        <v>0</v>
      </c>
      <c r="Q140">
        <f>IF(CO_Combined4[[#This Row],[Segment]]="COR",1,0)</f>
        <v>0</v>
      </c>
      <c r="R140">
        <f>IF(CO_Combined4[[#This Row],[Region ]]="E",1,0)</f>
        <v>1</v>
      </c>
      <c r="S140">
        <f>IF(CO_Combined4[[#This Row],[Region ]]="W",1,0)</f>
        <v>0</v>
      </c>
      <c r="T140">
        <f>IF(CO_Combined4[[#This Row],[Region ]]="S",1,0)</f>
        <v>0</v>
      </c>
      <c r="U140">
        <f>IF(CO_Combined4[[#This Row],[Ship Mode]]=1,1,0)</f>
        <v>0</v>
      </c>
      <c r="V140">
        <f>IF(CO_Combined4[[#This Row],[Ship Mode]]=2,1,0)</f>
        <v>0</v>
      </c>
      <c r="W140">
        <f>IF(CO_Combined4[[#This Row],[Ship Mode]]=3,1,0)</f>
        <v>0</v>
      </c>
      <c r="X140">
        <f t="shared" si="5"/>
        <v>1</v>
      </c>
      <c r="Y140">
        <v>4</v>
      </c>
      <c r="Z140">
        <v>1</v>
      </c>
    </row>
    <row r="141" spans="1:26" x14ac:dyDescent="0.2">
      <c r="A141" t="s">
        <v>984</v>
      </c>
      <c r="B141" t="s">
        <v>510</v>
      </c>
      <c r="C141" t="s">
        <v>289</v>
      </c>
      <c r="D141" t="s">
        <v>9</v>
      </c>
      <c r="E141" t="s">
        <v>290</v>
      </c>
      <c r="F141" t="s">
        <v>63</v>
      </c>
      <c r="G141">
        <v>28403</v>
      </c>
      <c r="H141" t="s">
        <v>47</v>
      </c>
      <c r="I141">
        <v>42983</v>
      </c>
      <c r="J141">
        <v>3</v>
      </c>
      <c r="K141" t="s">
        <v>985</v>
      </c>
      <c r="L141">
        <v>0</v>
      </c>
      <c r="M141" t="b">
        <v>0</v>
      </c>
      <c r="N141">
        <v>42978</v>
      </c>
      <c r="O141">
        <v>5</v>
      </c>
      <c r="P141">
        <f t="shared" si="4"/>
        <v>1</v>
      </c>
      <c r="Q141">
        <f>IF(CO_Combined4[[#This Row],[Segment]]="COR",1,0)</f>
        <v>0</v>
      </c>
      <c r="R141">
        <f>IF(CO_Combined4[[#This Row],[Region ]]="E",1,0)</f>
        <v>0</v>
      </c>
      <c r="S141">
        <f>IF(CO_Combined4[[#This Row],[Region ]]="W",1,0)</f>
        <v>0</v>
      </c>
      <c r="T141">
        <f>IF(CO_Combined4[[#This Row],[Region ]]="S",1,0)</f>
        <v>1</v>
      </c>
      <c r="U141">
        <f>IF(CO_Combined4[[#This Row],[Ship Mode]]=1,1,0)</f>
        <v>0</v>
      </c>
      <c r="V141">
        <f>IF(CO_Combined4[[#This Row],[Ship Mode]]=2,1,0)</f>
        <v>0</v>
      </c>
      <c r="W141">
        <f>IF(CO_Combined4[[#This Row],[Ship Mode]]=3,1,0)</f>
        <v>1</v>
      </c>
      <c r="X141">
        <f t="shared" si="5"/>
        <v>1</v>
      </c>
      <c r="Y141">
        <v>9</v>
      </c>
      <c r="Z141">
        <v>0</v>
      </c>
    </row>
    <row r="142" spans="1:26" x14ac:dyDescent="0.2">
      <c r="A142" t="s">
        <v>986</v>
      </c>
      <c r="B142" t="s">
        <v>437</v>
      </c>
      <c r="C142" t="s">
        <v>182</v>
      </c>
      <c r="D142" t="s">
        <v>90</v>
      </c>
      <c r="E142" t="s">
        <v>183</v>
      </c>
      <c r="F142" t="s">
        <v>184</v>
      </c>
      <c r="G142">
        <v>6824</v>
      </c>
      <c r="H142" t="s">
        <v>27</v>
      </c>
      <c r="I142">
        <v>43057</v>
      </c>
      <c r="J142">
        <v>3</v>
      </c>
      <c r="K142" t="s">
        <v>987</v>
      </c>
      <c r="L142">
        <v>0</v>
      </c>
      <c r="M142" t="b">
        <v>0</v>
      </c>
      <c r="N142">
        <v>43052</v>
      </c>
      <c r="O142">
        <v>5</v>
      </c>
      <c r="P142">
        <f t="shared" si="4"/>
        <v>0</v>
      </c>
      <c r="Q142">
        <f>IF(CO_Combined4[[#This Row],[Segment]]="COR",1,0)</f>
        <v>0</v>
      </c>
      <c r="R142">
        <f>IF(CO_Combined4[[#This Row],[Region ]]="E",1,0)</f>
        <v>1</v>
      </c>
      <c r="S142">
        <f>IF(CO_Combined4[[#This Row],[Region ]]="W",1,0)</f>
        <v>0</v>
      </c>
      <c r="T142">
        <f>IF(CO_Combined4[[#This Row],[Region ]]="S",1,0)</f>
        <v>0</v>
      </c>
      <c r="U142">
        <f>IF(CO_Combined4[[#This Row],[Ship Mode]]=1,1,0)</f>
        <v>0</v>
      </c>
      <c r="V142">
        <f>IF(CO_Combined4[[#This Row],[Ship Mode]]=2,1,0)</f>
        <v>0</v>
      </c>
      <c r="W142">
        <f>IF(CO_Combined4[[#This Row],[Ship Mode]]=3,1,0)</f>
        <v>1</v>
      </c>
      <c r="X142">
        <f t="shared" si="5"/>
        <v>1</v>
      </c>
      <c r="Y142">
        <v>4</v>
      </c>
      <c r="Z142">
        <v>0</v>
      </c>
    </row>
    <row r="143" spans="1:26" x14ac:dyDescent="0.2">
      <c r="A143" t="s">
        <v>988</v>
      </c>
      <c r="B143" t="s">
        <v>427</v>
      </c>
      <c r="C143" t="s">
        <v>167</v>
      </c>
      <c r="D143" t="s">
        <v>150</v>
      </c>
      <c r="E143" t="s">
        <v>25</v>
      </c>
      <c r="F143" t="s">
        <v>26</v>
      </c>
      <c r="G143">
        <v>10009</v>
      </c>
      <c r="H143" t="s">
        <v>27</v>
      </c>
      <c r="I143">
        <v>43098</v>
      </c>
      <c r="J143">
        <v>4</v>
      </c>
      <c r="K143" t="s">
        <v>989</v>
      </c>
      <c r="L143">
        <v>0</v>
      </c>
      <c r="M143" t="b">
        <v>0</v>
      </c>
      <c r="N143">
        <v>43093</v>
      </c>
      <c r="O143">
        <v>5</v>
      </c>
      <c r="P143">
        <f t="shared" si="4"/>
        <v>0</v>
      </c>
      <c r="Q143">
        <f>IF(CO_Combined4[[#This Row],[Segment]]="COR",1,0)</f>
        <v>1</v>
      </c>
      <c r="R143">
        <f>IF(CO_Combined4[[#This Row],[Region ]]="E",1,0)</f>
        <v>1</v>
      </c>
      <c r="S143">
        <f>IF(CO_Combined4[[#This Row],[Region ]]="W",1,0)</f>
        <v>0</v>
      </c>
      <c r="T143">
        <f>IF(CO_Combined4[[#This Row],[Region ]]="S",1,0)</f>
        <v>0</v>
      </c>
      <c r="U143">
        <f>IF(CO_Combined4[[#This Row],[Ship Mode]]=1,1,0)</f>
        <v>0</v>
      </c>
      <c r="V143">
        <f>IF(CO_Combined4[[#This Row],[Ship Mode]]=2,1,0)</f>
        <v>0</v>
      </c>
      <c r="W143">
        <f>IF(CO_Combined4[[#This Row],[Ship Mode]]=3,1,0)</f>
        <v>0</v>
      </c>
      <c r="X143">
        <f t="shared" si="5"/>
        <v>1</v>
      </c>
      <c r="Y143">
        <v>1</v>
      </c>
      <c r="Z143">
        <v>0</v>
      </c>
    </row>
    <row r="144" spans="1:26" x14ac:dyDescent="0.2">
      <c r="A144" t="s">
        <v>990</v>
      </c>
      <c r="B144" t="s">
        <v>414</v>
      </c>
      <c r="C144" t="s">
        <v>144</v>
      </c>
      <c r="D144" t="s">
        <v>90</v>
      </c>
      <c r="E144" t="s">
        <v>145</v>
      </c>
      <c r="F144" t="s">
        <v>146</v>
      </c>
      <c r="G144">
        <v>39212</v>
      </c>
      <c r="H144" t="s">
        <v>47</v>
      </c>
      <c r="I144">
        <v>42728</v>
      </c>
      <c r="J144">
        <v>4</v>
      </c>
      <c r="K144" t="s">
        <v>992</v>
      </c>
      <c r="L144">
        <v>0</v>
      </c>
      <c r="M144" t="b">
        <v>0</v>
      </c>
      <c r="N144">
        <v>42724</v>
      </c>
      <c r="O144">
        <v>4</v>
      </c>
      <c r="P144">
        <f t="shared" si="4"/>
        <v>0</v>
      </c>
      <c r="Q144">
        <f>IF(CO_Combined4[[#This Row],[Segment]]="COR",1,0)</f>
        <v>0</v>
      </c>
      <c r="R144">
        <f>IF(CO_Combined4[[#This Row],[Region ]]="E",1,0)</f>
        <v>0</v>
      </c>
      <c r="S144">
        <f>IF(CO_Combined4[[#This Row],[Region ]]="W",1,0)</f>
        <v>0</v>
      </c>
      <c r="T144">
        <f>IF(CO_Combined4[[#This Row],[Region ]]="S",1,0)</f>
        <v>1</v>
      </c>
      <c r="U144">
        <f>IF(CO_Combined4[[#This Row],[Ship Mode]]=1,1,0)</f>
        <v>0</v>
      </c>
      <c r="V144">
        <f>IF(CO_Combined4[[#This Row],[Ship Mode]]=2,1,0)</f>
        <v>0</v>
      </c>
      <c r="W144">
        <f>IF(CO_Combined4[[#This Row],[Ship Mode]]=3,1,0)</f>
        <v>0</v>
      </c>
      <c r="X144">
        <f t="shared" si="5"/>
        <v>1</v>
      </c>
      <c r="Y144">
        <v>6</v>
      </c>
      <c r="Z144">
        <v>0</v>
      </c>
    </row>
    <row r="145" spans="1:26" x14ac:dyDescent="0.2">
      <c r="A145" t="s">
        <v>993</v>
      </c>
      <c r="B145" t="s">
        <v>526</v>
      </c>
      <c r="C145" t="s">
        <v>313</v>
      </c>
      <c r="D145" t="s">
        <v>9</v>
      </c>
      <c r="E145" t="s">
        <v>314</v>
      </c>
      <c r="F145" t="s">
        <v>315</v>
      </c>
      <c r="G145">
        <v>80525</v>
      </c>
      <c r="H145" t="s">
        <v>18</v>
      </c>
      <c r="I145">
        <v>41936</v>
      </c>
      <c r="J145">
        <v>1</v>
      </c>
      <c r="K145" t="s">
        <v>994</v>
      </c>
      <c r="L145">
        <v>0</v>
      </c>
      <c r="M145" t="b">
        <v>0</v>
      </c>
      <c r="N145">
        <v>41936</v>
      </c>
      <c r="O145">
        <v>0</v>
      </c>
      <c r="P145">
        <f t="shared" si="4"/>
        <v>1</v>
      </c>
      <c r="Q145">
        <f>IF(CO_Combined4[[#This Row],[Segment]]="COR",1,0)</f>
        <v>0</v>
      </c>
      <c r="R145">
        <f>IF(CO_Combined4[[#This Row],[Region ]]="E",1,0)</f>
        <v>0</v>
      </c>
      <c r="S145">
        <f>IF(CO_Combined4[[#This Row],[Region ]]="W",1,0)</f>
        <v>1</v>
      </c>
      <c r="T145">
        <f>IF(CO_Combined4[[#This Row],[Region ]]="S",1,0)</f>
        <v>0</v>
      </c>
      <c r="U145">
        <f>IF(CO_Combined4[[#This Row],[Ship Mode]]=1,1,0)</f>
        <v>1</v>
      </c>
      <c r="V145">
        <f>IF(CO_Combined4[[#This Row],[Ship Mode]]=2,1,0)</f>
        <v>0</v>
      </c>
      <c r="W145">
        <f>IF(CO_Combined4[[#This Row],[Ship Mode]]=3,1,0)</f>
        <v>0</v>
      </c>
      <c r="X145">
        <f t="shared" si="5"/>
        <v>1</v>
      </c>
      <c r="Y145">
        <v>3</v>
      </c>
      <c r="Z145">
        <v>0</v>
      </c>
    </row>
    <row r="146" spans="1:26" x14ac:dyDescent="0.2">
      <c r="A146" t="s">
        <v>995</v>
      </c>
      <c r="B146" t="s">
        <v>494</v>
      </c>
      <c r="C146" t="s">
        <v>266</v>
      </c>
      <c r="D146" t="s">
        <v>150</v>
      </c>
      <c r="E146" t="s">
        <v>267</v>
      </c>
      <c r="F146" t="s">
        <v>166</v>
      </c>
      <c r="G146">
        <v>33317</v>
      </c>
      <c r="H146" t="s">
        <v>47</v>
      </c>
      <c r="I146">
        <v>42327</v>
      </c>
      <c r="J146">
        <v>4</v>
      </c>
      <c r="K146" t="s">
        <v>999</v>
      </c>
      <c r="L146">
        <v>0.3666666666666667</v>
      </c>
      <c r="M146" t="b">
        <v>0</v>
      </c>
      <c r="N146">
        <v>42320</v>
      </c>
      <c r="O146">
        <v>7</v>
      </c>
      <c r="P146">
        <f t="shared" si="4"/>
        <v>0</v>
      </c>
      <c r="Q146">
        <f>IF(CO_Combined4[[#This Row],[Segment]]="COR",1,0)</f>
        <v>1</v>
      </c>
      <c r="R146">
        <f>IF(CO_Combined4[[#This Row],[Region ]]="E",1,0)</f>
        <v>0</v>
      </c>
      <c r="S146">
        <f>IF(CO_Combined4[[#This Row],[Region ]]="W",1,0)</f>
        <v>0</v>
      </c>
      <c r="T146">
        <f>IF(CO_Combined4[[#This Row],[Region ]]="S",1,0)</f>
        <v>1</v>
      </c>
      <c r="U146">
        <f>IF(CO_Combined4[[#This Row],[Ship Mode]]=1,1,0)</f>
        <v>0</v>
      </c>
      <c r="V146">
        <f>IF(CO_Combined4[[#This Row],[Ship Mode]]=2,1,0)</f>
        <v>0</v>
      </c>
      <c r="W146">
        <f>IF(CO_Combined4[[#This Row],[Ship Mode]]=3,1,0)</f>
        <v>0</v>
      </c>
      <c r="X146">
        <f t="shared" si="5"/>
        <v>1</v>
      </c>
      <c r="Y146">
        <v>19</v>
      </c>
      <c r="Z146">
        <v>1</v>
      </c>
    </row>
    <row r="147" spans="1:26" x14ac:dyDescent="0.2">
      <c r="A147" t="s">
        <v>1001</v>
      </c>
      <c r="B147" t="s">
        <v>512</v>
      </c>
      <c r="C147" t="s">
        <v>292</v>
      </c>
      <c r="D147" t="s">
        <v>9</v>
      </c>
      <c r="E147" t="s">
        <v>293</v>
      </c>
      <c r="F147" t="s">
        <v>26</v>
      </c>
      <c r="G147">
        <v>14609</v>
      </c>
      <c r="H147" t="s">
        <v>27</v>
      </c>
      <c r="I147">
        <v>43027</v>
      </c>
      <c r="J147">
        <v>4</v>
      </c>
      <c r="K147" t="s">
        <v>1002</v>
      </c>
      <c r="L147">
        <v>0</v>
      </c>
      <c r="M147" t="b">
        <v>0</v>
      </c>
      <c r="N147">
        <v>43025</v>
      </c>
      <c r="O147">
        <v>2</v>
      </c>
      <c r="P147">
        <f t="shared" si="4"/>
        <v>1</v>
      </c>
      <c r="Q147">
        <f>IF(CO_Combined4[[#This Row],[Segment]]="COR",1,0)</f>
        <v>0</v>
      </c>
      <c r="R147">
        <f>IF(CO_Combined4[[#This Row],[Region ]]="E",1,0)</f>
        <v>1</v>
      </c>
      <c r="S147">
        <f>IF(CO_Combined4[[#This Row],[Region ]]="W",1,0)</f>
        <v>0</v>
      </c>
      <c r="T147">
        <f>IF(CO_Combined4[[#This Row],[Region ]]="S",1,0)</f>
        <v>0</v>
      </c>
      <c r="U147">
        <f>IF(CO_Combined4[[#This Row],[Ship Mode]]=1,1,0)</f>
        <v>0</v>
      </c>
      <c r="V147">
        <f>IF(CO_Combined4[[#This Row],[Ship Mode]]=2,1,0)</f>
        <v>0</v>
      </c>
      <c r="W147">
        <f>IF(CO_Combined4[[#This Row],[Ship Mode]]=3,1,0)</f>
        <v>0</v>
      </c>
      <c r="X147">
        <f t="shared" si="5"/>
        <v>1</v>
      </c>
      <c r="Y147">
        <v>4</v>
      </c>
      <c r="Z147">
        <v>0</v>
      </c>
    </row>
    <row r="148" spans="1:26" x14ac:dyDescent="0.2">
      <c r="A148" t="s">
        <v>1003</v>
      </c>
      <c r="B148" t="s">
        <v>397</v>
      </c>
      <c r="C148" t="s">
        <v>109</v>
      </c>
      <c r="D148" t="s">
        <v>9</v>
      </c>
      <c r="E148" t="s">
        <v>110</v>
      </c>
      <c r="F148" t="s">
        <v>22</v>
      </c>
      <c r="G148">
        <v>77581</v>
      </c>
      <c r="H148" t="s">
        <v>12</v>
      </c>
      <c r="I148">
        <v>42892</v>
      </c>
      <c r="J148">
        <v>2</v>
      </c>
      <c r="K148" t="s">
        <v>1004</v>
      </c>
      <c r="L148">
        <v>0.2</v>
      </c>
      <c r="M148" t="b">
        <v>0</v>
      </c>
      <c r="N148">
        <v>42891</v>
      </c>
      <c r="O148">
        <v>1</v>
      </c>
      <c r="P148">
        <f t="shared" si="4"/>
        <v>1</v>
      </c>
      <c r="Q148">
        <f>IF(CO_Combined4[[#This Row],[Segment]]="COR",1,0)</f>
        <v>0</v>
      </c>
      <c r="R148">
        <f>IF(CO_Combined4[[#This Row],[Region ]]="E",1,0)</f>
        <v>0</v>
      </c>
      <c r="S148">
        <f>IF(CO_Combined4[[#This Row],[Region ]]="W",1,0)</f>
        <v>0</v>
      </c>
      <c r="T148">
        <f>IF(CO_Combined4[[#This Row],[Region ]]="S",1,0)</f>
        <v>0</v>
      </c>
      <c r="U148">
        <f>IF(CO_Combined4[[#This Row],[Ship Mode]]=1,1,0)</f>
        <v>0</v>
      </c>
      <c r="V148">
        <f>IF(CO_Combined4[[#This Row],[Ship Mode]]=2,1,0)</f>
        <v>1</v>
      </c>
      <c r="W148">
        <f>IF(CO_Combined4[[#This Row],[Ship Mode]]=3,1,0)</f>
        <v>0</v>
      </c>
      <c r="X148">
        <f t="shared" si="5"/>
        <v>1</v>
      </c>
      <c r="Y148">
        <v>3</v>
      </c>
      <c r="Z148">
        <v>1</v>
      </c>
    </row>
    <row r="149" spans="1:26" x14ac:dyDescent="0.2">
      <c r="A149" t="s">
        <v>1005</v>
      </c>
      <c r="B149" t="s">
        <v>561</v>
      </c>
      <c r="C149" t="s">
        <v>368</v>
      </c>
      <c r="D149" t="s">
        <v>9</v>
      </c>
      <c r="E149" t="s">
        <v>369</v>
      </c>
      <c r="F149" t="s">
        <v>17</v>
      </c>
      <c r="G149">
        <v>93309</v>
      </c>
      <c r="H149" t="s">
        <v>18</v>
      </c>
      <c r="I149">
        <v>42986</v>
      </c>
      <c r="J149">
        <v>4</v>
      </c>
      <c r="K149" t="s">
        <v>1008</v>
      </c>
      <c r="L149">
        <v>6.6666666666666666E-2</v>
      </c>
      <c r="M149" t="b">
        <v>0</v>
      </c>
      <c r="N149">
        <v>42980</v>
      </c>
      <c r="O149">
        <v>6</v>
      </c>
      <c r="P149">
        <f t="shared" si="4"/>
        <v>1</v>
      </c>
      <c r="Q149">
        <f>IF(CO_Combined4[[#This Row],[Segment]]="COR",1,0)</f>
        <v>0</v>
      </c>
      <c r="R149">
        <f>IF(CO_Combined4[[#This Row],[Region ]]="E",1,0)</f>
        <v>0</v>
      </c>
      <c r="S149">
        <f>IF(CO_Combined4[[#This Row],[Region ]]="W",1,0)</f>
        <v>1</v>
      </c>
      <c r="T149">
        <f>IF(CO_Combined4[[#This Row],[Region ]]="S",1,0)</f>
        <v>0</v>
      </c>
      <c r="U149">
        <f>IF(CO_Combined4[[#This Row],[Ship Mode]]=1,1,0)</f>
        <v>0</v>
      </c>
      <c r="V149">
        <f>IF(CO_Combined4[[#This Row],[Ship Mode]]=2,1,0)</f>
        <v>0</v>
      </c>
      <c r="W149">
        <f>IF(CO_Combined4[[#This Row],[Ship Mode]]=3,1,0)</f>
        <v>0</v>
      </c>
      <c r="X149">
        <f t="shared" si="5"/>
        <v>1</v>
      </c>
      <c r="Y149">
        <v>12</v>
      </c>
      <c r="Z149">
        <v>1</v>
      </c>
    </row>
    <row r="150" spans="1:26" x14ac:dyDescent="0.2">
      <c r="A150" t="s">
        <v>1009</v>
      </c>
      <c r="B150" t="s">
        <v>443</v>
      </c>
      <c r="C150" t="s">
        <v>193</v>
      </c>
      <c r="D150" t="s">
        <v>9</v>
      </c>
      <c r="E150" t="s">
        <v>194</v>
      </c>
      <c r="F150" t="s">
        <v>166</v>
      </c>
      <c r="G150">
        <v>33030</v>
      </c>
      <c r="H150" t="s">
        <v>47</v>
      </c>
      <c r="I150">
        <v>43062</v>
      </c>
      <c r="J150">
        <v>4</v>
      </c>
      <c r="K150" t="s">
        <v>922</v>
      </c>
      <c r="L150">
        <v>0.2</v>
      </c>
      <c r="M150" t="b">
        <v>0</v>
      </c>
      <c r="N150">
        <v>43057</v>
      </c>
      <c r="O150">
        <v>5</v>
      </c>
      <c r="P150">
        <f t="shared" si="4"/>
        <v>1</v>
      </c>
      <c r="Q150">
        <f>IF(CO_Combined4[[#This Row],[Segment]]="COR",1,0)</f>
        <v>0</v>
      </c>
      <c r="R150">
        <f>IF(CO_Combined4[[#This Row],[Region ]]="E",1,0)</f>
        <v>0</v>
      </c>
      <c r="S150">
        <f>IF(CO_Combined4[[#This Row],[Region ]]="W",1,0)</f>
        <v>0</v>
      </c>
      <c r="T150">
        <f>IF(CO_Combined4[[#This Row],[Region ]]="S",1,0)</f>
        <v>1</v>
      </c>
      <c r="U150">
        <f>IF(CO_Combined4[[#This Row],[Ship Mode]]=1,1,0)</f>
        <v>0</v>
      </c>
      <c r="V150">
        <f>IF(CO_Combined4[[#This Row],[Ship Mode]]=2,1,0)</f>
        <v>0</v>
      </c>
      <c r="W150">
        <f>IF(CO_Combined4[[#This Row],[Ship Mode]]=3,1,0)</f>
        <v>0</v>
      </c>
      <c r="X150">
        <f t="shared" si="5"/>
        <v>1</v>
      </c>
      <c r="Y150">
        <v>2</v>
      </c>
      <c r="Z150">
        <v>1</v>
      </c>
    </row>
    <row r="151" spans="1:26" x14ac:dyDescent="0.2">
      <c r="A151" t="s">
        <v>1011</v>
      </c>
      <c r="B151" t="s">
        <v>533</v>
      </c>
      <c r="C151" t="s">
        <v>324</v>
      </c>
      <c r="D151" t="s">
        <v>9</v>
      </c>
      <c r="E151" t="s">
        <v>145</v>
      </c>
      <c r="F151" t="s">
        <v>119</v>
      </c>
      <c r="G151">
        <v>49201</v>
      </c>
      <c r="H151" t="s">
        <v>12</v>
      </c>
      <c r="I151">
        <v>41970</v>
      </c>
      <c r="J151">
        <v>3</v>
      </c>
      <c r="K151" t="s">
        <v>1012</v>
      </c>
      <c r="L151">
        <v>0</v>
      </c>
      <c r="M151" t="b">
        <v>0</v>
      </c>
      <c r="N151">
        <v>41968</v>
      </c>
      <c r="O151">
        <v>2</v>
      </c>
      <c r="P151">
        <f t="shared" si="4"/>
        <v>1</v>
      </c>
      <c r="Q151">
        <f>IF(CO_Combined4[[#This Row],[Segment]]="COR",1,0)</f>
        <v>0</v>
      </c>
      <c r="R151">
        <f>IF(CO_Combined4[[#This Row],[Region ]]="E",1,0)</f>
        <v>0</v>
      </c>
      <c r="S151">
        <f>IF(CO_Combined4[[#This Row],[Region ]]="W",1,0)</f>
        <v>0</v>
      </c>
      <c r="T151">
        <f>IF(CO_Combined4[[#This Row],[Region ]]="S",1,0)</f>
        <v>0</v>
      </c>
      <c r="U151">
        <f>IF(CO_Combined4[[#This Row],[Ship Mode]]=1,1,0)</f>
        <v>0</v>
      </c>
      <c r="V151">
        <f>IF(CO_Combined4[[#This Row],[Ship Mode]]=2,1,0)</f>
        <v>0</v>
      </c>
      <c r="W151">
        <f>IF(CO_Combined4[[#This Row],[Ship Mode]]=3,1,0)</f>
        <v>1</v>
      </c>
      <c r="X151">
        <f t="shared" si="5"/>
        <v>1</v>
      </c>
      <c r="Y151">
        <v>2</v>
      </c>
      <c r="Z151">
        <v>0</v>
      </c>
    </row>
    <row r="152" spans="1:26" x14ac:dyDescent="0.2">
      <c r="A152" t="s">
        <v>1013</v>
      </c>
      <c r="B152" t="s">
        <v>64</v>
      </c>
      <c r="C152" t="s">
        <v>65</v>
      </c>
      <c r="D152" t="s">
        <v>9</v>
      </c>
      <c r="E152" t="s">
        <v>66</v>
      </c>
      <c r="F152" t="s">
        <v>67</v>
      </c>
      <c r="G152">
        <v>19013</v>
      </c>
      <c r="H152" t="s">
        <v>27</v>
      </c>
      <c r="I152">
        <v>41817</v>
      </c>
      <c r="J152">
        <v>4</v>
      </c>
      <c r="K152" t="s">
        <v>1015</v>
      </c>
      <c r="L152">
        <v>0.33333333333333331</v>
      </c>
      <c r="M152" t="b">
        <v>1</v>
      </c>
      <c r="N152">
        <v>41812</v>
      </c>
      <c r="O152">
        <v>5</v>
      </c>
      <c r="P152">
        <f t="shared" si="4"/>
        <v>1</v>
      </c>
      <c r="Q152">
        <f>IF(CO_Combined4[[#This Row],[Segment]]="COR",1,0)</f>
        <v>0</v>
      </c>
      <c r="R152">
        <f>IF(CO_Combined4[[#This Row],[Region ]]="E",1,0)</f>
        <v>1</v>
      </c>
      <c r="S152">
        <f>IF(CO_Combined4[[#This Row],[Region ]]="W",1,0)</f>
        <v>0</v>
      </c>
      <c r="T152">
        <f>IF(CO_Combined4[[#This Row],[Region ]]="S",1,0)</f>
        <v>0</v>
      </c>
      <c r="U152">
        <f>IF(CO_Combined4[[#This Row],[Ship Mode]]=1,1,0)</f>
        <v>0</v>
      </c>
      <c r="V152">
        <f>IF(CO_Combined4[[#This Row],[Ship Mode]]=2,1,0)</f>
        <v>0</v>
      </c>
      <c r="W152">
        <f>IF(CO_Combined4[[#This Row],[Ship Mode]]=3,1,0)</f>
        <v>0</v>
      </c>
      <c r="X152">
        <f t="shared" si="5"/>
        <v>0</v>
      </c>
      <c r="Y152">
        <v>11</v>
      </c>
      <c r="Z152">
        <v>1</v>
      </c>
    </row>
    <row r="153" spans="1:26" x14ac:dyDescent="0.2">
      <c r="A153" t="s">
        <v>1017</v>
      </c>
      <c r="B153" t="s">
        <v>507</v>
      </c>
      <c r="C153" t="s">
        <v>285</v>
      </c>
      <c r="D153" t="s">
        <v>150</v>
      </c>
      <c r="E153" t="s">
        <v>16</v>
      </c>
      <c r="F153" t="s">
        <v>17</v>
      </c>
      <c r="G153">
        <v>94110</v>
      </c>
      <c r="H153" t="s">
        <v>18</v>
      </c>
      <c r="I153">
        <v>42006</v>
      </c>
      <c r="J153">
        <v>4</v>
      </c>
      <c r="K153" t="s">
        <v>1021</v>
      </c>
      <c r="L153">
        <v>8.5714285714285729E-2</v>
      </c>
      <c r="M153" t="b">
        <v>0</v>
      </c>
      <c r="N153">
        <v>42002</v>
      </c>
      <c r="O153">
        <v>4</v>
      </c>
      <c r="P153">
        <f t="shared" si="4"/>
        <v>0</v>
      </c>
      <c r="Q153">
        <f>IF(CO_Combined4[[#This Row],[Segment]]="COR",1,0)</f>
        <v>1</v>
      </c>
      <c r="R153">
        <f>IF(CO_Combined4[[#This Row],[Region ]]="E",1,0)</f>
        <v>0</v>
      </c>
      <c r="S153">
        <f>IF(CO_Combined4[[#This Row],[Region ]]="W",1,0)</f>
        <v>1</v>
      </c>
      <c r="T153">
        <f>IF(CO_Combined4[[#This Row],[Region ]]="S",1,0)</f>
        <v>0</v>
      </c>
      <c r="U153">
        <f>IF(CO_Combined4[[#This Row],[Ship Mode]]=1,1,0)</f>
        <v>0</v>
      </c>
      <c r="V153">
        <f>IF(CO_Combined4[[#This Row],[Ship Mode]]=2,1,0)</f>
        <v>0</v>
      </c>
      <c r="W153">
        <f>IF(CO_Combined4[[#This Row],[Ship Mode]]=3,1,0)</f>
        <v>0</v>
      </c>
      <c r="X153">
        <f t="shared" si="5"/>
        <v>1</v>
      </c>
      <c r="Y153">
        <v>36</v>
      </c>
      <c r="Z153">
        <v>1</v>
      </c>
    </row>
    <row r="154" spans="1:26" x14ac:dyDescent="0.2">
      <c r="A154" t="s">
        <v>1024</v>
      </c>
      <c r="B154" t="s">
        <v>425</v>
      </c>
      <c r="C154" t="s">
        <v>163</v>
      </c>
      <c r="D154" t="s">
        <v>9</v>
      </c>
      <c r="E154" t="s">
        <v>85</v>
      </c>
      <c r="F154" t="s">
        <v>86</v>
      </c>
      <c r="G154">
        <v>98105</v>
      </c>
      <c r="H154" t="s">
        <v>18</v>
      </c>
      <c r="I154">
        <v>42701</v>
      </c>
      <c r="J154">
        <v>2</v>
      </c>
      <c r="K154" t="s">
        <v>1025</v>
      </c>
      <c r="L154">
        <v>0.2</v>
      </c>
      <c r="M154" t="b">
        <v>0</v>
      </c>
      <c r="N154">
        <v>42698</v>
      </c>
      <c r="O154">
        <v>3</v>
      </c>
      <c r="P154">
        <f t="shared" si="4"/>
        <v>1</v>
      </c>
      <c r="Q154">
        <f>IF(CO_Combined4[[#This Row],[Segment]]="COR",1,0)</f>
        <v>0</v>
      </c>
      <c r="R154">
        <f>IF(CO_Combined4[[#This Row],[Region ]]="E",1,0)</f>
        <v>0</v>
      </c>
      <c r="S154">
        <f>IF(CO_Combined4[[#This Row],[Region ]]="W",1,0)</f>
        <v>1</v>
      </c>
      <c r="T154">
        <f>IF(CO_Combined4[[#This Row],[Region ]]="S",1,0)</f>
        <v>0</v>
      </c>
      <c r="U154">
        <f>IF(CO_Combined4[[#This Row],[Ship Mode]]=1,1,0)</f>
        <v>0</v>
      </c>
      <c r="V154">
        <f>IF(CO_Combined4[[#This Row],[Ship Mode]]=2,1,0)</f>
        <v>1</v>
      </c>
      <c r="W154">
        <f>IF(CO_Combined4[[#This Row],[Ship Mode]]=3,1,0)</f>
        <v>0</v>
      </c>
      <c r="X154">
        <f t="shared" si="5"/>
        <v>1</v>
      </c>
      <c r="Y154">
        <v>5</v>
      </c>
      <c r="Z154">
        <v>1</v>
      </c>
    </row>
    <row r="155" spans="1:26" x14ac:dyDescent="0.2">
      <c r="A155" t="s">
        <v>1026</v>
      </c>
      <c r="B155" t="s">
        <v>418</v>
      </c>
      <c r="C155" t="s">
        <v>152</v>
      </c>
      <c r="D155" t="s">
        <v>150</v>
      </c>
      <c r="E155" t="s">
        <v>153</v>
      </c>
      <c r="F155" t="s">
        <v>124</v>
      </c>
      <c r="G155">
        <v>60623</v>
      </c>
      <c r="H155" t="s">
        <v>12</v>
      </c>
      <c r="I155">
        <v>41968</v>
      </c>
      <c r="J155">
        <v>4</v>
      </c>
      <c r="K155" t="s">
        <v>1027</v>
      </c>
      <c r="L155">
        <v>0.8</v>
      </c>
      <c r="M155" t="b">
        <v>0</v>
      </c>
      <c r="N155">
        <v>41961</v>
      </c>
      <c r="O155">
        <v>7</v>
      </c>
      <c r="P155">
        <f t="shared" si="4"/>
        <v>0</v>
      </c>
      <c r="Q155">
        <f>IF(CO_Combined4[[#This Row],[Segment]]="COR",1,0)</f>
        <v>1</v>
      </c>
      <c r="R155">
        <f>IF(CO_Combined4[[#This Row],[Region ]]="E",1,0)</f>
        <v>0</v>
      </c>
      <c r="S155">
        <f>IF(CO_Combined4[[#This Row],[Region ]]="W",1,0)</f>
        <v>0</v>
      </c>
      <c r="T155">
        <f>IF(CO_Combined4[[#This Row],[Region ]]="S",1,0)</f>
        <v>0</v>
      </c>
      <c r="U155">
        <f>IF(CO_Combined4[[#This Row],[Ship Mode]]=1,1,0)</f>
        <v>0</v>
      </c>
      <c r="V155">
        <f>IF(CO_Combined4[[#This Row],[Ship Mode]]=2,1,0)</f>
        <v>0</v>
      </c>
      <c r="W155">
        <f>IF(CO_Combined4[[#This Row],[Ship Mode]]=3,1,0)</f>
        <v>0</v>
      </c>
      <c r="X155">
        <f t="shared" si="5"/>
        <v>1</v>
      </c>
      <c r="Y155">
        <v>5</v>
      </c>
      <c r="Z155">
        <v>1</v>
      </c>
    </row>
    <row r="156" spans="1:26" x14ac:dyDescent="0.2">
      <c r="A156" t="s">
        <v>1028</v>
      </c>
      <c r="B156" t="s">
        <v>526</v>
      </c>
      <c r="C156" t="s">
        <v>313</v>
      </c>
      <c r="D156" t="s">
        <v>9</v>
      </c>
      <c r="E156" t="s">
        <v>314</v>
      </c>
      <c r="F156" t="s">
        <v>315</v>
      </c>
      <c r="G156">
        <v>80525</v>
      </c>
      <c r="H156" t="s">
        <v>18</v>
      </c>
      <c r="I156">
        <v>42483</v>
      </c>
      <c r="J156">
        <v>1</v>
      </c>
      <c r="K156" t="s">
        <v>1029</v>
      </c>
      <c r="L156">
        <v>0</v>
      </c>
      <c r="M156" t="b">
        <v>1</v>
      </c>
      <c r="N156">
        <v>42476</v>
      </c>
      <c r="O156">
        <v>7</v>
      </c>
      <c r="P156">
        <f t="shared" si="4"/>
        <v>1</v>
      </c>
      <c r="Q156">
        <f>IF(CO_Combined4[[#This Row],[Segment]]="COR",1,0)</f>
        <v>0</v>
      </c>
      <c r="R156">
        <f>IF(CO_Combined4[[#This Row],[Region ]]="E",1,0)</f>
        <v>0</v>
      </c>
      <c r="S156">
        <f>IF(CO_Combined4[[#This Row],[Region ]]="W",1,0)</f>
        <v>1</v>
      </c>
      <c r="T156">
        <f>IF(CO_Combined4[[#This Row],[Region ]]="S",1,0)</f>
        <v>0</v>
      </c>
      <c r="U156">
        <f>IF(CO_Combined4[[#This Row],[Ship Mode]]=1,1,0)</f>
        <v>1</v>
      </c>
      <c r="V156">
        <f>IF(CO_Combined4[[#This Row],[Ship Mode]]=2,1,0)</f>
        <v>0</v>
      </c>
      <c r="W156">
        <f>IF(CO_Combined4[[#This Row],[Ship Mode]]=3,1,0)</f>
        <v>0</v>
      </c>
      <c r="X156">
        <f t="shared" si="5"/>
        <v>0</v>
      </c>
      <c r="Y156">
        <v>3</v>
      </c>
      <c r="Z156">
        <v>0</v>
      </c>
    </row>
    <row r="157" spans="1:26" x14ac:dyDescent="0.2">
      <c r="A157" t="s">
        <v>1030</v>
      </c>
      <c r="B157" t="s">
        <v>490</v>
      </c>
      <c r="C157" t="s">
        <v>262</v>
      </c>
      <c r="D157" t="s">
        <v>9</v>
      </c>
      <c r="E157" t="s">
        <v>25</v>
      </c>
      <c r="F157" t="s">
        <v>26</v>
      </c>
      <c r="G157">
        <v>10035</v>
      </c>
      <c r="H157" t="s">
        <v>27</v>
      </c>
      <c r="I157">
        <v>42873</v>
      </c>
      <c r="J157">
        <v>4</v>
      </c>
      <c r="K157" t="s">
        <v>1031</v>
      </c>
      <c r="L157">
        <v>0</v>
      </c>
      <c r="M157" t="b">
        <v>0</v>
      </c>
      <c r="N157">
        <v>42869</v>
      </c>
      <c r="O157">
        <v>4</v>
      </c>
      <c r="P157">
        <f t="shared" si="4"/>
        <v>1</v>
      </c>
      <c r="Q157">
        <f>IF(CO_Combined4[[#This Row],[Segment]]="COR",1,0)</f>
        <v>0</v>
      </c>
      <c r="R157">
        <f>IF(CO_Combined4[[#This Row],[Region ]]="E",1,0)</f>
        <v>1</v>
      </c>
      <c r="S157">
        <f>IF(CO_Combined4[[#This Row],[Region ]]="W",1,0)</f>
        <v>0</v>
      </c>
      <c r="T157">
        <f>IF(CO_Combined4[[#This Row],[Region ]]="S",1,0)</f>
        <v>0</v>
      </c>
      <c r="U157">
        <f>IF(CO_Combined4[[#This Row],[Ship Mode]]=1,1,0)</f>
        <v>0</v>
      </c>
      <c r="V157">
        <f>IF(CO_Combined4[[#This Row],[Ship Mode]]=2,1,0)</f>
        <v>0</v>
      </c>
      <c r="W157">
        <f>IF(CO_Combined4[[#This Row],[Ship Mode]]=3,1,0)</f>
        <v>0</v>
      </c>
      <c r="X157">
        <f t="shared" si="5"/>
        <v>1</v>
      </c>
      <c r="Y157">
        <v>5</v>
      </c>
      <c r="Z157">
        <v>0</v>
      </c>
    </row>
    <row r="158" spans="1:26" x14ac:dyDescent="0.2">
      <c r="A158" t="s">
        <v>1033</v>
      </c>
      <c r="B158" t="s">
        <v>535</v>
      </c>
      <c r="C158" t="s">
        <v>326</v>
      </c>
      <c r="D158" t="s">
        <v>150</v>
      </c>
      <c r="E158" t="s">
        <v>327</v>
      </c>
      <c r="F158" t="s">
        <v>86</v>
      </c>
      <c r="G158">
        <v>98661</v>
      </c>
      <c r="H158" t="s">
        <v>18</v>
      </c>
      <c r="I158">
        <v>42076</v>
      </c>
      <c r="J158">
        <v>3</v>
      </c>
      <c r="K158" t="s">
        <v>1034</v>
      </c>
      <c r="L158">
        <v>0</v>
      </c>
      <c r="M158" t="b">
        <v>0</v>
      </c>
      <c r="N158">
        <v>42071</v>
      </c>
      <c r="O158">
        <v>5</v>
      </c>
      <c r="P158">
        <f t="shared" si="4"/>
        <v>0</v>
      </c>
      <c r="Q158">
        <f>IF(CO_Combined4[[#This Row],[Segment]]="COR",1,0)</f>
        <v>1</v>
      </c>
      <c r="R158">
        <f>IF(CO_Combined4[[#This Row],[Region ]]="E",1,0)</f>
        <v>0</v>
      </c>
      <c r="S158">
        <f>IF(CO_Combined4[[#This Row],[Region ]]="W",1,0)</f>
        <v>1</v>
      </c>
      <c r="T158">
        <f>IF(CO_Combined4[[#This Row],[Region ]]="S",1,0)</f>
        <v>0</v>
      </c>
      <c r="U158">
        <f>IF(CO_Combined4[[#This Row],[Ship Mode]]=1,1,0)</f>
        <v>0</v>
      </c>
      <c r="V158">
        <f>IF(CO_Combined4[[#This Row],[Ship Mode]]=2,1,0)</f>
        <v>0</v>
      </c>
      <c r="W158">
        <f>IF(CO_Combined4[[#This Row],[Ship Mode]]=3,1,0)</f>
        <v>1</v>
      </c>
      <c r="X158">
        <f t="shared" si="5"/>
        <v>1</v>
      </c>
      <c r="Y158">
        <v>3</v>
      </c>
      <c r="Z158">
        <v>0</v>
      </c>
    </row>
    <row r="159" spans="1:26" x14ac:dyDescent="0.2">
      <c r="A159" t="s">
        <v>1035</v>
      </c>
      <c r="B159" t="s">
        <v>450</v>
      </c>
      <c r="C159" t="s">
        <v>203</v>
      </c>
      <c r="D159" t="s">
        <v>150</v>
      </c>
      <c r="E159" t="s">
        <v>16</v>
      </c>
      <c r="F159" t="s">
        <v>17</v>
      </c>
      <c r="G159">
        <v>94122</v>
      </c>
      <c r="H159" t="s">
        <v>18</v>
      </c>
      <c r="I159">
        <v>42711</v>
      </c>
      <c r="J159">
        <v>2</v>
      </c>
      <c r="K159" t="s">
        <v>1036</v>
      </c>
      <c r="L159">
        <v>0</v>
      </c>
      <c r="M159" t="b">
        <v>0</v>
      </c>
      <c r="N159">
        <v>42709</v>
      </c>
      <c r="O159">
        <v>2</v>
      </c>
      <c r="P159">
        <f t="shared" si="4"/>
        <v>0</v>
      </c>
      <c r="Q159">
        <f>IF(CO_Combined4[[#This Row],[Segment]]="COR",1,0)</f>
        <v>1</v>
      </c>
      <c r="R159">
        <f>IF(CO_Combined4[[#This Row],[Region ]]="E",1,0)</f>
        <v>0</v>
      </c>
      <c r="S159">
        <f>IF(CO_Combined4[[#This Row],[Region ]]="W",1,0)</f>
        <v>1</v>
      </c>
      <c r="T159">
        <f>IF(CO_Combined4[[#This Row],[Region ]]="S",1,0)</f>
        <v>0</v>
      </c>
      <c r="U159">
        <f>IF(CO_Combined4[[#This Row],[Ship Mode]]=1,1,0)</f>
        <v>0</v>
      </c>
      <c r="V159">
        <f>IF(CO_Combined4[[#This Row],[Ship Mode]]=2,1,0)</f>
        <v>1</v>
      </c>
      <c r="W159">
        <f>IF(CO_Combined4[[#This Row],[Ship Mode]]=3,1,0)</f>
        <v>0</v>
      </c>
      <c r="X159">
        <f t="shared" si="5"/>
        <v>1</v>
      </c>
      <c r="Y159">
        <v>1</v>
      </c>
      <c r="Z159">
        <v>0</v>
      </c>
    </row>
    <row r="160" spans="1:26" x14ac:dyDescent="0.2">
      <c r="A160" t="s">
        <v>1037</v>
      </c>
      <c r="B160" t="s">
        <v>516</v>
      </c>
      <c r="C160" t="s">
        <v>300</v>
      </c>
      <c r="D160" t="s">
        <v>90</v>
      </c>
      <c r="E160" t="s">
        <v>246</v>
      </c>
      <c r="F160" t="s">
        <v>59</v>
      </c>
      <c r="G160">
        <v>2920</v>
      </c>
      <c r="H160" t="s">
        <v>27</v>
      </c>
      <c r="I160">
        <v>41945</v>
      </c>
      <c r="J160">
        <v>3</v>
      </c>
      <c r="K160" t="s">
        <v>1039</v>
      </c>
      <c r="L160">
        <v>4.2857142857142858E-2</v>
      </c>
      <c r="M160" t="b">
        <v>1</v>
      </c>
      <c r="N160">
        <v>41943</v>
      </c>
      <c r="O160">
        <v>2</v>
      </c>
      <c r="P160">
        <f t="shared" si="4"/>
        <v>0</v>
      </c>
      <c r="Q160">
        <f>IF(CO_Combined4[[#This Row],[Segment]]="COR",1,0)</f>
        <v>0</v>
      </c>
      <c r="R160">
        <f>IF(CO_Combined4[[#This Row],[Region ]]="E",1,0)</f>
        <v>1</v>
      </c>
      <c r="S160">
        <f>IF(CO_Combined4[[#This Row],[Region ]]="W",1,0)</f>
        <v>0</v>
      </c>
      <c r="T160">
        <f>IF(CO_Combined4[[#This Row],[Region ]]="S",1,0)</f>
        <v>0</v>
      </c>
      <c r="U160">
        <f>IF(CO_Combined4[[#This Row],[Ship Mode]]=1,1,0)</f>
        <v>0</v>
      </c>
      <c r="V160">
        <f>IF(CO_Combined4[[#This Row],[Ship Mode]]=2,1,0)</f>
        <v>0</v>
      </c>
      <c r="W160">
        <f>IF(CO_Combined4[[#This Row],[Ship Mode]]=3,1,0)</f>
        <v>1</v>
      </c>
      <c r="X160">
        <f t="shared" si="5"/>
        <v>0</v>
      </c>
      <c r="Y160">
        <v>20</v>
      </c>
      <c r="Z160">
        <v>1</v>
      </c>
    </row>
    <row r="161" spans="1:26" x14ac:dyDescent="0.2">
      <c r="A161" t="s">
        <v>1045</v>
      </c>
      <c r="B161" t="s">
        <v>492</v>
      </c>
      <c r="C161" t="s">
        <v>264</v>
      </c>
      <c r="D161" t="s">
        <v>9</v>
      </c>
      <c r="E161" t="s">
        <v>153</v>
      </c>
      <c r="F161" t="s">
        <v>124</v>
      </c>
      <c r="G161">
        <v>60623</v>
      </c>
      <c r="H161" t="s">
        <v>12</v>
      </c>
      <c r="I161">
        <v>43083</v>
      </c>
      <c r="J161">
        <v>4</v>
      </c>
      <c r="K161" t="s">
        <v>1046</v>
      </c>
      <c r="L161">
        <v>0.2</v>
      </c>
      <c r="M161" t="b">
        <v>0</v>
      </c>
      <c r="N161">
        <v>43078</v>
      </c>
      <c r="O161">
        <v>5</v>
      </c>
      <c r="P161">
        <f t="shared" si="4"/>
        <v>1</v>
      </c>
      <c r="Q161">
        <f>IF(CO_Combined4[[#This Row],[Segment]]="COR",1,0)</f>
        <v>0</v>
      </c>
      <c r="R161">
        <f>IF(CO_Combined4[[#This Row],[Region ]]="E",1,0)</f>
        <v>0</v>
      </c>
      <c r="S161">
        <f>IF(CO_Combined4[[#This Row],[Region ]]="W",1,0)</f>
        <v>0</v>
      </c>
      <c r="T161">
        <f>IF(CO_Combined4[[#This Row],[Region ]]="S",1,0)</f>
        <v>0</v>
      </c>
      <c r="U161">
        <f>IF(CO_Combined4[[#This Row],[Ship Mode]]=1,1,0)</f>
        <v>0</v>
      </c>
      <c r="V161">
        <f>IF(CO_Combined4[[#This Row],[Ship Mode]]=2,1,0)</f>
        <v>0</v>
      </c>
      <c r="W161">
        <f>IF(CO_Combined4[[#This Row],[Ship Mode]]=3,1,0)</f>
        <v>0</v>
      </c>
      <c r="X161">
        <f t="shared" si="5"/>
        <v>1</v>
      </c>
      <c r="Y161">
        <v>2</v>
      </c>
      <c r="Z161">
        <v>1</v>
      </c>
    </row>
    <row r="162" spans="1:26" x14ac:dyDescent="0.2">
      <c r="A162" t="s">
        <v>1047</v>
      </c>
      <c r="B162" t="s">
        <v>419</v>
      </c>
      <c r="C162" t="s">
        <v>154</v>
      </c>
      <c r="D162" t="s">
        <v>150</v>
      </c>
      <c r="E162" t="s">
        <v>38</v>
      </c>
      <c r="F162" t="s">
        <v>17</v>
      </c>
      <c r="G162">
        <v>90004</v>
      </c>
      <c r="H162" t="s">
        <v>18</v>
      </c>
      <c r="I162">
        <v>42057</v>
      </c>
      <c r="J162">
        <v>4</v>
      </c>
      <c r="K162" t="s">
        <v>1048</v>
      </c>
      <c r="L162">
        <v>0</v>
      </c>
      <c r="M162" t="b">
        <v>0</v>
      </c>
      <c r="N162">
        <v>42053</v>
      </c>
      <c r="O162">
        <v>4</v>
      </c>
      <c r="P162">
        <f t="shared" si="4"/>
        <v>0</v>
      </c>
      <c r="Q162">
        <f>IF(CO_Combined4[[#This Row],[Segment]]="COR",1,0)</f>
        <v>1</v>
      </c>
      <c r="R162">
        <f>IF(CO_Combined4[[#This Row],[Region ]]="E",1,0)</f>
        <v>0</v>
      </c>
      <c r="S162">
        <f>IF(CO_Combined4[[#This Row],[Region ]]="W",1,0)</f>
        <v>1</v>
      </c>
      <c r="T162">
        <f>IF(CO_Combined4[[#This Row],[Region ]]="S",1,0)</f>
        <v>0</v>
      </c>
      <c r="U162">
        <f>IF(CO_Combined4[[#This Row],[Ship Mode]]=1,1,0)</f>
        <v>0</v>
      </c>
      <c r="V162">
        <f>IF(CO_Combined4[[#This Row],[Ship Mode]]=2,1,0)</f>
        <v>0</v>
      </c>
      <c r="W162">
        <f>IF(CO_Combined4[[#This Row],[Ship Mode]]=3,1,0)</f>
        <v>0</v>
      </c>
      <c r="X162">
        <f t="shared" si="5"/>
        <v>1</v>
      </c>
      <c r="Y162">
        <v>3</v>
      </c>
      <c r="Z162">
        <v>0</v>
      </c>
    </row>
    <row r="163" spans="1:26" x14ac:dyDescent="0.2">
      <c r="A163" t="s">
        <v>1049</v>
      </c>
      <c r="B163" t="s">
        <v>516</v>
      </c>
      <c r="C163" t="s">
        <v>300</v>
      </c>
      <c r="D163" t="s">
        <v>90</v>
      </c>
      <c r="E163" t="s">
        <v>246</v>
      </c>
      <c r="F163" t="s">
        <v>59</v>
      </c>
      <c r="G163">
        <v>2920</v>
      </c>
      <c r="H163" t="s">
        <v>27</v>
      </c>
      <c r="I163">
        <v>42915</v>
      </c>
      <c r="J163">
        <v>3</v>
      </c>
      <c r="K163" t="s">
        <v>1050</v>
      </c>
      <c r="L163">
        <v>0</v>
      </c>
      <c r="M163" t="b">
        <v>0</v>
      </c>
      <c r="N163">
        <v>42911</v>
      </c>
      <c r="O163">
        <v>4</v>
      </c>
      <c r="P163">
        <f t="shared" si="4"/>
        <v>0</v>
      </c>
      <c r="Q163">
        <f>IF(CO_Combined4[[#This Row],[Segment]]="COR",1,0)</f>
        <v>0</v>
      </c>
      <c r="R163">
        <f>IF(CO_Combined4[[#This Row],[Region ]]="E",1,0)</f>
        <v>1</v>
      </c>
      <c r="S163">
        <f>IF(CO_Combined4[[#This Row],[Region ]]="W",1,0)</f>
        <v>0</v>
      </c>
      <c r="T163">
        <f>IF(CO_Combined4[[#This Row],[Region ]]="S",1,0)</f>
        <v>0</v>
      </c>
      <c r="U163">
        <f>IF(CO_Combined4[[#This Row],[Ship Mode]]=1,1,0)</f>
        <v>0</v>
      </c>
      <c r="V163">
        <f>IF(CO_Combined4[[#This Row],[Ship Mode]]=2,1,0)</f>
        <v>0</v>
      </c>
      <c r="W163">
        <f>IF(CO_Combined4[[#This Row],[Ship Mode]]=3,1,0)</f>
        <v>1</v>
      </c>
      <c r="X163">
        <f t="shared" si="5"/>
        <v>1</v>
      </c>
      <c r="Y163">
        <v>4</v>
      </c>
      <c r="Z163">
        <v>0</v>
      </c>
    </row>
    <row r="164" spans="1:26" x14ac:dyDescent="0.2">
      <c r="A164" t="s">
        <v>1051</v>
      </c>
      <c r="B164" t="s">
        <v>453</v>
      </c>
      <c r="C164" t="s">
        <v>207</v>
      </c>
      <c r="D164" t="s">
        <v>150</v>
      </c>
      <c r="E164" t="s">
        <v>208</v>
      </c>
      <c r="F164" t="s">
        <v>31</v>
      </c>
      <c r="G164">
        <v>85345</v>
      </c>
      <c r="H164" t="s">
        <v>18</v>
      </c>
      <c r="I164">
        <v>42305</v>
      </c>
      <c r="J164">
        <v>4</v>
      </c>
      <c r="K164" t="s">
        <v>1052</v>
      </c>
      <c r="L164">
        <v>0.2</v>
      </c>
      <c r="M164" t="b">
        <v>0</v>
      </c>
      <c r="N164">
        <v>42300</v>
      </c>
      <c r="O164">
        <v>5</v>
      </c>
      <c r="P164">
        <f t="shared" si="4"/>
        <v>0</v>
      </c>
      <c r="Q164">
        <f>IF(CO_Combined4[[#This Row],[Segment]]="COR",1,0)</f>
        <v>1</v>
      </c>
      <c r="R164">
        <f>IF(CO_Combined4[[#This Row],[Region ]]="E",1,0)</f>
        <v>0</v>
      </c>
      <c r="S164">
        <f>IF(CO_Combined4[[#This Row],[Region ]]="W",1,0)</f>
        <v>1</v>
      </c>
      <c r="T164">
        <f>IF(CO_Combined4[[#This Row],[Region ]]="S",1,0)</f>
        <v>0</v>
      </c>
      <c r="U164">
        <f>IF(CO_Combined4[[#This Row],[Ship Mode]]=1,1,0)</f>
        <v>0</v>
      </c>
      <c r="V164">
        <f>IF(CO_Combined4[[#This Row],[Ship Mode]]=2,1,0)</f>
        <v>0</v>
      </c>
      <c r="W164">
        <f>IF(CO_Combined4[[#This Row],[Ship Mode]]=3,1,0)</f>
        <v>0</v>
      </c>
      <c r="X164">
        <f t="shared" si="5"/>
        <v>1</v>
      </c>
      <c r="Y164">
        <v>1</v>
      </c>
      <c r="Z164">
        <v>1</v>
      </c>
    </row>
    <row r="165" spans="1:26" x14ac:dyDescent="0.2">
      <c r="A165" t="s">
        <v>1053</v>
      </c>
      <c r="B165" t="s">
        <v>398</v>
      </c>
      <c r="C165" t="s">
        <v>111</v>
      </c>
      <c r="D165" t="s">
        <v>9</v>
      </c>
      <c r="E165" t="s">
        <v>112</v>
      </c>
      <c r="F165" t="s">
        <v>104</v>
      </c>
      <c r="G165">
        <v>46203</v>
      </c>
      <c r="H165" t="s">
        <v>12</v>
      </c>
      <c r="I165">
        <v>41996</v>
      </c>
      <c r="J165">
        <v>2</v>
      </c>
      <c r="K165" t="s">
        <v>1054</v>
      </c>
      <c r="L165">
        <v>0</v>
      </c>
      <c r="M165" t="b">
        <v>0</v>
      </c>
      <c r="N165">
        <v>41993</v>
      </c>
      <c r="O165">
        <v>3</v>
      </c>
      <c r="P165">
        <f t="shared" si="4"/>
        <v>1</v>
      </c>
      <c r="Q165">
        <f>IF(CO_Combined4[[#This Row],[Segment]]="COR",1,0)</f>
        <v>0</v>
      </c>
      <c r="R165">
        <f>IF(CO_Combined4[[#This Row],[Region ]]="E",1,0)</f>
        <v>0</v>
      </c>
      <c r="S165">
        <f>IF(CO_Combined4[[#This Row],[Region ]]="W",1,0)</f>
        <v>0</v>
      </c>
      <c r="T165">
        <f>IF(CO_Combined4[[#This Row],[Region ]]="S",1,0)</f>
        <v>0</v>
      </c>
      <c r="U165">
        <f>IF(CO_Combined4[[#This Row],[Ship Mode]]=1,1,0)</f>
        <v>0</v>
      </c>
      <c r="V165">
        <f>IF(CO_Combined4[[#This Row],[Ship Mode]]=2,1,0)</f>
        <v>1</v>
      </c>
      <c r="W165">
        <f>IF(CO_Combined4[[#This Row],[Ship Mode]]=3,1,0)</f>
        <v>0</v>
      </c>
      <c r="X165">
        <f t="shared" si="5"/>
        <v>1</v>
      </c>
      <c r="Y165">
        <v>4</v>
      </c>
      <c r="Z165">
        <v>0</v>
      </c>
    </row>
    <row r="166" spans="1:26" x14ac:dyDescent="0.2">
      <c r="A166" t="s">
        <v>1056</v>
      </c>
      <c r="B166" t="s">
        <v>556</v>
      </c>
      <c r="C166" t="s">
        <v>360</v>
      </c>
      <c r="D166" t="s">
        <v>90</v>
      </c>
      <c r="E166" t="s">
        <v>38</v>
      </c>
      <c r="F166" t="s">
        <v>17</v>
      </c>
      <c r="G166">
        <v>90004</v>
      </c>
      <c r="H166" t="s">
        <v>18</v>
      </c>
      <c r="I166">
        <v>43082</v>
      </c>
      <c r="J166">
        <v>3</v>
      </c>
      <c r="K166" t="s">
        <v>1057</v>
      </c>
      <c r="L166">
        <v>6.6666666666666666E-2</v>
      </c>
      <c r="M166" t="b">
        <v>0</v>
      </c>
      <c r="N166">
        <v>43078</v>
      </c>
      <c r="O166">
        <v>4</v>
      </c>
      <c r="P166">
        <f t="shared" si="4"/>
        <v>0</v>
      </c>
      <c r="Q166">
        <f>IF(CO_Combined4[[#This Row],[Segment]]="COR",1,0)</f>
        <v>0</v>
      </c>
      <c r="R166">
        <f>IF(CO_Combined4[[#This Row],[Region ]]="E",1,0)</f>
        <v>0</v>
      </c>
      <c r="S166">
        <f>IF(CO_Combined4[[#This Row],[Region ]]="W",1,0)</f>
        <v>1</v>
      </c>
      <c r="T166">
        <f>IF(CO_Combined4[[#This Row],[Region ]]="S",1,0)</f>
        <v>0</v>
      </c>
      <c r="U166">
        <f>IF(CO_Combined4[[#This Row],[Ship Mode]]=1,1,0)</f>
        <v>0</v>
      </c>
      <c r="V166">
        <f>IF(CO_Combined4[[#This Row],[Ship Mode]]=2,1,0)</f>
        <v>0</v>
      </c>
      <c r="W166">
        <f>IF(CO_Combined4[[#This Row],[Ship Mode]]=3,1,0)</f>
        <v>1</v>
      </c>
      <c r="X166">
        <f t="shared" si="5"/>
        <v>1</v>
      </c>
      <c r="Y166">
        <v>12</v>
      </c>
      <c r="Z166">
        <v>1</v>
      </c>
    </row>
    <row r="167" spans="1:26" x14ac:dyDescent="0.2">
      <c r="A167" t="s">
        <v>1059</v>
      </c>
      <c r="B167" t="s">
        <v>493</v>
      </c>
      <c r="C167" t="s">
        <v>265</v>
      </c>
      <c r="D167" t="s">
        <v>9</v>
      </c>
      <c r="E167" t="s">
        <v>85</v>
      </c>
      <c r="F167" t="s">
        <v>86</v>
      </c>
      <c r="G167">
        <v>98105</v>
      </c>
      <c r="H167" t="s">
        <v>18</v>
      </c>
      <c r="I167">
        <v>41942</v>
      </c>
      <c r="J167">
        <v>3</v>
      </c>
      <c r="K167" t="s">
        <v>1061</v>
      </c>
      <c r="L167">
        <v>0.1</v>
      </c>
      <c r="M167" t="b">
        <v>0</v>
      </c>
      <c r="N167">
        <v>41938</v>
      </c>
      <c r="O167">
        <v>4</v>
      </c>
      <c r="P167">
        <f t="shared" si="4"/>
        <v>1</v>
      </c>
      <c r="Q167">
        <f>IF(CO_Combined4[[#This Row],[Segment]]="COR",1,0)</f>
        <v>0</v>
      </c>
      <c r="R167">
        <f>IF(CO_Combined4[[#This Row],[Region ]]="E",1,0)</f>
        <v>0</v>
      </c>
      <c r="S167">
        <f>IF(CO_Combined4[[#This Row],[Region ]]="W",1,0)</f>
        <v>1</v>
      </c>
      <c r="T167">
        <f>IF(CO_Combined4[[#This Row],[Region ]]="S",1,0)</f>
        <v>0</v>
      </c>
      <c r="U167">
        <f>IF(CO_Combined4[[#This Row],[Ship Mode]]=1,1,0)</f>
        <v>0</v>
      </c>
      <c r="V167">
        <f>IF(CO_Combined4[[#This Row],[Ship Mode]]=2,1,0)</f>
        <v>0</v>
      </c>
      <c r="W167">
        <f>IF(CO_Combined4[[#This Row],[Ship Mode]]=3,1,0)</f>
        <v>1</v>
      </c>
      <c r="X167">
        <f t="shared" si="5"/>
        <v>1</v>
      </c>
      <c r="Y167">
        <v>9</v>
      </c>
      <c r="Z167">
        <v>1</v>
      </c>
    </row>
    <row r="168" spans="1:26" x14ac:dyDescent="0.2">
      <c r="A168" t="s">
        <v>1062</v>
      </c>
      <c r="B168" t="s">
        <v>574</v>
      </c>
      <c r="C168" t="s">
        <v>573</v>
      </c>
      <c r="D168" t="s">
        <v>9</v>
      </c>
      <c r="E168" t="s">
        <v>38</v>
      </c>
      <c r="F168" t="s">
        <v>17</v>
      </c>
      <c r="G168">
        <v>90036</v>
      </c>
      <c r="H168" t="s">
        <v>18</v>
      </c>
      <c r="I168">
        <v>42186</v>
      </c>
      <c r="J168">
        <v>4</v>
      </c>
      <c r="K168" t="s">
        <v>1065</v>
      </c>
      <c r="L168">
        <v>6.6666666666666666E-2</v>
      </c>
      <c r="M168" t="b">
        <v>0</v>
      </c>
      <c r="N168">
        <v>42180</v>
      </c>
      <c r="O168">
        <v>6</v>
      </c>
      <c r="P168">
        <f t="shared" si="4"/>
        <v>1</v>
      </c>
      <c r="Q168">
        <f>IF(CO_Combined4[[#This Row],[Segment]]="COR",1,0)</f>
        <v>0</v>
      </c>
      <c r="R168">
        <f>IF(CO_Combined4[[#This Row],[Region ]]="E",1,0)</f>
        <v>0</v>
      </c>
      <c r="S168">
        <f>IF(CO_Combined4[[#This Row],[Region ]]="W",1,0)</f>
        <v>1</v>
      </c>
      <c r="T168">
        <f>IF(CO_Combined4[[#This Row],[Region ]]="S",1,0)</f>
        <v>0</v>
      </c>
      <c r="U168">
        <f>IF(CO_Combined4[[#This Row],[Ship Mode]]=1,1,0)</f>
        <v>0</v>
      </c>
      <c r="V168">
        <f>IF(CO_Combined4[[#This Row],[Ship Mode]]=2,1,0)</f>
        <v>0</v>
      </c>
      <c r="W168">
        <f>IF(CO_Combined4[[#This Row],[Ship Mode]]=3,1,0)</f>
        <v>0</v>
      </c>
      <c r="X168">
        <f t="shared" si="5"/>
        <v>1</v>
      </c>
      <c r="Y168">
        <v>8</v>
      </c>
      <c r="Z168">
        <v>1</v>
      </c>
    </row>
    <row r="169" spans="1:26" x14ac:dyDescent="0.2">
      <c r="A169" t="s">
        <v>1066</v>
      </c>
      <c r="B169" t="s">
        <v>579</v>
      </c>
      <c r="C169" t="s">
        <v>577</v>
      </c>
      <c r="D169" t="s">
        <v>9</v>
      </c>
      <c r="E169" t="s">
        <v>578</v>
      </c>
      <c r="F169" t="s">
        <v>17</v>
      </c>
      <c r="G169">
        <v>95207</v>
      </c>
      <c r="H169" t="s">
        <v>18</v>
      </c>
      <c r="I169">
        <v>43081</v>
      </c>
      <c r="J169">
        <v>3</v>
      </c>
      <c r="K169" t="s">
        <v>1067</v>
      </c>
      <c r="L169">
        <v>0.1</v>
      </c>
      <c r="M169" t="b">
        <v>0</v>
      </c>
      <c r="N169">
        <v>43079</v>
      </c>
      <c r="O169">
        <v>2</v>
      </c>
      <c r="P169">
        <f t="shared" si="4"/>
        <v>1</v>
      </c>
      <c r="Q169">
        <f>IF(CO_Combined4[[#This Row],[Segment]]="COR",1,0)</f>
        <v>0</v>
      </c>
      <c r="R169">
        <f>IF(CO_Combined4[[#This Row],[Region ]]="E",1,0)</f>
        <v>0</v>
      </c>
      <c r="S169">
        <f>IF(CO_Combined4[[#This Row],[Region ]]="W",1,0)</f>
        <v>1</v>
      </c>
      <c r="T169">
        <f>IF(CO_Combined4[[#This Row],[Region ]]="S",1,0)</f>
        <v>0</v>
      </c>
      <c r="U169">
        <f>IF(CO_Combined4[[#This Row],[Ship Mode]]=1,1,0)</f>
        <v>0</v>
      </c>
      <c r="V169">
        <f>IF(CO_Combined4[[#This Row],[Ship Mode]]=2,1,0)</f>
        <v>0</v>
      </c>
      <c r="W169">
        <f>IF(CO_Combined4[[#This Row],[Ship Mode]]=3,1,0)</f>
        <v>1</v>
      </c>
      <c r="X169">
        <f t="shared" si="5"/>
        <v>1</v>
      </c>
      <c r="Y169">
        <v>6</v>
      </c>
      <c r="Z169">
        <v>1</v>
      </c>
    </row>
    <row r="170" spans="1:26" x14ac:dyDescent="0.2">
      <c r="A170" t="s">
        <v>1069</v>
      </c>
      <c r="B170" t="s">
        <v>495</v>
      </c>
      <c r="C170" t="s">
        <v>268</v>
      </c>
      <c r="D170" t="s">
        <v>150</v>
      </c>
      <c r="E170" t="s">
        <v>76</v>
      </c>
      <c r="F170" t="s">
        <v>17</v>
      </c>
      <c r="G170">
        <v>92024</v>
      </c>
      <c r="H170" t="s">
        <v>18</v>
      </c>
      <c r="I170">
        <v>42693</v>
      </c>
      <c r="J170">
        <v>4</v>
      </c>
      <c r="K170" t="s">
        <v>1070</v>
      </c>
      <c r="L170">
        <v>0.2</v>
      </c>
      <c r="M170" t="b">
        <v>0</v>
      </c>
      <c r="N170">
        <v>42689</v>
      </c>
      <c r="O170">
        <v>4</v>
      </c>
      <c r="P170">
        <f t="shared" si="4"/>
        <v>0</v>
      </c>
      <c r="Q170">
        <f>IF(CO_Combined4[[#This Row],[Segment]]="COR",1,0)</f>
        <v>1</v>
      </c>
      <c r="R170">
        <f>IF(CO_Combined4[[#This Row],[Region ]]="E",1,0)</f>
        <v>0</v>
      </c>
      <c r="S170">
        <f>IF(CO_Combined4[[#This Row],[Region ]]="W",1,0)</f>
        <v>1</v>
      </c>
      <c r="T170">
        <f>IF(CO_Combined4[[#This Row],[Region ]]="S",1,0)</f>
        <v>0</v>
      </c>
      <c r="U170">
        <f>IF(CO_Combined4[[#This Row],[Ship Mode]]=1,1,0)</f>
        <v>0</v>
      </c>
      <c r="V170">
        <f>IF(CO_Combined4[[#This Row],[Ship Mode]]=2,1,0)</f>
        <v>0</v>
      </c>
      <c r="W170">
        <f>IF(CO_Combined4[[#This Row],[Ship Mode]]=3,1,0)</f>
        <v>0</v>
      </c>
      <c r="X170">
        <f t="shared" si="5"/>
        <v>1</v>
      </c>
      <c r="Y170">
        <v>2</v>
      </c>
      <c r="Z170">
        <v>1</v>
      </c>
    </row>
    <row r="171" spans="1:26" x14ac:dyDescent="0.2">
      <c r="A171" t="s">
        <v>1071</v>
      </c>
      <c r="B171" t="s">
        <v>487</v>
      </c>
      <c r="C171" t="s">
        <v>257</v>
      </c>
      <c r="D171" t="s">
        <v>9</v>
      </c>
      <c r="E171" t="s">
        <v>258</v>
      </c>
      <c r="F171" t="s">
        <v>17</v>
      </c>
      <c r="G171">
        <v>94513</v>
      </c>
      <c r="H171" t="s">
        <v>18</v>
      </c>
      <c r="I171">
        <v>41979</v>
      </c>
      <c r="J171">
        <v>4</v>
      </c>
      <c r="K171" t="s">
        <v>1072</v>
      </c>
      <c r="L171">
        <v>0.1</v>
      </c>
      <c r="M171" t="b">
        <v>0</v>
      </c>
      <c r="N171">
        <v>41972</v>
      </c>
      <c r="O171">
        <v>7</v>
      </c>
      <c r="P171">
        <f t="shared" si="4"/>
        <v>1</v>
      </c>
      <c r="Q171">
        <f>IF(CO_Combined4[[#This Row],[Segment]]="COR",1,0)</f>
        <v>0</v>
      </c>
      <c r="R171">
        <f>IF(CO_Combined4[[#This Row],[Region ]]="E",1,0)</f>
        <v>0</v>
      </c>
      <c r="S171">
        <f>IF(CO_Combined4[[#This Row],[Region ]]="W",1,0)</f>
        <v>1</v>
      </c>
      <c r="T171">
        <f>IF(CO_Combined4[[#This Row],[Region ]]="S",1,0)</f>
        <v>0</v>
      </c>
      <c r="U171">
        <f>IF(CO_Combined4[[#This Row],[Ship Mode]]=1,1,0)</f>
        <v>0</v>
      </c>
      <c r="V171">
        <f>IF(CO_Combined4[[#This Row],[Ship Mode]]=2,1,0)</f>
        <v>0</v>
      </c>
      <c r="W171">
        <f>IF(CO_Combined4[[#This Row],[Ship Mode]]=3,1,0)</f>
        <v>0</v>
      </c>
      <c r="X171">
        <f t="shared" si="5"/>
        <v>1</v>
      </c>
      <c r="Y171">
        <v>7</v>
      </c>
      <c r="Z171">
        <v>1</v>
      </c>
    </row>
    <row r="172" spans="1:26" x14ac:dyDescent="0.2">
      <c r="A172" t="s">
        <v>1074</v>
      </c>
      <c r="B172" t="s">
        <v>527</v>
      </c>
      <c r="C172" t="s">
        <v>316</v>
      </c>
      <c r="D172" t="s">
        <v>9</v>
      </c>
      <c r="E172" t="s">
        <v>108</v>
      </c>
      <c r="F172" t="s">
        <v>73</v>
      </c>
      <c r="G172">
        <v>42420</v>
      </c>
      <c r="H172" t="s">
        <v>47</v>
      </c>
      <c r="I172">
        <v>42682</v>
      </c>
      <c r="J172">
        <v>3</v>
      </c>
      <c r="K172" t="s">
        <v>1075</v>
      </c>
      <c r="L172">
        <v>0</v>
      </c>
      <c r="M172" t="b">
        <v>0</v>
      </c>
      <c r="N172">
        <v>42677</v>
      </c>
      <c r="O172">
        <v>5</v>
      </c>
      <c r="P172">
        <f t="shared" si="4"/>
        <v>1</v>
      </c>
      <c r="Q172">
        <f>IF(CO_Combined4[[#This Row],[Segment]]="COR",1,0)</f>
        <v>0</v>
      </c>
      <c r="R172">
        <f>IF(CO_Combined4[[#This Row],[Region ]]="E",1,0)</f>
        <v>0</v>
      </c>
      <c r="S172">
        <f>IF(CO_Combined4[[#This Row],[Region ]]="W",1,0)</f>
        <v>0</v>
      </c>
      <c r="T172">
        <f>IF(CO_Combined4[[#This Row],[Region ]]="S",1,0)</f>
        <v>1</v>
      </c>
      <c r="U172">
        <f>IF(CO_Combined4[[#This Row],[Ship Mode]]=1,1,0)</f>
        <v>0</v>
      </c>
      <c r="V172">
        <f>IF(CO_Combined4[[#This Row],[Ship Mode]]=2,1,0)</f>
        <v>0</v>
      </c>
      <c r="W172">
        <f>IF(CO_Combined4[[#This Row],[Ship Mode]]=3,1,0)</f>
        <v>1</v>
      </c>
      <c r="X172">
        <f t="shared" si="5"/>
        <v>1</v>
      </c>
      <c r="Y172">
        <v>16</v>
      </c>
      <c r="Z172">
        <v>0</v>
      </c>
    </row>
    <row r="173" spans="1:26" x14ac:dyDescent="0.2">
      <c r="A173" t="s">
        <v>1079</v>
      </c>
      <c r="B173" t="s">
        <v>68</v>
      </c>
      <c r="C173" t="s">
        <v>69</v>
      </c>
      <c r="D173" t="s">
        <v>9</v>
      </c>
      <c r="E173" t="s">
        <v>16</v>
      </c>
      <c r="F173" t="s">
        <v>17</v>
      </c>
      <c r="G173">
        <v>94109</v>
      </c>
      <c r="H173" t="s">
        <v>18</v>
      </c>
      <c r="I173">
        <v>42557</v>
      </c>
      <c r="J173">
        <v>2</v>
      </c>
      <c r="K173" t="s">
        <v>1082</v>
      </c>
      <c r="L173">
        <v>3.7499999999999999E-2</v>
      </c>
      <c r="M173" t="b">
        <v>0</v>
      </c>
      <c r="N173">
        <v>42555</v>
      </c>
      <c r="O173">
        <v>2</v>
      </c>
      <c r="P173">
        <f t="shared" si="4"/>
        <v>1</v>
      </c>
      <c r="Q173">
        <f>IF(CO_Combined4[[#This Row],[Segment]]="COR",1,0)</f>
        <v>0</v>
      </c>
      <c r="R173">
        <f>IF(CO_Combined4[[#This Row],[Region ]]="E",1,0)</f>
        <v>0</v>
      </c>
      <c r="S173">
        <f>IF(CO_Combined4[[#This Row],[Region ]]="W",1,0)</f>
        <v>1</v>
      </c>
      <c r="T173">
        <f>IF(CO_Combined4[[#This Row],[Region ]]="S",1,0)</f>
        <v>0</v>
      </c>
      <c r="U173">
        <f>IF(CO_Combined4[[#This Row],[Ship Mode]]=1,1,0)</f>
        <v>0</v>
      </c>
      <c r="V173">
        <f>IF(CO_Combined4[[#This Row],[Ship Mode]]=2,1,0)</f>
        <v>1</v>
      </c>
      <c r="W173">
        <f>IF(CO_Combined4[[#This Row],[Ship Mode]]=3,1,0)</f>
        <v>0</v>
      </c>
      <c r="X173">
        <f t="shared" si="5"/>
        <v>1</v>
      </c>
      <c r="Y173">
        <v>16</v>
      </c>
      <c r="Z173">
        <v>1</v>
      </c>
    </row>
    <row r="174" spans="1:26" x14ac:dyDescent="0.2">
      <c r="A174" t="s">
        <v>1083</v>
      </c>
      <c r="B174" t="s">
        <v>555</v>
      </c>
      <c r="C174" t="s">
        <v>359</v>
      </c>
      <c r="D174" t="s">
        <v>90</v>
      </c>
      <c r="E174" t="s">
        <v>242</v>
      </c>
      <c r="F174" t="s">
        <v>53</v>
      </c>
      <c r="G174">
        <v>37918</v>
      </c>
      <c r="H174" t="s">
        <v>47</v>
      </c>
      <c r="I174">
        <v>42255</v>
      </c>
      <c r="J174">
        <v>4</v>
      </c>
      <c r="K174" t="s">
        <v>1084</v>
      </c>
      <c r="L174">
        <v>0.2</v>
      </c>
      <c r="M174" t="b">
        <v>1</v>
      </c>
      <c r="N174">
        <v>42250</v>
      </c>
      <c r="O174">
        <v>5</v>
      </c>
      <c r="P174">
        <f t="shared" si="4"/>
        <v>0</v>
      </c>
      <c r="Q174">
        <f>IF(CO_Combined4[[#This Row],[Segment]]="COR",1,0)</f>
        <v>0</v>
      </c>
      <c r="R174">
        <f>IF(CO_Combined4[[#This Row],[Region ]]="E",1,0)</f>
        <v>0</v>
      </c>
      <c r="S174">
        <f>IF(CO_Combined4[[#This Row],[Region ]]="W",1,0)</f>
        <v>0</v>
      </c>
      <c r="T174">
        <f>IF(CO_Combined4[[#This Row],[Region ]]="S",1,0)</f>
        <v>1</v>
      </c>
      <c r="U174">
        <f>IF(CO_Combined4[[#This Row],[Ship Mode]]=1,1,0)</f>
        <v>0</v>
      </c>
      <c r="V174">
        <f>IF(CO_Combined4[[#This Row],[Ship Mode]]=2,1,0)</f>
        <v>0</v>
      </c>
      <c r="W174">
        <f>IF(CO_Combined4[[#This Row],[Ship Mode]]=3,1,0)</f>
        <v>0</v>
      </c>
      <c r="X174">
        <f t="shared" si="5"/>
        <v>0</v>
      </c>
      <c r="Y174">
        <v>4</v>
      </c>
      <c r="Z174">
        <v>1</v>
      </c>
    </row>
    <row r="175" spans="1:26" x14ac:dyDescent="0.2">
      <c r="A175" t="s">
        <v>1085</v>
      </c>
      <c r="B175" t="s">
        <v>415</v>
      </c>
      <c r="C175" t="s">
        <v>147</v>
      </c>
      <c r="D175" t="s">
        <v>90</v>
      </c>
      <c r="E175" t="s">
        <v>38</v>
      </c>
      <c r="F175" t="s">
        <v>17</v>
      </c>
      <c r="G175">
        <v>90036</v>
      </c>
      <c r="H175" t="s">
        <v>18</v>
      </c>
      <c r="I175">
        <v>42937</v>
      </c>
      <c r="J175">
        <v>4</v>
      </c>
      <c r="K175" t="s">
        <v>1086</v>
      </c>
      <c r="L175">
        <v>0.2</v>
      </c>
      <c r="M175" t="b">
        <v>0</v>
      </c>
      <c r="N175">
        <v>42933</v>
      </c>
      <c r="O175">
        <v>4</v>
      </c>
      <c r="P175">
        <f t="shared" si="4"/>
        <v>0</v>
      </c>
      <c r="Q175">
        <f>IF(CO_Combined4[[#This Row],[Segment]]="COR",1,0)</f>
        <v>0</v>
      </c>
      <c r="R175">
        <f>IF(CO_Combined4[[#This Row],[Region ]]="E",1,0)</f>
        <v>0</v>
      </c>
      <c r="S175">
        <f>IF(CO_Combined4[[#This Row],[Region ]]="W",1,0)</f>
        <v>1</v>
      </c>
      <c r="T175">
        <f>IF(CO_Combined4[[#This Row],[Region ]]="S",1,0)</f>
        <v>0</v>
      </c>
      <c r="U175">
        <f>IF(CO_Combined4[[#This Row],[Ship Mode]]=1,1,0)</f>
        <v>0</v>
      </c>
      <c r="V175">
        <f>IF(CO_Combined4[[#This Row],[Ship Mode]]=2,1,0)</f>
        <v>0</v>
      </c>
      <c r="W175">
        <f>IF(CO_Combined4[[#This Row],[Ship Mode]]=3,1,0)</f>
        <v>0</v>
      </c>
      <c r="X175">
        <f t="shared" si="5"/>
        <v>1</v>
      </c>
      <c r="Y175">
        <v>2</v>
      </c>
      <c r="Z175">
        <v>1</v>
      </c>
    </row>
    <row r="176" spans="1:26" x14ac:dyDescent="0.2">
      <c r="A176" t="s">
        <v>1087</v>
      </c>
      <c r="B176" t="s">
        <v>463</v>
      </c>
      <c r="C176" t="s">
        <v>221</v>
      </c>
      <c r="D176" t="s">
        <v>90</v>
      </c>
      <c r="E176" t="s">
        <v>222</v>
      </c>
      <c r="F176" t="s">
        <v>95</v>
      </c>
      <c r="G176">
        <v>23666</v>
      </c>
      <c r="H176" t="s">
        <v>47</v>
      </c>
      <c r="I176">
        <v>42170</v>
      </c>
      <c r="J176">
        <v>4</v>
      </c>
      <c r="K176" t="s">
        <v>1088</v>
      </c>
      <c r="L176">
        <v>0</v>
      </c>
      <c r="M176" t="b">
        <v>0</v>
      </c>
      <c r="N176">
        <v>42164</v>
      </c>
      <c r="O176">
        <v>6</v>
      </c>
      <c r="P176">
        <f t="shared" si="4"/>
        <v>0</v>
      </c>
      <c r="Q176">
        <f>IF(CO_Combined4[[#This Row],[Segment]]="COR",1,0)</f>
        <v>0</v>
      </c>
      <c r="R176">
        <f>IF(CO_Combined4[[#This Row],[Region ]]="E",1,0)</f>
        <v>0</v>
      </c>
      <c r="S176">
        <f>IF(CO_Combined4[[#This Row],[Region ]]="W",1,0)</f>
        <v>0</v>
      </c>
      <c r="T176">
        <f>IF(CO_Combined4[[#This Row],[Region ]]="S",1,0)</f>
        <v>1</v>
      </c>
      <c r="U176">
        <f>IF(CO_Combined4[[#This Row],[Ship Mode]]=1,1,0)</f>
        <v>0</v>
      </c>
      <c r="V176">
        <f>IF(CO_Combined4[[#This Row],[Ship Mode]]=2,1,0)</f>
        <v>0</v>
      </c>
      <c r="W176">
        <f>IF(CO_Combined4[[#This Row],[Ship Mode]]=3,1,0)</f>
        <v>0</v>
      </c>
      <c r="X176">
        <f t="shared" si="5"/>
        <v>1</v>
      </c>
      <c r="Y176">
        <v>3</v>
      </c>
      <c r="Z176">
        <v>0</v>
      </c>
    </row>
    <row r="177" spans="1:26" x14ac:dyDescent="0.2">
      <c r="A177" t="s">
        <v>1089</v>
      </c>
      <c r="B177" t="s">
        <v>538</v>
      </c>
      <c r="C177" t="s">
        <v>331</v>
      </c>
      <c r="D177" t="s">
        <v>150</v>
      </c>
      <c r="E177" t="s">
        <v>332</v>
      </c>
      <c r="F177" t="s">
        <v>42</v>
      </c>
      <c r="G177">
        <v>97756</v>
      </c>
      <c r="H177" t="s">
        <v>18</v>
      </c>
      <c r="I177">
        <v>41853</v>
      </c>
      <c r="J177">
        <v>2</v>
      </c>
      <c r="K177" t="s">
        <v>1090</v>
      </c>
      <c r="L177">
        <v>0</v>
      </c>
      <c r="M177" t="b">
        <v>0</v>
      </c>
      <c r="N177">
        <v>41847</v>
      </c>
      <c r="O177">
        <v>6</v>
      </c>
      <c r="P177">
        <f t="shared" si="4"/>
        <v>0</v>
      </c>
      <c r="Q177">
        <f>IF(CO_Combined4[[#This Row],[Segment]]="COR",1,0)</f>
        <v>1</v>
      </c>
      <c r="R177">
        <f>IF(CO_Combined4[[#This Row],[Region ]]="E",1,0)</f>
        <v>0</v>
      </c>
      <c r="S177">
        <f>IF(CO_Combined4[[#This Row],[Region ]]="W",1,0)</f>
        <v>1</v>
      </c>
      <c r="T177">
        <f>IF(CO_Combined4[[#This Row],[Region ]]="S",1,0)</f>
        <v>0</v>
      </c>
      <c r="U177">
        <f>IF(CO_Combined4[[#This Row],[Ship Mode]]=1,1,0)</f>
        <v>0</v>
      </c>
      <c r="V177">
        <f>IF(CO_Combined4[[#This Row],[Ship Mode]]=2,1,0)</f>
        <v>1</v>
      </c>
      <c r="W177">
        <f>IF(CO_Combined4[[#This Row],[Ship Mode]]=3,1,0)</f>
        <v>0</v>
      </c>
      <c r="X177">
        <f t="shared" si="5"/>
        <v>1</v>
      </c>
      <c r="Y177">
        <v>11</v>
      </c>
      <c r="Z177">
        <v>0</v>
      </c>
    </row>
    <row r="178" spans="1:26" x14ac:dyDescent="0.2">
      <c r="A178" t="s">
        <v>1091</v>
      </c>
      <c r="B178" t="s">
        <v>531</v>
      </c>
      <c r="C178" t="s">
        <v>321</v>
      </c>
      <c r="D178" t="s">
        <v>150</v>
      </c>
      <c r="E178" t="s">
        <v>322</v>
      </c>
      <c r="F178" t="s">
        <v>79</v>
      </c>
      <c r="G178">
        <v>2038</v>
      </c>
      <c r="H178" t="s">
        <v>27</v>
      </c>
      <c r="I178">
        <v>42222</v>
      </c>
      <c r="J178">
        <v>4</v>
      </c>
      <c r="K178" t="s">
        <v>601</v>
      </c>
      <c r="L178">
        <v>0</v>
      </c>
      <c r="M178" t="b">
        <v>0</v>
      </c>
      <c r="N178">
        <v>42216</v>
      </c>
      <c r="O178">
        <v>6</v>
      </c>
      <c r="P178">
        <f t="shared" si="4"/>
        <v>0</v>
      </c>
      <c r="Q178">
        <f>IF(CO_Combined4[[#This Row],[Segment]]="COR",1,0)</f>
        <v>1</v>
      </c>
      <c r="R178">
        <f>IF(CO_Combined4[[#This Row],[Region ]]="E",1,0)</f>
        <v>1</v>
      </c>
      <c r="S178">
        <f>IF(CO_Combined4[[#This Row],[Region ]]="W",1,0)</f>
        <v>0</v>
      </c>
      <c r="T178">
        <f>IF(CO_Combined4[[#This Row],[Region ]]="S",1,0)</f>
        <v>0</v>
      </c>
      <c r="U178">
        <f>IF(CO_Combined4[[#This Row],[Ship Mode]]=1,1,0)</f>
        <v>0</v>
      </c>
      <c r="V178">
        <f>IF(CO_Combined4[[#This Row],[Ship Mode]]=2,1,0)</f>
        <v>0</v>
      </c>
      <c r="W178">
        <f>IF(CO_Combined4[[#This Row],[Ship Mode]]=3,1,0)</f>
        <v>0</v>
      </c>
      <c r="X178">
        <f t="shared" si="5"/>
        <v>1</v>
      </c>
      <c r="Y178">
        <v>6</v>
      </c>
      <c r="Z178">
        <v>0</v>
      </c>
    </row>
    <row r="179" spans="1:26" x14ac:dyDescent="0.2">
      <c r="A179" t="s">
        <v>1092</v>
      </c>
      <c r="B179" t="s">
        <v>521</v>
      </c>
      <c r="C179" t="s">
        <v>306</v>
      </c>
      <c r="D179" t="s">
        <v>90</v>
      </c>
      <c r="E179" t="s">
        <v>307</v>
      </c>
      <c r="F179" t="s">
        <v>79</v>
      </c>
      <c r="G179">
        <v>2148</v>
      </c>
      <c r="H179" t="s">
        <v>27</v>
      </c>
      <c r="I179">
        <v>42635</v>
      </c>
      <c r="J179">
        <v>4</v>
      </c>
      <c r="K179" t="s">
        <v>1093</v>
      </c>
      <c r="L179">
        <v>0.2</v>
      </c>
      <c r="M179" t="b">
        <v>0</v>
      </c>
      <c r="N179">
        <v>42632</v>
      </c>
      <c r="O179">
        <v>3</v>
      </c>
      <c r="P179">
        <f t="shared" si="4"/>
        <v>0</v>
      </c>
      <c r="Q179">
        <f>IF(CO_Combined4[[#This Row],[Segment]]="COR",1,0)</f>
        <v>0</v>
      </c>
      <c r="R179">
        <f>IF(CO_Combined4[[#This Row],[Region ]]="E",1,0)</f>
        <v>1</v>
      </c>
      <c r="S179">
        <f>IF(CO_Combined4[[#This Row],[Region ]]="W",1,0)</f>
        <v>0</v>
      </c>
      <c r="T179">
        <f>IF(CO_Combined4[[#This Row],[Region ]]="S",1,0)</f>
        <v>0</v>
      </c>
      <c r="U179">
        <f>IF(CO_Combined4[[#This Row],[Ship Mode]]=1,1,0)</f>
        <v>0</v>
      </c>
      <c r="V179">
        <f>IF(CO_Combined4[[#This Row],[Ship Mode]]=2,1,0)</f>
        <v>0</v>
      </c>
      <c r="W179">
        <f>IF(CO_Combined4[[#This Row],[Ship Mode]]=3,1,0)</f>
        <v>0</v>
      </c>
      <c r="X179">
        <f t="shared" si="5"/>
        <v>1</v>
      </c>
      <c r="Y179">
        <v>3</v>
      </c>
      <c r="Z179">
        <v>1</v>
      </c>
    </row>
    <row r="180" spans="1:26" x14ac:dyDescent="0.2">
      <c r="A180" t="s">
        <v>1094</v>
      </c>
      <c r="B180" t="s">
        <v>529</v>
      </c>
      <c r="C180" t="s">
        <v>319</v>
      </c>
      <c r="D180" t="s">
        <v>9</v>
      </c>
      <c r="E180" t="s">
        <v>38</v>
      </c>
      <c r="F180" t="s">
        <v>17</v>
      </c>
      <c r="G180">
        <v>90045</v>
      </c>
      <c r="H180" t="s">
        <v>18</v>
      </c>
      <c r="I180">
        <v>42854</v>
      </c>
      <c r="J180">
        <v>2</v>
      </c>
      <c r="K180" t="s">
        <v>775</v>
      </c>
      <c r="L180">
        <v>0</v>
      </c>
      <c r="M180" t="b">
        <v>0</v>
      </c>
      <c r="N180">
        <v>42852</v>
      </c>
      <c r="O180">
        <v>2</v>
      </c>
      <c r="P180">
        <f t="shared" si="4"/>
        <v>1</v>
      </c>
      <c r="Q180">
        <f>IF(CO_Combined4[[#This Row],[Segment]]="COR",1,0)</f>
        <v>0</v>
      </c>
      <c r="R180">
        <f>IF(CO_Combined4[[#This Row],[Region ]]="E",1,0)</f>
        <v>0</v>
      </c>
      <c r="S180">
        <f>IF(CO_Combined4[[#This Row],[Region ]]="W",1,0)</f>
        <v>1</v>
      </c>
      <c r="T180">
        <f>IF(CO_Combined4[[#This Row],[Region ]]="S",1,0)</f>
        <v>0</v>
      </c>
      <c r="U180">
        <f>IF(CO_Combined4[[#This Row],[Ship Mode]]=1,1,0)</f>
        <v>0</v>
      </c>
      <c r="V180">
        <f>IF(CO_Combined4[[#This Row],[Ship Mode]]=2,1,0)</f>
        <v>1</v>
      </c>
      <c r="W180">
        <f>IF(CO_Combined4[[#This Row],[Ship Mode]]=3,1,0)</f>
        <v>0</v>
      </c>
      <c r="X180">
        <f t="shared" si="5"/>
        <v>1</v>
      </c>
      <c r="Y180">
        <v>9</v>
      </c>
      <c r="Z180">
        <v>0</v>
      </c>
    </row>
    <row r="181" spans="1:26" x14ac:dyDescent="0.2">
      <c r="A181" t="s">
        <v>1097</v>
      </c>
      <c r="B181" t="s">
        <v>480</v>
      </c>
      <c r="C181" t="s">
        <v>247</v>
      </c>
      <c r="D181" t="s">
        <v>90</v>
      </c>
      <c r="E181" t="s">
        <v>151</v>
      </c>
      <c r="F181" t="s">
        <v>31</v>
      </c>
      <c r="G181">
        <v>85705</v>
      </c>
      <c r="H181" t="s">
        <v>18</v>
      </c>
      <c r="I181">
        <v>42837</v>
      </c>
      <c r="J181">
        <v>1</v>
      </c>
      <c r="K181" t="s">
        <v>1099</v>
      </c>
      <c r="L181">
        <v>0</v>
      </c>
      <c r="M181" t="b">
        <v>1</v>
      </c>
      <c r="N181">
        <v>42833</v>
      </c>
      <c r="O181">
        <v>4</v>
      </c>
      <c r="P181">
        <f t="shared" si="4"/>
        <v>0</v>
      </c>
      <c r="Q181">
        <f>IF(CO_Combined4[[#This Row],[Segment]]="COR",1,0)</f>
        <v>0</v>
      </c>
      <c r="R181">
        <f>IF(CO_Combined4[[#This Row],[Region ]]="E",1,0)</f>
        <v>0</v>
      </c>
      <c r="S181">
        <f>IF(CO_Combined4[[#This Row],[Region ]]="W",1,0)</f>
        <v>1</v>
      </c>
      <c r="T181">
        <f>IF(CO_Combined4[[#This Row],[Region ]]="S",1,0)</f>
        <v>0</v>
      </c>
      <c r="U181">
        <f>IF(CO_Combined4[[#This Row],[Ship Mode]]=1,1,0)</f>
        <v>1</v>
      </c>
      <c r="V181">
        <f>IF(CO_Combined4[[#This Row],[Ship Mode]]=2,1,0)</f>
        <v>0</v>
      </c>
      <c r="W181">
        <f>IF(CO_Combined4[[#This Row],[Ship Mode]]=3,1,0)</f>
        <v>0</v>
      </c>
      <c r="X181">
        <f t="shared" si="5"/>
        <v>0</v>
      </c>
      <c r="Y181">
        <v>9</v>
      </c>
      <c r="Z181">
        <v>0</v>
      </c>
    </row>
    <row r="182" spans="1:26" x14ac:dyDescent="0.2">
      <c r="A182" t="s">
        <v>1100</v>
      </c>
      <c r="B182" t="s">
        <v>426</v>
      </c>
      <c r="C182" t="s">
        <v>164</v>
      </c>
      <c r="D182" t="s">
        <v>9</v>
      </c>
      <c r="E182" t="s">
        <v>165</v>
      </c>
      <c r="F182" t="s">
        <v>166</v>
      </c>
      <c r="G182">
        <v>33024</v>
      </c>
      <c r="H182" t="s">
        <v>47</v>
      </c>
      <c r="I182">
        <v>42639</v>
      </c>
      <c r="J182">
        <v>4</v>
      </c>
      <c r="K182" t="s">
        <v>1102</v>
      </c>
      <c r="L182">
        <v>0.44999999999999996</v>
      </c>
      <c r="M182" t="b">
        <v>0</v>
      </c>
      <c r="N182">
        <v>42635</v>
      </c>
      <c r="O182">
        <v>4</v>
      </c>
      <c r="P182">
        <f t="shared" si="4"/>
        <v>1</v>
      </c>
      <c r="Q182">
        <f>IF(CO_Combined4[[#This Row],[Segment]]="COR",1,0)</f>
        <v>0</v>
      </c>
      <c r="R182">
        <f>IF(CO_Combined4[[#This Row],[Region ]]="E",1,0)</f>
        <v>0</v>
      </c>
      <c r="S182">
        <f>IF(CO_Combined4[[#This Row],[Region ]]="W",1,0)</f>
        <v>0</v>
      </c>
      <c r="T182">
        <f>IF(CO_Combined4[[#This Row],[Region ]]="S",1,0)</f>
        <v>1</v>
      </c>
      <c r="U182">
        <f>IF(CO_Combined4[[#This Row],[Ship Mode]]=1,1,0)</f>
        <v>0</v>
      </c>
      <c r="V182">
        <f>IF(CO_Combined4[[#This Row],[Ship Mode]]=2,1,0)</f>
        <v>0</v>
      </c>
      <c r="W182">
        <f>IF(CO_Combined4[[#This Row],[Ship Mode]]=3,1,0)</f>
        <v>0</v>
      </c>
      <c r="X182">
        <f t="shared" si="5"/>
        <v>1</v>
      </c>
      <c r="Y182">
        <v>11</v>
      </c>
      <c r="Z182">
        <v>1</v>
      </c>
    </row>
    <row r="183" spans="1:26" x14ac:dyDescent="0.2">
      <c r="A183" t="s">
        <v>1103</v>
      </c>
      <c r="B183" t="s">
        <v>446</v>
      </c>
      <c r="C183" t="s">
        <v>197</v>
      </c>
      <c r="D183" t="s">
        <v>9</v>
      </c>
      <c r="E183" t="s">
        <v>198</v>
      </c>
      <c r="F183" t="s">
        <v>199</v>
      </c>
      <c r="G183">
        <v>84084</v>
      </c>
      <c r="H183" t="s">
        <v>18</v>
      </c>
      <c r="I183">
        <v>42823</v>
      </c>
      <c r="J183">
        <v>3</v>
      </c>
      <c r="K183" t="s">
        <v>976</v>
      </c>
      <c r="L183">
        <v>0.2</v>
      </c>
      <c r="M183" t="b">
        <v>0</v>
      </c>
      <c r="N183">
        <v>42821</v>
      </c>
      <c r="O183">
        <v>2</v>
      </c>
      <c r="P183">
        <f t="shared" si="4"/>
        <v>1</v>
      </c>
      <c r="Q183">
        <f>IF(CO_Combined4[[#This Row],[Segment]]="COR",1,0)</f>
        <v>0</v>
      </c>
      <c r="R183">
        <f>IF(CO_Combined4[[#This Row],[Region ]]="E",1,0)</f>
        <v>0</v>
      </c>
      <c r="S183">
        <f>IF(CO_Combined4[[#This Row],[Region ]]="W",1,0)</f>
        <v>1</v>
      </c>
      <c r="T183">
        <f>IF(CO_Combined4[[#This Row],[Region ]]="S",1,0)</f>
        <v>0</v>
      </c>
      <c r="U183">
        <f>IF(CO_Combined4[[#This Row],[Ship Mode]]=1,1,0)</f>
        <v>0</v>
      </c>
      <c r="V183">
        <f>IF(CO_Combined4[[#This Row],[Ship Mode]]=2,1,0)</f>
        <v>0</v>
      </c>
      <c r="W183">
        <f>IF(CO_Combined4[[#This Row],[Ship Mode]]=3,1,0)</f>
        <v>1</v>
      </c>
      <c r="X183">
        <f t="shared" si="5"/>
        <v>1</v>
      </c>
      <c r="Y183">
        <v>2</v>
      </c>
      <c r="Z183">
        <v>1</v>
      </c>
    </row>
    <row r="184" spans="1:26" x14ac:dyDescent="0.2">
      <c r="A184" t="s">
        <v>1104</v>
      </c>
      <c r="B184" t="s">
        <v>467</v>
      </c>
      <c r="C184" t="s">
        <v>226</v>
      </c>
      <c r="D184" t="s">
        <v>9</v>
      </c>
      <c r="E184" t="s">
        <v>227</v>
      </c>
      <c r="F184" t="s">
        <v>184</v>
      </c>
      <c r="G184">
        <v>6708</v>
      </c>
      <c r="H184" t="s">
        <v>27</v>
      </c>
      <c r="I184">
        <v>42508</v>
      </c>
      <c r="J184">
        <v>2</v>
      </c>
      <c r="K184" t="s">
        <v>730</v>
      </c>
      <c r="L184">
        <v>0</v>
      </c>
      <c r="M184" t="b">
        <v>0</v>
      </c>
      <c r="N184">
        <v>42507</v>
      </c>
      <c r="O184">
        <v>1</v>
      </c>
      <c r="P184">
        <f t="shared" si="4"/>
        <v>1</v>
      </c>
      <c r="Q184">
        <f>IF(CO_Combined4[[#This Row],[Segment]]="COR",1,0)</f>
        <v>0</v>
      </c>
      <c r="R184">
        <f>IF(CO_Combined4[[#This Row],[Region ]]="E",1,0)</f>
        <v>1</v>
      </c>
      <c r="S184">
        <f>IF(CO_Combined4[[#This Row],[Region ]]="W",1,0)</f>
        <v>0</v>
      </c>
      <c r="T184">
        <f>IF(CO_Combined4[[#This Row],[Region ]]="S",1,0)</f>
        <v>0</v>
      </c>
      <c r="U184">
        <f>IF(CO_Combined4[[#This Row],[Ship Mode]]=1,1,0)</f>
        <v>0</v>
      </c>
      <c r="V184">
        <f>IF(CO_Combined4[[#This Row],[Ship Mode]]=2,1,0)</f>
        <v>1</v>
      </c>
      <c r="W184">
        <f>IF(CO_Combined4[[#This Row],[Ship Mode]]=3,1,0)</f>
        <v>0</v>
      </c>
      <c r="X184">
        <f t="shared" si="5"/>
        <v>1</v>
      </c>
      <c r="Y184">
        <v>13</v>
      </c>
      <c r="Z184">
        <v>0</v>
      </c>
    </row>
    <row r="185" spans="1:26" x14ac:dyDescent="0.2">
      <c r="A185" t="s">
        <v>1107</v>
      </c>
      <c r="B185" t="s">
        <v>399</v>
      </c>
      <c r="C185" t="s">
        <v>113</v>
      </c>
      <c r="D185" t="s">
        <v>9</v>
      </c>
      <c r="E185" t="s">
        <v>114</v>
      </c>
      <c r="F185" t="s">
        <v>42</v>
      </c>
      <c r="G185">
        <v>97206</v>
      </c>
      <c r="H185" t="s">
        <v>18</v>
      </c>
      <c r="I185">
        <v>42875</v>
      </c>
      <c r="J185">
        <v>2</v>
      </c>
      <c r="K185" t="s">
        <v>1108</v>
      </c>
      <c r="L185">
        <v>0.2</v>
      </c>
      <c r="M185" t="b">
        <v>0</v>
      </c>
      <c r="N185">
        <v>42873</v>
      </c>
      <c r="O185">
        <v>2</v>
      </c>
      <c r="P185">
        <f t="shared" si="4"/>
        <v>1</v>
      </c>
      <c r="Q185">
        <f>IF(CO_Combined4[[#This Row],[Segment]]="COR",1,0)</f>
        <v>0</v>
      </c>
      <c r="R185">
        <f>IF(CO_Combined4[[#This Row],[Region ]]="E",1,0)</f>
        <v>0</v>
      </c>
      <c r="S185">
        <f>IF(CO_Combined4[[#This Row],[Region ]]="W",1,0)</f>
        <v>1</v>
      </c>
      <c r="T185">
        <f>IF(CO_Combined4[[#This Row],[Region ]]="S",1,0)</f>
        <v>0</v>
      </c>
      <c r="U185">
        <f>IF(CO_Combined4[[#This Row],[Ship Mode]]=1,1,0)</f>
        <v>0</v>
      </c>
      <c r="V185">
        <f>IF(CO_Combined4[[#This Row],[Ship Mode]]=2,1,0)</f>
        <v>1</v>
      </c>
      <c r="W185">
        <f>IF(CO_Combined4[[#This Row],[Ship Mode]]=3,1,0)</f>
        <v>0</v>
      </c>
      <c r="X185">
        <f t="shared" si="5"/>
        <v>1</v>
      </c>
      <c r="Y185">
        <v>2</v>
      </c>
      <c r="Z185">
        <v>1</v>
      </c>
    </row>
    <row r="186" spans="1:26" x14ac:dyDescent="0.2">
      <c r="A186" t="s">
        <v>1109</v>
      </c>
      <c r="B186" t="s">
        <v>426</v>
      </c>
      <c r="C186" t="s">
        <v>164</v>
      </c>
      <c r="D186" t="s">
        <v>9</v>
      </c>
      <c r="E186" t="s">
        <v>165</v>
      </c>
      <c r="F186" t="s">
        <v>166</v>
      </c>
      <c r="G186">
        <v>33024</v>
      </c>
      <c r="H186" t="s">
        <v>47</v>
      </c>
      <c r="I186">
        <v>41946</v>
      </c>
      <c r="J186">
        <v>3</v>
      </c>
      <c r="K186" t="s">
        <v>1110</v>
      </c>
      <c r="L186">
        <v>0.2</v>
      </c>
      <c r="M186" t="b">
        <v>0</v>
      </c>
      <c r="N186">
        <v>41943</v>
      </c>
      <c r="O186">
        <v>3</v>
      </c>
      <c r="P186">
        <f t="shared" si="4"/>
        <v>1</v>
      </c>
      <c r="Q186">
        <f>IF(CO_Combined4[[#This Row],[Segment]]="COR",1,0)</f>
        <v>0</v>
      </c>
      <c r="R186">
        <f>IF(CO_Combined4[[#This Row],[Region ]]="E",1,0)</f>
        <v>0</v>
      </c>
      <c r="S186">
        <f>IF(CO_Combined4[[#This Row],[Region ]]="W",1,0)</f>
        <v>0</v>
      </c>
      <c r="T186">
        <f>IF(CO_Combined4[[#This Row],[Region ]]="S",1,0)</f>
        <v>1</v>
      </c>
      <c r="U186">
        <f>IF(CO_Combined4[[#This Row],[Ship Mode]]=1,1,0)</f>
        <v>0</v>
      </c>
      <c r="V186">
        <f>IF(CO_Combined4[[#This Row],[Ship Mode]]=2,1,0)</f>
        <v>0</v>
      </c>
      <c r="W186">
        <f>IF(CO_Combined4[[#This Row],[Ship Mode]]=3,1,0)</f>
        <v>1</v>
      </c>
      <c r="X186">
        <f t="shared" si="5"/>
        <v>1</v>
      </c>
      <c r="Y186">
        <v>8</v>
      </c>
      <c r="Z186">
        <v>1</v>
      </c>
    </row>
    <row r="187" spans="1:26" x14ac:dyDescent="0.2">
      <c r="A187" t="s">
        <v>1111</v>
      </c>
      <c r="B187" t="s">
        <v>488</v>
      </c>
      <c r="C187" t="s">
        <v>259</v>
      </c>
      <c r="D187" t="s">
        <v>9</v>
      </c>
      <c r="E187" t="s">
        <v>260</v>
      </c>
      <c r="F187" t="s">
        <v>17</v>
      </c>
      <c r="G187">
        <v>92804</v>
      </c>
      <c r="H187" t="s">
        <v>18</v>
      </c>
      <c r="I187">
        <v>42809</v>
      </c>
      <c r="J187">
        <v>4</v>
      </c>
      <c r="K187" t="s">
        <v>1112</v>
      </c>
      <c r="L187">
        <v>0.1</v>
      </c>
      <c r="M187" t="b">
        <v>0</v>
      </c>
      <c r="N187">
        <v>42802</v>
      </c>
      <c r="O187">
        <v>7</v>
      </c>
      <c r="P187">
        <f t="shared" si="4"/>
        <v>1</v>
      </c>
      <c r="Q187">
        <f>IF(CO_Combined4[[#This Row],[Segment]]="COR",1,0)</f>
        <v>0</v>
      </c>
      <c r="R187">
        <f>IF(CO_Combined4[[#This Row],[Region ]]="E",1,0)</f>
        <v>0</v>
      </c>
      <c r="S187">
        <f>IF(CO_Combined4[[#This Row],[Region ]]="W",1,0)</f>
        <v>1</v>
      </c>
      <c r="T187">
        <f>IF(CO_Combined4[[#This Row],[Region ]]="S",1,0)</f>
        <v>0</v>
      </c>
      <c r="U187">
        <f>IF(CO_Combined4[[#This Row],[Ship Mode]]=1,1,0)</f>
        <v>0</v>
      </c>
      <c r="V187">
        <f>IF(CO_Combined4[[#This Row],[Ship Mode]]=2,1,0)</f>
        <v>0</v>
      </c>
      <c r="W187">
        <f>IF(CO_Combined4[[#This Row],[Ship Mode]]=3,1,0)</f>
        <v>0</v>
      </c>
      <c r="X187">
        <f t="shared" si="5"/>
        <v>1</v>
      </c>
      <c r="Y187">
        <v>7</v>
      </c>
      <c r="Z187">
        <v>1</v>
      </c>
    </row>
    <row r="188" spans="1:26" x14ac:dyDescent="0.2">
      <c r="A188" t="s">
        <v>1114</v>
      </c>
      <c r="B188" t="s">
        <v>431</v>
      </c>
      <c r="C188" t="s">
        <v>172</v>
      </c>
      <c r="D188" t="s">
        <v>9</v>
      </c>
      <c r="E188" t="s">
        <v>173</v>
      </c>
      <c r="F188" t="s">
        <v>137</v>
      </c>
      <c r="G188">
        <v>44134</v>
      </c>
      <c r="H188" t="s">
        <v>27</v>
      </c>
      <c r="I188">
        <v>41929</v>
      </c>
      <c r="J188">
        <v>2</v>
      </c>
      <c r="K188" t="s">
        <v>1116</v>
      </c>
      <c r="L188">
        <v>0.25</v>
      </c>
      <c r="M188" t="b">
        <v>0</v>
      </c>
      <c r="N188">
        <v>41927</v>
      </c>
      <c r="O188">
        <v>2</v>
      </c>
      <c r="P188">
        <f t="shared" si="4"/>
        <v>1</v>
      </c>
      <c r="Q188">
        <f>IF(CO_Combined4[[#This Row],[Segment]]="COR",1,0)</f>
        <v>0</v>
      </c>
      <c r="R188">
        <f>IF(CO_Combined4[[#This Row],[Region ]]="E",1,0)</f>
        <v>1</v>
      </c>
      <c r="S188">
        <f>IF(CO_Combined4[[#This Row],[Region ]]="W",1,0)</f>
        <v>0</v>
      </c>
      <c r="T188">
        <f>IF(CO_Combined4[[#This Row],[Region ]]="S",1,0)</f>
        <v>0</v>
      </c>
      <c r="U188">
        <f>IF(CO_Combined4[[#This Row],[Ship Mode]]=1,1,0)</f>
        <v>0</v>
      </c>
      <c r="V188">
        <f>IF(CO_Combined4[[#This Row],[Ship Mode]]=2,1,0)</f>
        <v>1</v>
      </c>
      <c r="W188">
        <f>IF(CO_Combined4[[#This Row],[Ship Mode]]=3,1,0)</f>
        <v>0</v>
      </c>
      <c r="X188">
        <f t="shared" si="5"/>
        <v>1</v>
      </c>
      <c r="Y188">
        <v>4</v>
      </c>
      <c r="Z188">
        <v>1</v>
      </c>
    </row>
    <row r="189" spans="1:26" x14ac:dyDescent="0.2">
      <c r="A189" t="s">
        <v>1117</v>
      </c>
      <c r="B189" t="s">
        <v>530</v>
      </c>
      <c r="C189" t="s">
        <v>320</v>
      </c>
      <c r="D189" t="s">
        <v>150</v>
      </c>
      <c r="E189" t="s">
        <v>97</v>
      </c>
      <c r="F189" t="s">
        <v>67</v>
      </c>
      <c r="G189">
        <v>19143</v>
      </c>
      <c r="H189" t="s">
        <v>27</v>
      </c>
      <c r="I189">
        <v>42991</v>
      </c>
      <c r="J189">
        <v>3</v>
      </c>
      <c r="K189" t="s">
        <v>1118</v>
      </c>
      <c r="L189">
        <v>0</v>
      </c>
      <c r="M189" t="b">
        <v>0</v>
      </c>
      <c r="N189">
        <v>42988</v>
      </c>
      <c r="O189">
        <v>3</v>
      </c>
      <c r="P189">
        <f t="shared" si="4"/>
        <v>0</v>
      </c>
      <c r="Q189">
        <f>IF(CO_Combined4[[#This Row],[Segment]]="COR",1,0)</f>
        <v>1</v>
      </c>
      <c r="R189">
        <f>IF(CO_Combined4[[#This Row],[Region ]]="E",1,0)</f>
        <v>1</v>
      </c>
      <c r="S189">
        <f>IF(CO_Combined4[[#This Row],[Region ]]="W",1,0)</f>
        <v>0</v>
      </c>
      <c r="T189">
        <f>IF(CO_Combined4[[#This Row],[Region ]]="S",1,0)</f>
        <v>0</v>
      </c>
      <c r="U189">
        <f>IF(CO_Combined4[[#This Row],[Ship Mode]]=1,1,0)</f>
        <v>0</v>
      </c>
      <c r="V189">
        <f>IF(CO_Combined4[[#This Row],[Ship Mode]]=2,1,0)</f>
        <v>0</v>
      </c>
      <c r="W189">
        <f>IF(CO_Combined4[[#This Row],[Ship Mode]]=3,1,0)</f>
        <v>1</v>
      </c>
      <c r="X189">
        <f t="shared" si="5"/>
        <v>1</v>
      </c>
      <c r="Y189">
        <v>2</v>
      </c>
      <c r="Z189">
        <v>0</v>
      </c>
    </row>
    <row r="190" spans="1:26" x14ac:dyDescent="0.2">
      <c r="A190" t="s">
        <v>1119</v>
      </c>
      <c r="B190" t="s">
        <v>437</v>
      </c>
      <c r="C190" t="s">
        <v>182</v>
      </c>
      <c r="D190" t="s">
        <v>90</v>
      </c>
      <c r="E190" t="s">
        <v>183</v>
      </c>
      <c r="F190" t="s">
        <v>184</v>
      </c>
      <c r="G190">
        <v>6824</v>
      </c>
      <c r="H190" t="s">
        <v>27</v>
      </c>
      <c r="I190">
        <v>43075</v>
      </c>
      <c r="J190">
        <v>4</v>
      </c>
      <c r="K190" t="s">
        <v>1120</v>
      </c>
      <c r="L190">
        <v>0</v>
      </c>
      <c r="M190" t="b">
        <v>0</v>
      </c>
      <c r="N190">
        <v>43070</v>
      </c>
      <c r="O190">
        <v>5</v>
      </c>
      <c r="P190">
        <f t="shared" si="4"/>
        <v>0</v>
      </c>
      <c r="Q190">
        <f>IF(CO_Combined4[[#This Row],[Segment]]="COR",1,0)</f>
        <v>0</v>
      </c>
      <c r="R190">
        <f>IF(CO_Combined4[[#This Row],[Region ]]="E",1,0)</f>
        <v>1</v>
      </c>
      <c r="S190">
        <f>IF(CO_Combined4[[#This Row],[Region ]]="W",1,0)</f>
        <v>0</v>
      </c>
      <c r="T190">
        <f>IF(CO_Combined4[[#This Row],[Region ]]="S",1,0)</f>
        <v>0</v>
      </c>
      <c r="U190">
        <f>IF(CO_Combined4[[#This Row],[Ship Mode]]=1,1,0)</f>
        <v>0</v>
      </c>
      <c r="V190">
        <f>IF(CO_Combined4[[#This Row],[Ship Mode]]=2,1,0)</f>
        <v>0</v>
      </c>
      <c r="W190">
        <f>IF(CO_Combined4[[#This Row],[Ship Mode]]=3,1,0)</f>
        <v>0</v>
      </c>
      <c r="X190">
        <f t="shared" si="5"/>
        <v>1</v>
      </c>
      <c r="Y190">
        <v>6</v>
      </c>
      <c r="Z190">
        <v>0</v>
      </c>
    </row>
    <row r="191" spans="1:26" x14ac:dyDescent="0.2">
      <c r="A191" t="s">
        <v>1122</v>
      </c>
      <c r="B191" t="s">
        <v>546</v>
      </c>
      <c r="C191" t="s">
        <v>342</v>
      </c>
      <c r="D191" t="s">
        <v>150</v>
      </c>
      <c r="E191" t="s">
        <v>343</v>
      </c>
      <c r="F191" t="s">
        <v>299</v>
      </c>
      <c r="G191">
        <v>36116</v>
      </c>
      <c r="H191" t="s">
        <v>47</v>
      </c>
      <c r="I191">
        <v>43081</v>
      </c>
      <c r="J191">
        <v>3</v>
      </c>
      <c r="K191" t="s">
        <v>1123</v>
      </c>
      <c r="L191">
        <v>0</v>
      </c>
      <c r="M191" t="b">
        <v>0</v>
      </c>
      <c r="N191">
        <v>43077</v>
      </c>
      <c r="O191">
        <v>4</v>
      </c>
      <c r="P191">
        <f t="shared" si="4"/>
        <v>0</v>
      </c>
      <c r="Q191">
        <f>IF(CO_Combined4[[#This Row],[Segment]]="COR",1,0)</f>
        <v>1</v>
      </c>
      <c r="R191">
        <f>IF(CO_Combined4[[#This Row],[Region ]]="E",1,0)</f>
        <v>0</v>
      </c>
      <c r="S191">
        <f>IF(CO_Combined4[[#This Row],[Region ]]="W",1,0)</f>
        <v>0</v>
      </c>
      <c r="T191">
        <f>IF(CO_Combined4[[#This Row],[Region ]]="S",1,0)</f>
        <v>1</v>
      </c>
      <c r="U191">
        <f>IF(CO_Combined4[[#This Row],[Ship Mode]]=1,1,0)</f>
        <v>0</v>
      </c>
      <c r="V191">
        <f>IF(CO_Combined4[[#This Row],[Ship Mode]]=2,1,0)</f>
        <v>0</v>
      </c>
      <c r="W191">
        <f>IF(CO_Combined4[[#This Row],[Ship Mode]]=3,1,0)</f>
        <v>1</v>
      </c>
      <c r="X191">
        <f t="shared" si="5"/>
        <v>1</v>
      </c>
      <c r="Y191">
        <v>1</v>
      </c>
      <c r="Z191">
        <v>0</v>
      </c>
    </row>
    <row r="192" spans="1:26" x14ac:dyDescent="0.2">
      <c r="A192" t="s">
        <v>1124</v>
      </c>
      <c r="B192" t="s">
        <v>384</v>
      </c>
      <c r="C192" t="s">
        <v>84</v>
      </c>
      <c r="D192" t="s">
        <v>9</v>
      </c>
      <c r="E192" t="s">
        <v>85</v>
      </c>
      <c r="F192" t="s">
        <v>86</v>
      </c>
      <c r="G192">
        <v>98103</v>
      </c>
      <c r="H192" t="s">
        <v>18</v>
      </c>
      <c r="I192">
        <v>41706</v>
      </c>
      <c r="J192">
        <v>2</v>
      </c>
      <c r="K192" t="s">
        <v>946</v>
      </c>
      <c r="L192">
        <v>6.666666666666668E-2</v>
      </c>
      <c r="M192" t="b">
        <v>0</v>
      </c>
      <c r="N192">
        <v>41705</v>
      </c>
      <c r="O192">
        <v>1</v>
      </c>
      <c r="P192">
        <f t="shared" si="4"/>
        <v>1</v>
      </c>
      <c r="Q192">
        <f>IF(CO_Combined4[[#This Row],[Segment]]="COR",1,0)</f>
        <v>0</v>
      </c>
      <c r="R192">
        <f>IF(CO_Combined4[[#This Row],[Region ]]="E",1,0)</f>
        <v>0</v>
      </c>
      <c r="S192">
        <f>IF(CO_Combined4[[#This Row],[Region ]]="W",1,0)</f>
        <v>1</v>
      </c>
      <c r="T192">
        <f>IF(CO_Combined4[[#This Row],[Region ]]="S",1,0)</f>
        <v>0</v>
      </c>
      <c r="U192">
        <f>IF(CO_Combined4[[#This Row],[Ship Mode]]=1,1,0)</f>
        <v>0</v>
      </c>
      <c r="V192">
        <f>IF(CO_Combined4[[#This Row],[Ship Mode]]=2,1,0)</f>
        <v>1</v>
      </c>
      <c r="W192">
        <f>IF(CO_Combined4[[#This Row],[Ship Mode]]=3,1,0)</f>
        <v>0</v>
      </c>
      <c r="X192">
        <f t="shared" si="5"/>
        <v>1</v>
      </c>
      <c r="Y192">
        <v>7</v>
      </c>
      <c r="Z192">
        <v>1</v>
      </c>
    </row>
    <row r="193" spans="1:26" x14ac:dyDescent="0.2">
      <c r="A193" t="s">
        <v>1126</v>
      </c>
      <c r="B193" t="s">
        <v>489</v>
      </c>
      <c r="C193" t="s">
        <v>261</v>
      </c>
      <c r="D193" t="s">
        <v>9</v>
      </c>
      <c r="E193" t="s">
        <v>85</v>
      </c>
      <c r="F193" t="s">
        <v>86</v>
      </c>
      <c r="G193">
        <v>98105</v>
      </c>
      <c r="H193" t="s">
        <v>18</v>
      </c>
      <c r="I193">
        <v>42347</v>
      </c>
      <c r="J193">
        <v>2</v>
      </c>
      <c r="K193" t="s">
        <v>887</v>
      </c>
      <c r="L193">
        <v>0.13333333333333336</v>
      </c>
      <c r="M193" t="b">
        <v>0</v>
      </c>
      <c r="N193">
        <v>42345</v>
      </c>
      <c r="O193">
        <v>2</v>
      </c>
      <c r="P193">
        <f t="shared" si="4"/>
        <v>1</v>
      </c>
      <c r="Q193">
        <f>IF(CO_Combined4[[#This Row],[Segment]]="COR",1,0)</f>
        <v>0</v>
      </c>
      <c r="R193">
        <f>IF(CO_Combined4[[#This Row],[Region ]]="E",1,0)</f>
        <v>0</v>
      </c>
      <c r="S193">
        <f>IF(CO_Combined4[[#This Row],[Region ]]="W",1,0)</f>
        <v>1</v>
      </c>
      <c r="T193">
        <f>IF(CO_Combined4[[#This Row],[Region ]]="S",1,0)</f>
        <v>0</v>
      </c>
      <c r="U193">
        <f>IF(CO_Combined4[[#This Row],[Ship Mode]]=1,1,0)</f>
        <v>0</v>
      </c>
      <c r="V193">
        <f>IF(CO_Combined4[[#This Row],[Ship Mode]]=2,1,0)</f>
        <v>1</v>
      </c>
      <c r="W193">
        <f>IF(CO_Combined4[[#This Row],[Ship Mode]]=3,1,0)</f>
        <v>0</v>
      </c>
      <c r="X193">
        <f t="shared" si="5"/>
        <v>1</v>
      </c>
      <c r="Y193">
        <v>13</v>
      </c>
      <c r="Z193">
        <v>1</v>
      </c>
    </row>
    <row r="194" spans="1:26" x14ac:dyDescent="0.2">
      <c r="A194" t="s">
        <v>1129</v>
      </c>
      <c r="B194" t="s">
        <v>476</v>
      </c>
      <c r="C194" t="s">
        <v>241</v>
      </c>
      <c r="D194" t="s">
        <v>150</v>
      </c>
      <c r="E194" t="s">
        <v>242</v>
      </c>
      <c r="F194" t="s">
        <v>53</v>
      </c>
      <c r="G194">
        <v>37918</v>
      </c>
      <c r="H194" t="s">
        <v>47</v>
      </c>
      <c r="I194">
        <v>41965</v>
      </c>
      <c r="J194">
        <v>3</v>
      </c>
      <c r="K194" t="s">
        <v>1130</v>
      </c>
      <c r="L194">
        <v>0</v>
      </c>
      <c r="M194" t="b">
        <v>0</v>
      </c>
      <c r="N194">
        <v>41959</v>
      </c>
      <c r="O194">
        <v>6</v>
      </c>
      <c r="P194">
        <f t="shared" ref="P194:P257" si="6">IF($D194="CON",1,0)</f>
        <v>0</v>
      </c>
      <c r="Q194">
        <f>IF(CO_Combined4[[#This Row],[Segment]]="COR",1,0)</f>
        <v>1</v>
      </c>
      <c r="R194">
        <f>IF(CO_Combined4[[#This Row],[Region ]]="E",1,0)</f>
        <v>0</v>
      </c>
      <c r="S194">
        <f>IF(CO_Combined4[[#This Row],[Region ]]="W",1,0)</f>
        <v>0</v>
      </c>
      <c r="T194">
        <f>IF(CO_Combined4[[#This Row],[Region ]]="S",1,0)</f>
        <v>1</v>
      </c>
      <c r="U194">
        <f>IF(CO_Combined4[[#This Row],[Ship Mode]]=1,1,0)</f>
        <v>0</v>
      </c>
      <c r="V194">
        <f>IF(CO_Combined4[[#This Row],[Ship Mode]]=2,1,0)</f>
        <v>0</v>
      </c>
      <c r="W194">
        <f>IF(CO_Combined4[[#This Row],[Ship Mode]]=3,1,0)</f>
        <v>1</v>
      </c>
      <c r="X194">
        <f t="shared" ref="X194:X257" si="7">IF($M194=$M$2,1,0)</f>
        <v>1</v>
      </c>
      <c r="Y194">
        <v>2</v>
      </c>
      <c r="Z194">
        <v>0</v>
      </c>
    </row>
    <row r="195" spans="1:26" x14ac:dyDescent="0.2">
      <c r="A195" t="s">
        <v>1131</v>
      </c>
      <c r="B195" t="s">
        <v>451</v>
      </c>
      <c r="C195" t="s">
        <v>204</v>
      </c>
      <c r="D195" t="s">
        <v>9</v>
      </c>
      <c r="E195" t="s">
        <v>205</v>
      </c>
      <c r="F195" t="s">
        <v>137</v>
      </c>
      <c r="G195">
        <v>45231</v>
      </c>
      <c r="H195" t="s">
        <v>27</v>
      </c>
      <c r="I195">
        <v>41885</v>
      </c>
      <c r="J195">
        <v>1</v>
      </c>
      <c r="K195" t="s">
        <v>909</v>
      </c>
      <c r="L195">
        <v>0</v>
      </c>
      <c r="M195" t="b">
        <v>0</v>
      </c>
      <c r="N195">
        <v>41885</v>
      </c>
      <c r="O195">
        <v>0</v>
      </c>
      <c r="P195">
        <f t="shared" si="6"/>
        <v>1</v>
      </c>
      <c r="Q195">
        <f>IF(CO_Combined4[[#This Row],[Segment]]="COR",1,0)</f>
        <v>0</v>
      </c>
      <c r="R195">
        <f>IF(CO_Combined4[[#This Row],[Region ]]="E",1,0)</f>
        <v>1</v>
      </c>
      <c r="S195">
        <f>IF(CO_Combined4[[#This Row],[Region ]]="W",1,0)</f>
        <v>0</v>
      </c>
      <c r="T195">
        <f>IF(CO_Combined4[[#This Row],[Region ]]="S",1,0)</f>
        <v>0</v>
      </c>
      <c r="U195">
        <f>IF(CO_Combined4[[#This Row],[Ship Mode]]=1,1,0)</f>
        <v>1</v>
      </c>
      <c r="V195">
        <f>IF(CO_Combined4[[#This Row],[Ship Mode]]=2,1,0)</f>
        <v>0</v>
      </c>
      <c r="W195">
        <f>IF(CO_Combined4[[#This Row],[Ship Mode]]=3,1,0)</f>
        <v>0</v>
      </c>
      <c r="X195">
        <f t="shared" si="7"/>
        <v>1</v>
      </c>
      <c r="Y195">
        <v>5</v>
      </c>
      <c r="Z195">
        <v>0</v>
      </c>
    </row>
    <row r="196" spans="1:26" x14ac:dyDescent="0.2">
      <c r="A196" t="s">
        <v>1132</v>
      </c>
      <c r="B196" t="s">
        <v>563</v>
      </c>
      <c r="C196" t="s">
        <v>372</v>
      </c>
      <c r="D196" t="s">
        <v>90</v>
      </c>
      <c r="E196" t="s">
        <v>16</v>
      </c>
      <c r="F196" t="s">
        <v>17</v>
      </c>
      <c r="G196">
        <v>94110</v>
      </c>
      <c r="H196" t="s">
        <v>18</v>
      </c>
      <c r="I196">
        <v>42982</v>
      </c>
      <c r="J196">
        <v>2</v>
      </c>
      <c r="K196" t="s">
        <v>1108</v>
      </c>
      <c r="L196">
        <v>0.2</v>
      </c>
      <c r="M196" t="b">
        <v>0</v>
      </c>
      <c r="N196">
        <v>42978</v>
      </c>
      <c r="O196">
        <v>4</v>
      </c>
      <c r="P196">
        <f t="shared" si="6"/>
        <v>0</v>
      </c>
      <c r="Q196">
        <f>IF(CO_Combined4[[#This Row],[Segment]]="COR",1,0)</f>
        <v>0</v>
      </c>
      <c r="R196">
        <f>IF(CO_Combined4[[#This Row],[Region ]]="E",1,0)</f>
        <v>0</v>
      </c>
      <c r="S196">
        <f>IF(CO_Combined4[[#This Row],[Region ]]="W",1,0)</f>
        <v>1</v>
      </c>
      <c r="T196">
        <f>IF(CO_Combined4[[#This Row],[Region ]]="S",1,0)</f>
        <v>0</v>
      </c>
      <c r="U196">
        <f>IF(CO_Combined4[[#This Row],[Ship Mode]]=1,1,0)</f>
        <v>0</v>
      </c>
      <c r="V196">
        <f>IF(CO_Combined4[[#This Row],[Ship Mode]]=2,1,0)</f>
        <v>1</v>
      </c>
      <c r="W196">
        <f>IF(CO_Combined4[[#This Row],[Ship Mode]]=3,1,0)</f>
        <v>0</v>
      </c>
      <c r="X196">
        <f t="shared" si="7"/>
        <v>1</v>
      </c>
      <c r="Y196">
        <v>7</v>
      </c>
      <c r="Z196">
        <v>1</v>
      </c>
    </row>
    <row r="197" spans="1:26" x14ac:dyDescent="0.2">
      <c r="A197" t="s">
        <v>1133</v>
      </c>
      <c r="B197" t="s">
        <v>391</v>
      </c>
      <c r="C197" t="s">
        <v>98</v>
      </c>
      <c r="D197" t="s">
        <v>90</v>
      </c>
      <c r="E197" t="s">
        <v>38</v>
      </c>
      <c r="F197" t="s">
        <v>17</v>
      </c>
      <c r="G197">
        <v>90004</v>
      </c>
      <c r="H197" t="s">
        <v>18</v>
      </c>
      <c r="I197">
        <v>42867</v>
      </c>
      <c r="J197">
        <v>4</v>
      </c>
      <c r="K197" t="s">
        <v>1134</v>
      </c>
      <c r="L197">
        <v>0</v>
      </c>
      <c r="M197" t="b">
        <v>0</v>
      </c>
      <c r="N197">
        <v>42862</v>
      </c>
      <c r="O197">
        <v>5</v>
      </c>
      <c r="P197">
        <f t="shared" si="6"/>
        <v>0</v>
      </c>
      <c r="Q197">
        <f>IF(CO_Combined4[[#This Row],[Segment]]="COR",1,0)</f>
        <v>0</v>
      </c>
      <c r="R197">
        <f>IF(CO_Combined4[[#This Row],[Region ]]="E",1,0)</f>
        <v>0</v>
      </c>
      <c r="S197">
        <f>IF(CO_Combined4[[#This Row],[Region ]]="W",1,0)</f>
        <v>1</v>
      </c>
      <c r="T197">
        <f>IF(CO_Combined4[[#This Row],[Region ]]="S",1,0)</f>
        <v>0</v>
      </c>
      <c r="U197">
        <f>IF(CO_Combined4[[#This Row],[Ship Mode]]=1,1,0)</f>
        <v>0</v>
      </c>
      <c r="V197">
        <f>IF(CO_Combined4[[#This Row],[Ship Mode]]=2,1,0)</f>
        <v>0</v>
      </c>
      <c r="W197">
        <f>IF(CO_Combined4[[#This Row],[Ship Mode]]=3,1,0)</f>
        <v>0</v>
      </c>
      <c r="X197">
        <f t="shared" si="7"/>
        <v>1</v>
      </c>
      <c r="Y197">
        <v>1</v>
      </c>
      <c r="Z197">
        <v>0</v>
      </c>
    </row>
    <row r="198" spans="1:26" x14ac:dyDescent="0.2">
      <c r="A198" t="s">
        <v>1135</v>
      </c>
      <c r="B198" t="s">
        <v>500</v>
      </c>
      <c r="C198" t="s">
        <v>274</v>
      </c>
      <c r="D198" t="s">
        <v>90</v>
      </c>
      <c r="E198" t="s">
        <v>38</v>
      </c>
      <c r="F198" t="s">
        <v>17</v>
      </c>
      <c r="G198">
        <v>90036</v>
      </c>
      <c r="H198" t="s">
        <v>18</v>
      </c>
      <c r="I198">
        <v>42687</v>
      </c>
      <c r="J198">
        <v>3</v>
      </c>
      <c r="K198" t="s">
        <v>1139</v>
      </c>
      <c r="L198">
        <v>2.8571428571428574E-2</v>
      </c>
      <c r="M198" t="b">
        <v>1</v>
      </c>
      <c r="N198">
        <v>42684</v>
      </c>
      <c r="O198">
        <v>3</v>
      </c>
      <c r="P198">
        <f t="shared" si="6"/>
        <v>0</v>
      </c>
      <c r="Q198">
        <f>IF(CO_Combined4[[#This Row],[Segment]]="COR",1,0)</f>
        <v>0</v>
      </c>
      <c r="R198">
        <f>IF(CO_Combined4[[#This Row],[Region ]]="E",1,0)</f>
        <v>0</v>
      </c>
      <c r="S198">
        <f>IF(CO_Combined4[[#This Row],[Region ]]="W",1,0)</f>
        <v>1</v>
      </c>
      <c r="T198">
        <f>IF(CO_Combined4[[#This Row],[Region ]]="S",1,0)</f>
        <v>0</v>
      </c>
      <c r="U198">
        <f>IF(CO_Combined4[[#This Row],[Ship Mode]]=1,1,0)</f>
        <v>0</v>
      </c>
      <c r="V198">
        <f>IF(CO_Combined4[[#This Row],[Ship Mode]]=2,1,0)</f>
        <v>0</v>
      </c>
      <c r="W198">
        <f>IF(CO_Combined4[[#This Row],[Ship Mode]]=3,1,0)</f>
        <v>1</v>
      </c>
      <c r="X198">
        <f t="shared" si="7"/>
        <v>0</v>
      </c>
      <c r="Y198">
        <v>33</v>
      </c>
      <c r="Z198">
        <v>1</v>
      </c>
    </row>
    <row r="199" spans="1:26" x14ac:dyDescent="0.2">
      <c r="A199" t="s">
        <v>1141</v>
      </c>
      <c r="B199" t="s">
        <v>392</v>
      </c>
      <c r="C199" t="s">
        <v>99</v>
      </c>
      <c r="D199" t="s">
        <v>90</v>
      </c>
      <c r="E199" t="s">
        <v>100</v>
      </c>
      <c r="F199" t="s">
        <v>86</v>
      </c>
      <c r="G199">
        <v>98198</v>
      </c>
      <c r="H199" t="s">
        <v>18</v>
      </c>
      <c r="I199">
        <v>42271</v>
      </c>
      <c r="J199">
        <v>4</v>
      </c>
      <c r="K199" t="s">
        <v>1142</v>
      </c>
      <c r="L199">
        <v>0</v>
      </c>
      <c r="M199" t="b">
        <v>0</v>
      </c>
      <c r="N199">
        <v>42265</v>
      </c>
      <c r="O199">
        <v>6</v>
      </c>
      <c r="P199">
        <f t="shared" si="6"/>
        <v>0</v>
      </c>
      <c r="Q199">
        <f>IF(CO_Combined4[[#This Row],[Segment]]="COR",1,0)</f>
        <v>0</v>
      </c>
      <c r="R199">
        <f>IF(CO_Combined4[[#This Row],[Region ]]="E",1,0)</f>
        <v>0</v>
      </c>
      <c r="S199">
        <f>IF(CO_Combined4[[#This Row],[Region ]]="W",1,0)</f>
        <v>1</v>
      </c>
      <c r="T199">
        <f>IF(CO_Combined4[[#This Row],[Region ]]="S",1,0)</f>
        <v>0</v>
      </c>
      <c r="U199">
        <f>IF(CO_Combined4[[#This Row],[Ship Mode]]=1,1,0)</f>
        <v>0</v>
      </c>
      <c r="V199">
        <f>IF(CO_Combined4[[#This Row],[Ship Mode]]=2,1,0)</f>
        <v>0</v>
      </c>
      <c r="W199">
        <f>IF(CO_Combined4[[#This Row],[Ship Mode]]=3,1,0)</f>
        <v>0</v>
      </c>
      <c r="X199">
        <f t="shared" si="7"/>
        <v>1</v>
      </c>
      <c r="Y199">
        <v>2</v>
      </c>
      <c r="Z199">
        <v>0</v>
      </c>
    </row>
    <row r="200" spans="1:26" x14ac:dyDescent="0.2">
      <c r="A200" t="s">
        <v>1143</v>
      </c>
      <c r="B200" t="s">
        <v>491</v>
      </c>
      <c r="C200" t="s">
        <v>263</v>
      </c>
      <c r="D200" t="s">
        <v>9</v>
      </c>
      <c r="E200" t="s">
        <v>132</v>
      </c>
      <c r="F200" t="s">
        <v>22</v>
      </c>
      <c r="G200">
        <v>75217</v>
      </c>
      <c r="H200" t="s">
        <v>12</v>
      </c>
      <c r="I200">
        <v>42012</v>
      </c>
      <c r="J200">
        <v>3</v>
      </c>
      <c r="K200" t="s">
        <v>1144</v>
      </c>
      <c r="L200">
        <v>0.24000000000000002</v>
      </c>
      <c r="M200" t="b">
        <v>0</v>
      </c>
      <c r="N200">
        <v>42007</v>
      </c>
      <c r="O200">
        <v>5</v>
      </c>
      <c r="P200">
        <f t="shared" si="6"/>
        <v>1</v>
      </c>
      <c r="Q200">
        <f>IF(CO_Combined4[[#This Row],[Segment]]="COR",1,0)</f>
        <v>0</v>
      </c>
      <c r="R200">
        <f>IF(CO_Combined4[[#This Row],[Region ]]="E",1,0)</f>
        <v>0</v>
      </c>
      <c r="S200">
        <f>IF(CO_Combined4[[#This Row],[Region ]]="W",1,0)</f>
        <v>0</v>
      </c>
      <c r="T200">
        <f>IF(CO_Combined4[[#This Row],[Region ]]="S",1,0)</f>
        <v>0</v>
      </c>
      <c r="U200">
        <f>IF(CO_Combined4[[#This Row],[Ship Mode]]=1,1,0)</f>
        <v>0</v>
      </c>
      <c r="V200">
        <f>IF(CO_Combined4[[#This Row],[Ship Mode]]=2,1,0)</f>
        <v>0</v>
      </c>
      <c r="W200">
        <f>IF(CO_Combined4[[#This Row],[Ship Mode]]=3,1,0)</f>
        <v>1</v>
      </c>
      <c r="X200">
        <f t="shared" si="7"/>
        <v>1</v>
      </c>
      <c r="Y200">
        <v>17</v>
      </c>
      <c r="Z200">
        <v>1</v>
      </c>
    </row>
    <row r="201" spans="1:26" x14ac:dyDescent="0.2">
      <c r="A201" t="s">
        <v>1146</v>
      </c>
      <c r="B201" t="s">
        <v>569</v>
      </c>
      <c r="C201" t="s">
        <v>381</v>
      </c>
      <c r="D201" t="s">
        <v>9</v>
      </c>
      <c r="E201" t="s">
        <v>132</v>
      </c>
      <c r="F201" t="s">
        <v>22</v>
      </c>
      <c r="G201">
        <v>75217</v>
      </c>
      <c r="H201" t="s">
        <v>12</v>
      </c>
      <c r="I201">
        <v>41715</v>
      </c>
      <c r="J201">
        <v>1</v>
      </c>
      <c r="K201" t="s">
        <v>592</v>
      </c>
      <c r="L201">
        <v>0.2</v>
      </c>
      <c r="M201" t="b">
        <v>1</v>
      </c>
      <c r="N201">
        <v>41715</v>
      </c>
      <c r="O201">
        <v>0</v>
      </c>
      <c r="P201">
        <f t="shared" si="6"/>
        <v>1</v>
      </c>
      <c r="Q201">
        <f>IF(CO_Combined4[[#This Row],[Segment]]="COR",1,0)</f>
        <v>0</v>
      </c>
      <c r="R201">
        <f>IF(CO_Combined4[[#This Row],[Region ]]="E",1,0)</f>
        <v>0</v>
      </c>
      <c r="S201">
        <f>IF(CO_Combined4[[#This Row],[Region ]]="W",1,0)</f>
        <v>0</v>
      </c>
      <c r="T201">
        <f>IF(CO_Combined4[[#This Row],[Region ]]="S",1,0)</f>
        <v>0</v>
      </c>
      <c r="U201">
        <f>IF(CO_Combined4[[#This Row],[Ship Mode]]=1,1,0)</f>
        <v>1</v>
      </c>
      <c r="V201">
        <f>IF(CO_Combined4[[#This Row],[Ship Mode]]=2,1,0)</f>
        <v>0</v>
      </c>
      <c r="W201">
        <f>IF(CO_Combined4[[#This Row],[Ship Mode]]=3,1,0)</f>
        <v>0</v>
      </c>
      <c r="X201">
        <f t="shared" si="7"/>
        <v>0</v>
      </c>
      <c r="Y201">
        <v>6</v>
      </c>
      <c r="Z201">
        <v>1</v>
      </c>
    </row>
    <row r="202" spans="1:26" x14ac:dyDescent="0.2">
      <c r="A202" t="s">
        <v>1148</v>
      </c>
      <c r="B202" t="s">
        <v>408</v>
      </c>
      <c r="C202" t="s">
        <v>131</v>
      </c>
      <c r="D202" t="s">
        <v>9</v>
      </c>
      <c r="E202" t="s">
        <v>132</v>
      </c>
      <c r="F202" t="s">
        <v>22</v>
      </c>
      <c r="G202">
        <v>75220</v>
      </c>
      <c r="H202" t="s">
        <v>12</v>
      </c>
      <c r="I202">
        <v>42402</v>
      </c>
      <c r="J202">
        <v>3</v>
      </c>
      <c r="K202" t="s">
        <v>1149</v>
      </c>
      <c r="L202">
        <v>0.2</v>
      </c>
      <c r="M202" t="b">
        <v>0</v>
      </c>
      <c r="N202">
        <v>42400</v>
      </c>
      <c r="O202">
        <v>2</v>
      </c>
      <c r="P202">
        <f t="shared" si="6"/>
        <v>1</v>
      </c>
      <c r="Q202">
        <f>IF(CO_Combined4[[#This Row],[Segment]]="COR",1,0)</f>
        <v>0</v>
      </c>
      <c r="R202">
        <f>IF(CO_Combined4[[#This Row],[Region ]]="E",1,0)</f>
        <v>0</v>
      </c>
      <c r="S202">
        <f>IF(CO_Combined4[[#This Row],[Region ]]="W",1,0)</f>
        <v>0</v>
      </c>
      <c r="T202">
        <f>IF(CO_Combined4[[#This Row],[Region ]]="S",1,0)</f>
        <v>0</v>
      </c>
      <c r="U202">
        <f>IF(CO_Combined4[[#This Row],[Ship Mode]]=1,1,0)</f>
        <v>0</v>
      </c>
      <c r="V202">
        <f>IF(CO_Combined4[[#This Row],[Ship Mode]]=2,1,0)</f>
        <v>0</v>
      </c>
      <c r="W202">
        <f>IF(CO_Combined4[[#This Row],[Ship Mode]]=3,1,0)</f>
        <v>1</v>
      </c>
      <c r="X202">
        <f t="shared" si="7"/>
        <v>1</v>
      </c>
      <c r="Y202">
        <v>3</v>
      </c>
      <c r="Z202">
        <v>1</v>
      </c>
    </row>
    <row r="203" spans="1:26" x14ac:dyDescent="0.2">
      <c r="A203" t="s">
        <v>1150</v>
      </c>
      <c r="B203" t="s">
        <v>416</v>
      </c>
      <c r="C203" t="s">
        <v>148</v>
      </c>
      <c r="D203" t="s">
        <v>90</v>
      </c>
      <c r="E203" t="s">
        <v>85</v>
      </c>
      <c r="F203" t="s">
        <v>86</v>
      </c>
      <c r="G203">
        <v>98103</v>
      </c>
      <c r="H203" t="s">
        <v>18</v>
      </c>
      <c r="I203">
        <v>42671</v>
      </c>
      <c r="J203">
        <v>4</v>
      </c>
      <c r="K203" t="s">
        <v>1151</v>
      </c>
      <c r="L203">
        <v>0</v>
      </c>
      <c r="M203" t="b">
        <v>0</v>
      </c>
      <c r="N203">
        <v>42666</v>
      </c>
      <c r="O203">
        <v>5</v>
      </c>
      <c r="P203">
        <f t="shared" si="6"/>
        <v>0</v>
      </c>
      <c r="Q203">
        <f>IF(CO_Combined4[[#This Row],[Segment]]="COR",1,0)</f>
        <v>0</v>
      </c>
      <c r="R203">
        <f>IF(CO_Combined4[[#This Row],[Region ]]="E",1,0)</f>
        <v>0</v>
      </c>
      <c r="S203">
        <f>IF(CO_Combined4[[#This Row],[Region ]]="W",1,0)</f>
        <v>1</v>
      </c>
      <c r="T203">
        <f>IF(CO_Combined4[[#This Row],[Region ]]="S",1,0)</f>
        <v>0</v>
      </c>
      <c r="U203">
        <f>IF(CO_Combined4[[#This Row],[Ship Mode]]=1,1,0)</f>
        <v>0</v>
      </c>
      <c r="V203">
        <f>IF(CO_Combined4[[#This Row],[Ship Mode]]=2,1,0)</f>
        <v>0</v>
      </c>
      <c r="W203">
        <f>IF(CO_Combined4[[#This Row],[Ship Mode]]=3,1,0)</f>
        <v>0</v>
      </c>
      <c r="X203">
        <f t="shared" si="7"/>
        <v>1</v>
      </c>
      <c r="Y203">
        <v>5</v>
      </c>
      <c r="Z203">
        <v>0</v>
      </c>
    </row>
    <row r="204" spans="1:26" x14ac:dyDescent="0.2">
      <c r="A204" t="s">
        <v>1152</v>
      </c>
      <c r="B204" t="s">
        <v>453</v>
      </c>
      <c r="C204" t="s">
        <v>207</v>
      </c>
      <c r="D204" t="s">
        <v>150</v>
      </c>
      <c r="E204" t="s">
        <v>208</v>
      </c>
      <c r="F204" t="s">
        <v>31</v>
      </c>
      <c r="G204">
        <v>85345</v>
      </c>
      <c r="H204" t="s">
        <v>18</v>
      </c>
      <c r="I204">
        <v>42307</v>
      </c>
      <c r="J204">
        <v>3</v>
      </c>
      <c r="K204" t="s">
        <v>1153</v>
      </c>
      <c r="L204">
        <v>0.2</v>
      </c>
      <c r="M204" t="b">
        <v>1</v>
      </c>
      <c r="N204">
        <v>42303</v>
      </c>
      <c r="O204">
        <v>4</v>
      </c>
      <c r="P204">
        <f t="shared" si="6"/>
        <v>0</v>
      </c>
      <c r="Q204">
        <f>IF(CO_Combined4[[#This Row],[Segment]]="COR",1,0)</f>
        <v>1</v>
      </c>
      <c r="R204">
        <f>IF(CO_Combined4[[#This Row],[Region ]]="E",1,0)</f>
        <v>0</v>
      </c>
      <c r="S204">
        <f>IF(CO_Combined4[[#This Row],[Region ]]="W",1,0)</f>
        <v>1</v>
      </c>
      <c r="T204">
        <f>IF(CO_Combined4[[#This Row],[Region ]]="S",1,0)</f>
        <v>0</v>
      </c>
      <c r="U204">
        <f>IF(CO_Combined4[[#This Row],[Ship Mode]]=1,1,0)</f>
        <v>0</v>
      </c>
      <c r="V204">
        <f>IF(CO_Combined4[[#This Row],[Ship Mode]]=2,1,0)</f>
        <v>0</v>
      </c>
      <c r="W204">
        <f>IF(CO_Combined4[[#This Row],[Ship Mode]]=3,1,0)</f>
        <v>1</v>
      </c>
      <c r="X204">
        <f t="shared" si="7"/>
        <v>0</v>
      </c>
      <c r="Y204">
        <v>4</v>
      </c>
      <c r="Z204">
        <v>1</v>
      </c>
    </row>
    <row r="205" spans="1:26" x14ac:dyDescent="0.2">
      <c r="A205" t="s">
        <v>1155</v>
      </c>
      <c r="B205" t="s">
        <v>511</v>
      </c>
      <c r="C205" t="s">
        <v>291</v>
      </c>
      <c r="D205" t="s">
        <v>9</v>
      </c>
      <c r="E205" t="s">
        <v>118</v>
      </c>
      <c r="F205" t="s">
        <v>119</v>
      </c>
      <c r="G205">
        <v>48227</v>
      </c>
      <c r="H205" t="s">
        <v>12</v>
      </c>
      <c r="I205">
        <v>42697</v>
      </c>
      <c r="J205">
        <v>4</v>
      </c>
      <c r="K205" t="s">
        <v>1156</v>
      </c>
      <c r="L205">
        <v>0</v>
      </c>
      <c r="M205" t="b">
        <v>0</v>
      </c>
      <c r="N205">
        <v>42692</v>
      </c>
      <c r="O205">
        <v>5</v>
      </c>
      <c r="P205">
        <f t="shared" si="6"/>
        <v>1</v>
      </c>
      <c r="Q205">
        <f>IF(CO_Combined4[[#This Row],[Segment]]="COR",1,0)</f>
        <v>0</v>
      </c>
      <c r="R205">
        <f>IF(CO_Combined4[[#This Row],[Region ]]="E",1,0)</f>
        <v>0</v>
      </c>
      <c r="S205">
        <f>IF(CO_Combined4[[#This Row],[Region ]]="W",1,0)</f>
        <v>0</v>
      </c>
      <c r="T205">
        <f>IF(CO_Combined4[[#This Row],[Region ]]="S",1,0)</f>
        <v>0</v>
      </c>
      <c r="U205">
        <f>IF(CO_Combined4[[#This Row],[Ship Mode]]=1,1,0)</f>
        <v>0</v>
      </c>
      <c r="V205">
        <f>IF(CO_Combined4[[#This Row],[Ship Mode]]=2,1,0)</f>
        <v>0</v>
      </c>
      <c r="W205">
        <f>IF(CO_Combined4[[#This Row],[Ship Mode]]=3,1,0)</f>
        <v>0</v>
      </c>
      <c r="X205">
        <f t="shared" si="7"/>
        <v>1</v>
      </c>
      <c r="Y205">
        <v>2</v>
      </c>
      <c r="Z205">
        <v>0</v>
      </c>
    </row>
    <row r="206" spans="1:26" x14ac:dyDescent="0.2">
      <c r="A206" t="s">
        <v>1157</v>
      </c>
      <c r="B206" t="s">
        <v>508</v>
      </c>
      <c r="C206" t="s">
        <v>286</v>
      </c>
      <c r="D206" t="s">
        <v>150</v>
      </c>
      <c r="E206" t="s">
        <v>287</v>
      </c>
      <c r="F206" t="s">
        <v>17</v>
      </c>
      <c r="G206">
        <v>92307</v>
      </c>
      <c r="H206" t="s">
        <v>18</v>
      </c>
      <c r="I206">
        <v>42734</v>
      </c>
      <c r="J206">
        <v>3</v>
      </c>
      <c r="K206" t="s">
        <v>1158</v>
      </c>
      <c r="L206">
        <v>0.2</v>
      </c>
      <c r="M206" t="b">
        <v>0</v>
      </c>
      <c r="N206">
        <v>42730</v>
      </c>
      <c r="O206">
        <v>4</v>
      </c>
      <c r="P206">
        <f t="shared" si="6"/>
        <v>0</v>
      </c>
      <c r="Q206">
        <f>IF(CO_Combined4[[#This Row],[Segment]]="COR",1,0)</f>
        <v>1</v>
      </c>
      <c r="R206">
        <f>IF(CO_Combined4[[#This Row],[Region ]]="E",1,0)</f>
        <v>0</v>
      </c>
      <c r="S206">
        <f>IF(CO_Combined4[[#This Row],[Region ]]="W",1,0)</f>
        <v>1</v>
      </c>
      <c r="T206">
        <f>IF(CO_Combined4[[#This Row],[Region ]]="S",1,0)</f>
        <v>0</v>
      </c>
      <c r="U206">
        <f>IF(CO_Combined4[[#This Row],[Ship Mode]]=1,1,0)</f>
        <v>0</v>
      </c>
      <c r="V206">
        <f>IF(CO_Combined4[[#This Row],[Ship Mode]]=2,1,0)</f>
        <v>0</v>
      </c>
      <c r="W206">
        <f>IF(CO_Combined4[[#This Row],[Ship Mode]]=3,1,0)</f>
        <v>1</v>
      </c>
      <c r="X206">
        <f t="shared" si="7"/>
        <v>1</v>
      </c>
      <c r="Y206">
        <v>3</v>
      </c>
      <c r="Z206">
        <v>1</v>
      </c>
    </row>
    <row r="207" spans="1:26" x14ac:dyDescent="0.2">
      <c r="A207" t="s">
        <v>1159</v>
      </c>
      <c r="B207" t="s">
        <v>460</v>
      </c>
      <c r="C207" t="s">
        <v>217</v>
      </c>
      <c r="D207" t="s">
        <v>9</v>
      </c>
      <c r="E207" t="s">
        <v>218</v>
      </c>
      <c r="F207" t="s">
        <v>46</v>
      </c>
      <c r="G207">
        <v>31907</v>
      </c>
      <c r="H207" t="s">
        <v>47</v>
      </c>
      <c r="I207">
        <v>43005</v>
      </c>
      <c r="J207">
        <v>2</v>
      </c>
      <c r="K207" t="s">
        <v>1160</v>
      </c>
      <c r="L207">
        <v>0</v>
      </c>
      <c r="M207" t="b">
        <v>0</v>
      </c>
      <c r="N207">
        <v>43002</v>
      </c>
      <c r="O207">
        <v>3</v>
      </c>
      <c r="P207">
        <f t="shared" si="6"/>
        <v>1</v>
      </c>
      <c r="Q207">
        <f>IF(CO_Combined4[[#This Row],[Segment]]="COR",1,0)</f>
        <v>0</v>
      </c>
      <c r="R207">
        <f>IF(CO_Combined4[[#This Row],[Region ]]="E",1,0)</f>
        <v>0</v>
      </c>
      <c r="S207">
        <f>IF(CO_Combined4[[#This Row],[Region ]]="W",1,0)</f>
        <v>0</v>
      </c>
      <c r="T207">
        <f>IF(CO_Combined4[[#This Row],[Region ]]="S",1,0)</f>
        <v>1</v>
      </c>
      <c r="U207">
        <f>IF(CO_Combined4[[#This Row],[Ship Mode]]=1,1,0)</f>
        <v>0</v>
      </c>
      <c r="V207">
        <f>IF(CO_Combined4[[#This Row],[Ship Mode]]=2,1,0)</f>
        <v>1</v>
      </c>
      <c r="W207">
        <f>IF(CO_Combined4[[#This Row],[Ship Mode]]=3,1,0)</f>
        <v>0</v>
      </c>
      <c r="X207">
        <f t="shared" si="7"/>
        <v>1</v>
      </c>
      <c r="Y207">
        <v>10</v>
      </c>
      <c r="Z207">
        <v>0</v>
      </c>
    </row>
    <row r="208" spans="1:26" x14ac:dyDescent="0.2">
      <c r="A208" t="s">
        <v>1162</v>
      </c>
      <c r="B208" t="s">
        <v>499</v>
      </c>
      <c r="C208" t="s">
        <v>273</v>
      </c>
      <c r="D208" t="s">
        <v>9</v>
      </c>
      <c r="E208" t="s">
        <v>97</v>
      </c>
      <c r="F208" t="s">
        <v>67</v>
      </c>
      <c r="G208">
        <v>19120</v>
      </c>
      <c r="H208" t="s">
        <v>27</v>
      </c>
      <c r="I208">
        <v>41774</v>
      </c>
      <c r="J208">
        <v>4</v>
      </c>
      <c r="K208" t="s">
        <v>1164</v>
      </c>
      <c r="L208">
        <v>0.1</v>
      </c>
      <c r="M208" t="b">
        <v>1</v>
      </c>
      <c r="N208">
        <v>41769</v>
      </c>
      <c r="O208">
        <v>5</v>
      </c>
      <c r="P208">
        <f t="shared" si="6"/>
        <v>1</v>
      </c>
      <c r="Q208">
        <f>IF(CO_Combined4[[#This Row],[Segment]]="COR",1,0)</f>
        <v>0</v>
      </c>
      <c r="R208">
        <f>IF(CO_Combined4[[#This Row],[Region ]]="E",1,0)</f>
        <v>1</v>
      </c>
      <c r="S208">
        <f>IF(CO_Combined4[[#This Row],[Region ]]="W",1,0)</f>
        <v>0</v>
      </c>
      <c r="T208">
        <f>IF(CO_Combined4[[#This Row],[Region ]]="S",1,0)</f>
        <v>0</v>
      </c>
      <c r="U208">
        <f>IF(CO_Combined4[[#This Row],[Ship Mode]]=1,1,0)</f>
        <v>0</v>
      </c>
      <c r="V208">
        <f>IF(CO_Combined4[[#This Row],[Ship Mode]]=2,1,0)</f>
        <v>0</v>
      </c>
      <c r="W208">
        <f>IF(CO_Combined4[[#This Row],[Ship Mode]]=3,1,0)</f>
        <v>0</v>
      </c>
      <c r="X208">
        <f t="shared" si="7"/>
        <v>0</v>
      </c>
      <c r="Y208">
        <v>8</v>
      </c>
      <c r="Z208">
        <v>1</v>
      </c>
    </row>
    <row r="209" spans="1:26" x14ac:dyDescent="0.2">
      <c r="A209" t="s">
        <v>1165</v>
      </c>
      <c r="B209" t="s">
        <v>19</v>
      </c>
      <c r="C209" t="s">
        <v>20</v>
      </c>
      <c r="D209" t="s">
        <v>9</v>
      </c>
      <c r="E209" t="s">
        <v>21</v>
      </c>
      <c r="F209" t="s">
        <v>22</v>
      </c>
      <c r="G209">
        <v>78664</v>
      </c>
      <c r="H209" t="s">
        <v>12</v>
      </c>
      <c r="I209">
        <v>42437</v>
      </c>
      <c r="J209">
        <v>4</v>
      </c>
      <c r="K209" t="s">
        <v>1168</v>
      </c>
      <c r="L209">
        <v>0.2</v>
      </c>
      <c r="M209" t="b">
        <v>0</v>
      </c>
      <c r="N209">
        <v>42432</v>
      </c>
      <c r="O209">
        <v>5</v>
      </c>
      <c r="P209">
        <f t="shared" si="6"/>
        <v>1</v>
      </c>
      <c r="Q209">
        <f>IF(CO_Combined4[[#This Row],[Segment]]="COR",1,0)</f>
        <v>0</v>
      </c>
      <c r="R209">
        <f>IF(CO_Combined4[[#This Row],[Region ]]="E",1,0)</f>
        <v>0</v>
      </c>
      <c r="S209">
        <f>IF(CO_Combined4[[#This Row],[Region ]]="W",1,0)</f>
        <v>0</v>
      </c>
      <c r="T209">
        <f>IF(CO_Combined4[[#This Row],[Region ]]="S",1,0)</f>
        <v>0</v>
      </c>
      <c r="U209">
        <f>IF(CO_Combined4[[#This Row],[Ship Mode]]=1,1,0)</f>
        <v>0</v>
      </c>
      <c r="V209">
        <f>IF(CO_Combined4[[#This Row],[Ship Mode]]=2,1,0)</f>
        <v>0</v>
      </c>
      <c r="W209">
        <f>IF(CO_Combined4[[#This Row],[Ship Mode]]=3,1,0)</f>
        <v>0</v>
      </c>
      <c r="X209">
        <f t="shared" si="7"/>
        <v>1</v>
      </c>
      <c r="Y209">
        <v>14</v>
      </c>
      <c r="Z209">
        <v>1</v>
      </c>
    </row>
    <row r="210" spans="1:26" x14ac:dyDescent="0.2">
      <c r="A210" t="s">
        <v>1170</v>
      </c>
      <c r="B210" t="s">
        <v>568</v>
      </c>
      <c r="C210" t="s">
        <v>379</v>
      </c>
      <c r="D210" t="s">
        <v>9</v>
      </c>
      <c r="E210" t="s">
        <v>380</v>
      </c>
      <c r="F210" t="s">
        <v>124</v>
      </c>
      <c r="G210">
        <v>60090</v>
      </c>
      <c r="H210" t="s">
        <v>12</v>
      </c>
      <c r="I210">
        <v>42140</v>
      </c>
      <c r="J210">
        <v>3</v>
      </c>
      <c r="K210" t="s">
        <v>1171</v>
      </c>
      <c r="L210">
        <v>0</v>
      </c>
      <c r="M210" t="b">
        <v>0</v>
      </c>
      <c r="N210">
        <v>42136</v>
      </c>
      <c r="O210">
        <v>4</v>
      </c>
      <c r="P210">
        <f t="shared" si="6"/>
        <v>1</v>
      </c>
      <c r="Q210">
        <f>IF(CO_Combined4[[#This Row],[Segment]]="COR",1,0)</f>
        <v>0</v>
      </c>
      <c r="R210">
        <f>IF(CO_Combined4[[#This Row],[Region ]]="E",1,0)</f>
        <v>0</v>
      </c>
      <c r="S210">
        <f>IF(CO_Combined4[[#This Row],[Region ]]="W",1,0)</f>
        <v>0</v>
      </c>
      <c r="T210">
        <f>IF(CO_Combined4[[#This Row],[Region ]]="S",1,0)</f>
        <v>0</v>
      </c>
      <c r="U210">
        <f>IF(CO_Combined4[[#This Row],[Ship Mode]]=1,1,0)</f>
        <v>0</v>
      </c>
      <c r="V210">
        <f>IF(CO_Combined4[[#This Row],[Ship Mode]]=2,1,0)</f>
        <v>0</v>
      </c>
      <c r="W210">
        <f>IF(CO_Combined4[[#This Row],[Ship Mode]]=3,1,0)</f>
        <v>1</v>
      </c>
      <c r="X210">
        <f t="shared" si="7"/>
        <v>1</v>
      </c>
      <c r="Y210">
        <v>3</v>
      </c>
      <c r="Z210">
        <v>0</v>
      </c>
    </row>
    <row r="211" spans="1:26" x14ac:dyDescent="0.2">
      <c r="A211" t="s">
        <v>1172</v>
      </c>
      <c r="B211" t="s">
        <v>541</v>
      </c>
      <c r="C211" t="s">
        <v>336</v>
      </c>
      <c r="D211" t="s">
        <v>9</v>
      </c>
      <c r="E211" t="s">
        <v>25</v>
      </c>
      <c r="F211" t="s">
        <v>26</v>
      </c>
      <c r="G211">
        <v>10011</v>
      </c>
      <c r="H211" t="s">
        <v>27</v>
      </c>
      <c r="I211">
        <v>42547</v>
      </c>
      <c r="J211">
        <v>4</v>
      </c>
      <c r="K211" t="s">
        <v>1174</v>
      </c>
      <c r="L211">
        <v>0.2</v>
      </c>
      <c r="M211" t="b">
        <v>0</v>
      </c>
      <c r="N211">
        <v>42542</v>
      </c>
      <c r="O211">
        <v>5</v>
      </c>
      <c r="P211">
        <f t="shared" si="6"/>
        <v>1</v>
      </c>
      <c r="Q211">
        <f>IF(CO_Combined4[[#This Row],[Segment]]="COR",1,0)</f>
        <v>0</v>
      </c>
      <c r="R211">
        <f>IF(CO_Combined4[[#This Row],[Region ]]="E",1,0)</f>
        <v>1</v>
      </c>
      <c r="S211">
        <f>IF(CO_Combined4[[#This Row],[Region ]]="W",1,0)</f>
        <v>0</v>
      </c>
      <c r="T211">
        <f>IF(CO_Combined4[[#This Row],[Region ]]="S",1,0)</f>
        <v>0</v>
      </c>
      <c r="U211">
        <f>IF(CO_Combined4[[#This Row],[Ship Mode]]=1,1,0)</f>
        <v>0</v>
      </c>
      <c r="V211">
        <f>IF(CO_Combined4[[#This Row],[Ship Mode]]=2,1,0)</f>
        <v>0</v>
      </c>
      <c r="W211">
        <f>IF(CO_Combined4[[#This Row],[Ship Mode]]=3,1,0)</f>
        <v>0</v>
      </c>
      <c r="X211">
        <f t="shared" si="7"/>
        <v>1</v>
      </c>
      <c r="Y211">
        <v>13</v>
      </c>
      <c r="Z211">
        <v>1</v>
      </c>
    </row>
    <row r="212" spans="1:26" x14ac:dyDescent="0.2">
      <c r="A212" t="s">
        <v>1175</v>
      </c>
      <c r="B212" t="s">
        <v>485</v>
      </c>
      <c r="C212" t="s">
        <v>254</v>
      </c>
      <c r="D212" t="s">
        <v>150</v>
      </c>
      <c r="E212" t="s">
        <v>255</v>
      </c>
      <c r="F212" t="s">
        <v>67</v>
      </c>
      <c r="G212">
        <v>18018</v>
      </c>
      <c r="H212" t="s">
        <v>27</v>
      </c>
      <c r="I212">
        <v>42070</v>
      </c>
      <c r="J212">
        <v>3</v>
      </c>
      <c r="K212" t="s">
        <v>1176</v>
      </c>
      <c r="L212">
        <v>0.25</v>
      </c>
      <c r="M212" t="b">
        <v>0</v>
      </c>
      <c r="N212">
        <v>42068</v>
      </c>
      <c r="O212">
        <v>2</v>
      </c>
      <c r="P212">
        <f t="shared" si="6"/>
        <v>0</v>
      </c>
      <c r="Q212">
        <f>IF(CO_Combined4[[#This Row],[Segment]]="COR",1,0)</f>
        <v>1</v>
      </c>
      <c r="R212">
        <f>IF(CO_Combined4[[#This Row],[Region ]]="E",1,0)</f>
        <v>1</v>
      </c>
      <c r="S212">
        <f>IF(CO_Combined4[[#This Row],[Region ]]="W",1,0)</f>
        <v>0</v>
      </c>
      <c r="T212">
        <f>IF(CO_Combined4[[#This Row],[Region ]]="S",1,0)</f>
        <v>0</v>
      </c>
      <c r="U212">
        <f>IF(CO_Combined4[[#This Row],[Ship Mode]]=1,1,0)</f>
        <v>0</v>
      </c>
      <c r="V212">
        <f>IF(CO_Combined4[[#This Row],[Ship Mode]]=2,1,0)</f>
        <v>0</v>
      </c>
      <c r="W212">
        <f>IF(CO_Combined4[[#This Row],[Ship Mode]]=3,1,0)</f>
        <v>1</v>
      </c>
      <c r="X212">
        <f t="shared" si="7"/>
        <v>1</v>
      </c>
      <c r="Y212">
        <v>4</v>
      </c>
      <c r="Z212">
        <v>1</v>
      </c>
    </row>
    <row r="213" spans="1:26" x14ac:dyDescent="0.2">
      <c r="A213" t="s">
        <v>1177</v>
      </c>
      <c r="B213" t="s">
        <v>461</v>
      </c>
      <c r="C213" t="s">
        <v>219</v>
      </c>
      <c r="D213" t="s">
        <v>9</v>
      </c>
      <c r="E213" t="s">
        <v>41</v>
      </c>
      <c r="F213" t="s">
        <v>95</v>
      </c>
      <c r="G213">
        <v>24153</v>
      </c>
      <c r="H213" t="s">
        <v>47</v>
      </c>
      <c r="I213">
        <v>42989</v>
      </c>
      <c r="J213">
        <v>4</v>
      </c>
      <c r="K213" t="s">
        <v>1178</v>
      </c>
      <c r="L213">
        <v>0</v>
      </c>
      <c r="M213" t="b">
        <v>0</v>
      </c>
      <c r="N213">
        <v>42985</v>
      </c>
      <c r="O213">
        <v>4</v>
      </c>
      <c r="P213">
        <f t="shared" si="6"/>
        <v>1</v>
      </c>
      <c r="Q213">
        <f>IF(CO_Combined4[[#This Row],[Segment]]="COR",1,0)</f>
        <v>0</v>
      </c>
      <c r="R213">
        <f>IF(CO_Combined4[[#This Row],[Region ]]="E",1,0)</f>
        <v>0</v>
      </c>
      <c r="S213">
        <f>IF(CO_Combined4[[#This Row],[Region ]]="W",1,0)</f>
        <v>0</v>
      </c>
      <c r="T213">
        <f>IF(CO_Combined4[[#This Row],[Region ]]="S",1,0)</f>
        <v>1</v>
      </c>
      <c r="U213">
        <f>IF(CO_Combined4[[#This Row],[Ship Mode]]=1,1,0)</f>
        <v>0</v>
      </c>
      <c r="V213">
        <f>IF(CO_Combined4[[#This Row],[Ship Mode]]=2,1,0)</f>
        <v>0</v>
      </c>
      <c r="W213">
        <f>IF(CO_Combined4[[#This Row],[Ship Mode]]=3,1,0)</f>
        <v>0</v>
      </c>
      <c r="X213">
        <f t="shared" si="7"/>
        <v>1</v>
      </c>
      <c r="Y213">
        <v>1</v>
      </c>
      <c r="Z213">
        <v>0</v>
      </c>
    </row>
    <row r="214" spans="1:26" x14ac:dyDescent="0.2">
      <c r="A214" t="s">
        <v>1179</v>
      </c>
      <c r="B214" t="s">
        <v>438</v>
      </c>
      <c r="C214" t="s">
        <v>185</v>
      </c>
      <c r="D214" t="s">
        <v>90</v>
      </c>
      <c r="E214" t="s">
        <v>16</v>
      </c>
      <c r="F214" t="s">
        <v>17</v>
      </c>
      <c r="G214">
        <v>94122</v>
      </c>
      <c r="H214" t="s">
        <v>18</v>
      </c>
      <c r="I214">
        <v>42860</v>
      </c>
      <c r="J214">
        <v>4</v>
      </c>
      <c r="K214" t="s">
        <v>1180</v>
      </c>
      <c r="L214">
        <v>0</v>
      </c>
      <c r="M214" t="b">
        <v>0</v>
      </c>
      <c r="N214">
        <v>42855</v>
      </c>
      <c r="O214">
        <v>5</v>
      </c>
      <c r="P214">
        <f t="shared" si="6"/>
        <v>0</v>
      </c>
      <c r="Q214">
        <f>IF(CO_Combined4[[#This Row],[Segment]]="COR",1,0)</f>
        <v>0</v>
      </c>
      <c r="R214">
        <f>IF(CO_Combined4[[#This Row],[Region ]]="E",1,0)</f>
        <v>0</v>
      </c>
      <c r="S214">
        <f>IF(CO_Combined4[[#This Row],[Region ]]="W",1,0)</f>
        <v>1</v>
      </c>
      <c r="T214">
        <f>IF(CO_Combined4[[#This Row],[Region ]]="S",1,0)</f>
        <v>0</v>
      </c>
      <c r="U214">
        <f>IF(CO_Combined4[[#This Row],[Ship Mode]]=1,1,0)</f>
        <v>0</v>
      </c>
      <c r="V214">
        <f>IF(CO_Combined4[[#This Row],[Ship Mode]]=2,1,0)</f>
        <v>0</v>
      </c>
      <c r="W214">
        <f>IF(CO_Combined4[[#This Row],[Ship Mode]]=3,1,0)</f>
        <v>0</v>
      </c>
      <c r="X214">
        <f t="shared" si="7"/>
        <v>1</v>
      </c>
      <c r="Y214">
        <v>4</v>
      </c>
      <c r="Z214">
        <v>0</v>
      </c>
    </row>
    <row r="215" spans="1:26" x14ac:dyDescent="0.2">
      <c r="A215" t="s">
        <v>1181</v>
      </c>
      <c r="B215" t="s">
        <v>496</v>
      </c>
      <c r="C215" t="s">
        <v>269</v>
      </c>
      <c r="D215" t="s">
        <v>150</v>
      </c>
      <c r="E215" t="s">
        <v>270</v>
      </c>
      <c r="F215" t="s">
        <v>95</v>
      </c>
      <c r="G215">
        <v>22153</v>
      </c>
      <c r="H215" t="s">
        <v>47</v>
      </c>
      <c r="I215">
        <v>42524</v>
      </c>
      <c r="J215">
        <v>4</v>
      </c>
      <c r="K215" t="s">
        <v>1183</v>
      </c>
      <c r="L215">
        <v>0</v>
      </c>
      <c r="M215" t="b">
        <v>0</v>
      </c>
      <c r="N215">
        <v>42520</v>
      </c>
      <c r="O215">
        <v>4</v>
      </c>
      <c r="P215">
        <f t="shared" si="6"/>
        <v>0</v>
      </c>
      <c r="Q215">
        <f>IF(CO_Combined4[[#This Row],[Segment]]="COR",1,0)</f>
        <v>1</v>
      </c>
      <c r="R215">
        <f>IF(CO_Combined4[[#This Row],[Region ]]="E",1,0)</f>
        <v>0</v>
      </c>
      <c r="S215">
        <f>IF(CO_Combined4[[#This Row],[Region ]]="W",1,0)</f>
        <v>0</v>
      </c>
      <c r="T215">
        <f>IF(CO_Combined4[[#This Row],[Region ]]="S",1,0)</f>
        <v>1</v>
      </c>
      <c r="U215">
        <f>IF(CO_Combined4[[#This Row],[Ship Mode]]=1,1,0)</f>
        <v>0</v>
      </c>
      <c r="V215">
        <f>IF(CO_Combined4[[#This Row],[Ship Mode]]=2,1,0)</f>
        <v>0</v>
      </c>
      <c r="W215">
        <f>IF(CO_Combined4[[#This Row],[Ship Mode]]=3,1,0)</f>
        <v>0</v>
      </c>
      <c r="X215">
        <f t="shared" si="7"/>
        <v>1</v>
      </c>
      <c r="Y215">
        <v>22</v>
      </c>
      <c r="Z215">
        <v>0</v>
      </c>
    </row>
    <row r="216" spans="1:26" x14ac:dyDescent="0.2">
      <c r="A216" t="s">
        <v>1185</v>
      </c>
      <c r="B216" t="s">
        <v>574</v>
      </c>
      <c r="C216" t="s">
        <v>573</v>
      </c>
      <c r="D216" t="s">
        <v>9</v>
      </c>
      <c r="E216" t="s">
        <v>38</v>
      </c>
      <c r="F216" t="s">
        <v>17</v>
      </c>
      <c r="G216">
        <v>90036</v>
      </c>
      <c r="H216" t="s">
        <v>18</v>
      </c>
      <c r="I216">
        <v>41963</v>
      </c>
      <c r="J216">
        <v>4</v>
      </c>
      <c r="K216" t="s">
        <v>1186</v>
      </c>
      <c r="L216">
        <v>0.3</v>
      </c>
      <c r="M216" t="b">
        <v>0</v>
      </c>
      <c r="N216">
        <v>41959</v>
      </c>
      <c r="O216">
        <v>4</v>
      </c>
      <c r="P216">
        <f t="shared" si="6"/>
        <v>1</v>
      </c>
      <c r="Q216">
        <f>IF(CO_Combined4[[#This Row],[Segment]]="COR",1,0)</f>
        <v>0</v>
      </c>
      <c r="R216">
        <f>IF(CO_Combined4[[#This Row],[Region ]]="E",1,0)</f>
        <v>0</v>
      </c>
      <c r="S216">
        <f>IF(CO_Combined4[[#This Row],[Region ]]="W",1,0)</f>
        <v>1</v>
      </c>
      <c r="T216">
        <f>IF(CO_Combined4[[#This Row],[Region ]]="S",1,0)</f>
        <v>0</v>
      </c>
      <c r="U216">
        <f>IF(CO_Combined4[[#This Row],[Ship Mode]]=1,1,0)</f>
        <v>0</v>
      </c>
      <c r="V216">
        <f>IF(CO_Combined4[[#This Row],[Ship Mode]]=2,1,0)</f>
        <v>0</v>
      </c>
      <c r="W216">
        <f>IF(CO_Combined4[[#This Row],[Ship Mode]]=3,1,0)</f>
        <v>0</v>
      </c>
      <c r="X216">
        <f t="shared" si="7"/>
        <v>1</v>
      </c>
      <c r="Y216">
        <v>2</v>
      </c>
      <c r="Z216">
        <v>1</v>
      </c>
    </row>
    <row r="217" spans="1:26" x14ac:dyDescent="0.2">
      <c r="A217" t="s">
        <v>1187</v>
      </c>
      <c r="B217" t="s">
        <v>503</v>
      </c>
      <c r="C217" t="s">
        <v>278</v>
      </c>
      <c r="D217" t="s">
        <v>150</v>
      </c>
      <c r="E217" t="s">
        <v>270</v>
      </c>
      <c r="F217" t="s">
        <v>95</v>
      </c>
      <c r="G217">
        <v>22153</v>
      </c>
      <c r="H217" t="s">
        <v>47</v>
      </c>
      <c r="I217">
        <v>43029</v>
      </c>
      <c r="J217">
        <v>4</v>
      </c>
      <c r="K217" t="s">
        <v>905</v>
      </c>
      <c r="L217">
        <v>0.2</v>
      </c>
      <c r="M217" t="b">
        <v>0</v>
      </c>
      <c r="N217">
        <v>43024</v>
      </c>
      <c r="O217">
        <v>5</v>
      </c>
      <c r="P217">
        <f t="shared" si="6"/>
        <v>0</v>
      </c>
      <c r="Q217">
        <f>IF(CO_Combined4[[#This Row],[Segment]]="COR",1,0)</f>
        <v>1</v>
      </c>
      <c r="R217">
        <f>IF(CO_Combined4[[#This Row],[Region ]]="E",1,0)</f>
        <v>0</v>
      </c>
      <c r="S217">
        <f>IF(CO_Combined4[[#This Row],[Region ]]="W",1,0)</f>
        <v>0</v>
      </c>
      <c r="T217">
        <f>IF(CO_Combined4[[#This Row],[Region ]]="S",1,0)</f>
        <v>1</v>
      </c>
      <c r="U217">
        <f>IF(CO_Combined4[[#This Row],[Ship Mode]]=1,1,0)</f>
        <v>0</v>
      </c>
      <c r="V217">
        <f>IF(CO_Combined4[[#This Row],[Ship Mode]]=2,1,0)</f>
        <v>0</v>
      </c>
      <c r="W217">
        <f>IF(CO_Combined4[[#This Row],[Ship Mode]]=3,1,0)</f>
        <v>0</v>
      </c>
      <c r="X217">
        <f t="shared" si="7"/>
        <v>1</v>
      </c>
      <c r="Y217">
        <v>7</v>
      </c>
      <c r="Z217">
        <v>1</v>
      </c>
    </row>
    <row r="218" spans="1:26" x14ac:dyDescent="0.2">
      <c r="A218" t="s">
        <v>1188</v>
      </c>
      <c r="B218" t="s">
        <v>471</v>
      </c>
      <c r="C218" t="s">
        <v>235</v>
      </c>
      <c r="D218" t="s">
        <v>9</v>
      </c>
      <c r="E218" t="s">
        <v>76</v>
      </c>
      <c r="F218" t="s">
        <v>17</v>
      </c>
      <c r="G218">
        <v>92105</v>
      </c>
      <c r="H218" t="s">
        <v>18</v>
      </c>
      <c r="I218">
        <v>41778</v>
      </c>
      <c r="J218">
        <v>4</v>
      </c>
      <c r="K218" t="s">
        <v>1189</v>
      </c>
      <c r="L218">
        <v>0.1</v>
      </c>
      <c r="M218" t="b">
        <v>0</v>
      </c>
      <c r="N218">
        <v>41772</v>
      </c>
      <c r="O218">
        <v>6</v>
      </c>
      <c r="P218">
        <f t="shared" si="6"/>
        <v>1</v>
      </c>
      <c r="Q218">
        <f>IF(CO_Combined4[[#This Row],[Segment]]="COR",1,0)</f>
        <v>0</v>
      </c>
      <c r="R218">
        <f>IF(CO_Combined4[[#This Row],[Region ]]="E",1,0)</f>
        <v>0</v>
      </c>
      <c r="S218">
        <f>IF(CO_Combined4[[#This Row],[Region ]]="W",1,0)</f>
        <v>1</v>
      </c>
      <c r="T218">
        <f>IF(CO_Combined4[[#This Row],[Region ]]="S",1,0)</f>
        <v>0</v>
      </c>
      <c r="U218">
        <f>IF(CO_Combined4[[#This Row],[Ship Mode]]=1,1,0)</f>
        <v>0</v>
      </c>
      <c r="V218">
        <f>IF(CO_Combined4[[#This Row],[Ship Mode]]=2,1,0)</f>
        <v>0</v>
      </c>
      <c r="W218">
        <f>IF(CO_Combined4[[#This Row],[Ship Mode]]=3,1,0)</f>
        <v>0</v>
      </c>
      <c r="X218">
        <f t="shared" si="7"/>
        <v>1</v>
      </c>
      <c r="Y218">
        <v>8</v>
      </c>
      <c r="Z218">
        <v>1</v>
      </c>
    </row>
    <row r="219" spans="1:26" x14ac:dyDescent="0.2">
      <c r="A219" t="s">
        <v>1190</v>
      </c>
      <c r="B219" t="s">
        <v>533</v>
      </c>
      <c r="C219" t="s">
        <v>324</v>
      </c>
      <c r="D219" t="s">
        <v>9</v>
      </c>
      <c r="E219" t="s">
        <v>145</v>
      </c>
      <c r="F219" t="s">
        <v>119</v>
      </c>
      <c r="G219">
        <v>49201</v>
      </c>
      <c r="H219" t="s">
        <v>12</v>
      </c>
      <c r="I219">
        <v>42646</v>
      </c>
      <c r="J219">
        <v>3</v>
      </c>
      <c r="K219" t="s">
        <v>1191</v>
      </c>
      <c r="L219">
        <v>0.2</v>
      </c>
      <c r="M219" t="b">
        <v>0</v>
      </c>
      <c r="N219">
        <v>42642</v>
      </c>
      <c r="O219">
        <v>4</v>
      </c>
      <c r="P219">
        <f t="shared" si="6"/>
        <v>1</v>
      </c>
      <c r="Q219">
        <f>IF(CO_Combined4[[#This Row],[Segment]]="COR",1,0)</f>
        <v>0</v>
      </c>
      <c r="R219">
        <f>IF(CO_Combined4[[#This Row],[Region ]]="E",1,0)</f>
        <v>0</v>
      </c>
      <c r="S219">
        <f>IF(CO_Combined4[[#This Row],[Region ]]="W",1,0)</f>
        <v>0</v>
      </c>
      <c r="T219">
        <f>IF(CO_Combined4[[#This Row],[Region ]]="S",1,0)</f>
        <v>0</v>
      </c>
      <c r="U219">
        <f>IF(CO_Combined4[[#This Row],[Ship Mode]]=1,1,0)</f>
        <v>0</v>
      </c>
      <c r="V219">
        <f>IF(CO_Combined4[[#This Row],[Ship Mode]]=2,1,0)</f>
        <v>0</v>
      </c>
      <c r="W219">
        <f>IF(CO_Combined4[[#This Row],[Ship Mode]]=3,1,0)</f>
        <v>1</v>
      </c>
      <c r="X219">
        <f t="shared" si="7"/>
        <v>1</v>
      </c>
      <c r="Y219">
        <v>5</v>
      </c>
      <c r="Z219">
        <v>1</v>
      </c>
    </row>
    <row r="220" spans="1:26" x14ac:dyDescent="0.2">
      <c r="A220" t="s">
        <v>1192</v>
      </c>
      <c r="B220" t="s">
        <v>454</v>
      </c>
      <c r="C220" t="s">
        <v>209</v>
      </c>
      <c r="D220" t="s">
        <v>150</v>
      </c>
      <c r="E220" t="s">
        <v>121</v>
      </c>
      <c r="F220" t="s">
        <v>22</v>
      </c>
      <c r="G220">
        <v>77041</v>
      </c>
      <c r="H220" t="s">
        <v>12</v>
      </c>
      <c r="I220">
        <v>42307</v>
      </c>
      <c r="J220">
        <v>4</v>
      </c>
      <c r="K220" t="s">
        <v>1193</v>
      </c>
      <c r="L220">
        <v>0.23333333333333334</v>
      </c>
      <c r="M220" t="b">
        <v>0</v>
      </c>
      <c r="N220">
        <v>42301</v>
      </c>
      <c r="O220">
        <v>6</v>
      </c>
      <c r="P220">
        <f t="shared" si="6"/>
        <v>0</v>
      </c>
      <c r="Q220">
        <f>IF(CO_Combined4[[#This Row],[Segment]]="COR",1,0)</f>
        <v>1</v>
      </c>
      <c r="R220">
        <f>IF(CO_Combined4[[#This Row],[Region ]]="E",1,0)</f>
        <v>0</v>
      </c>
      <c r="S220">
        <f>IF(CO_Combined4[[#This Row],[Region ]]="W",1,0)</f>
        <v>0</v>
      </c>
      <c r="T220">
        <f>IF(CO_Combined4[[#This Row],[Region ]]="S",1,0)</f>
        <v>0</v>
      </c>
      <c r="U220">
        <f>IF(CO_Combined4[[#This Row],[Ship Mode]]=1,1,0)</f>
        <v>0</v>
      </c>
      <c r="V220">
        <f>IF(CO_Combined4[[#This Row],[Ship Mode]]=2,1,0)</f>
        <v>0</v>
      </c>
      <c r="W220">
        <f>IF(CO_Combined4[[#This Row],[Ship Mode]]=3,1,0)</f>
        <v>0</v>
      </c>
      <c r="X220">
        <f t="shared" si="7"/>
        <v>1</v>
      </c>
      <c r="Y220">
        <v>12</v>
      </c>
      <c r="Z220">
        <v>1</v>
      </c>
    </row>
    <row r="221" spans="1:26" x14ac:dyDescent="0.2">
      <c r="A221" t="s">
        <v>1196</v>
      </c>
      <c r="B221" t="s">
        <v>486</v>
      </c>
      <c r="C221" t="s">
        <v>256</v>
      </c>
      <c r="D221" t="s">
        <v>150</v>
      </c>
      <c r="E221" t="s">
        <v>25</v>
      </c>
      <c r="F221" t="s">
        <v>26</v>
      </c>
      <c r="G221">
        <v>10024</v>
      </c>
      <c r="H221" t="s">
        <v>27</v>
      </c>
      <c r="I221">
        <v>42976</v>
      </c>
      <c r="J221">
        <v>4</v>
      </c>
      <c r="K221" t="s">
        <v>992</v>
      </c>
      <c r="L221">
        <v>0.2</v>
      </c>
      <c r="M221" t="b">
        <v>0</v>
      </c>
      <c r="N221">
        <v>42971</v>
      </c>
      <c r="O221">
        <v>5</v>
      </c>
      <c r="P221">
        <f t="shared" si="6"/>
        <v>0</v>
      </c>
      <c r="Q221">
        <f>IF(CO_Combined4[[#This Row],[Segment]]="COR",1,0)</f>
        <v>1</v>
      </c>
      <c r="R221">
        <f>IF(CO_Combined4[[#This Row],[Region ]]="E",1,0)</f>
        <v>1</v>
      </c>
      <c r="S221">
        <f>IF(CO_Combined4[[#This Row],[Region ]]="W",1,0)</f>
        <v>0</v>
      </c>
      <c r="T221">
        <f>IF(CO_Combined4[[#This Row],[Region ]]="S",1,0)</f>
        <v>0</v>
      </c>
      <c r="U221">
        <f>IF(CO_Combined4[[#This Row],[Ship Mode]]=1,1,0)</f>
        <v>0</v>
      </c>
      <c r="V221">
        <f>IF(CO_Combined4[[#This Row],[Ship Mode]]=2,1,0)</f>
        <v>0</v>
      </c>
      <c r="W221">
        <f>IF(CO_Combined4[[#This Row],[Ship Mode]]=3,1,0)</f>
        <v>0</v>
      </c>
      <c r="X221">
        <f t="shared" si="7"/>
        <v>1</v>
      </c>
      <c r="Y221">
        <v>5</v>
      </c>
      <c r="Z221">
        <v>1</v>
      </c>
    </row>
    <row r="222" spans="1:26" x14ac:dyDescent="0.2">
      <c r="A222" t="s">
        <v>1198</v>
      </c>
      <c r="B222" t="s">
        <v>513</v>
      </c>
      <c r="C222" t="s">
        <v>294</v>
      </c>
      <c r="D222" t="s">
        <v>150</v>
      </c>
      <c r="E222" t="s">
        <v>295</v>
      </c>
      <c r="F222" t="s">
        <v>22</v>
      </c>
      <c r="G222">
        <v>75051</v>
      </c>
      <c r="H222" t="s">
        <v>12</v>
      </c>
      <c r="I222">
        <v>41920</v>
      </c>
      <c r="J222">
        <v>4</v>
      </c>
      <c r="K222" t="s">
        <v>1199</v>
      </c>
      <c r="L222">
        <v>0</v>
      </c>
      <c r="M222" t="b">
        <v>0</v>
      </c>
      <c r="N222">
        <v>41918</v>
      </c>
      <c r="O222">
        <v>2</v>
      </c>
      <c r="P222">
        <f t="shared" si="6"/>
        <v>0</v>
      </c>
      <c r="Q222">
        <f>IF(CO_Combined4[[#This Row],[Segment]]="COR",1,0)</f>
        <v>1</v>
      </c>
      <c r="R222">
        <f>IF(CO_Combined4[[#This Row],[Region ]]="E",1,0)</f>
        <v>0</v>
      </c>
      <c r="S222">
        <f>IF(CO_Combined4[[#This Row],[Region ]]="W",1,0)</f>
        <v>0</v>
      </c>
      <c r="T222">
        <f>IF(CO_Combined4[[#This Row],[Region ]]="S",1,0)</f>
        <v>0</v>
      </c>
      <c r="U222">
        <f>IF(CO_Combined4[[#This Row],[Ship Mode]]=1,1,0)</f>
        <v>0</v>
      </c>
      <c r="V222">
        <f>IF(CO_Combined4[[#This Row],[Ship Mode]]=2,1,0)</f>
        <v>0</v>
      </c>
      <c r="W222">
        <f>IF(CO_Combined4[[#This Row],[Ship Mode]]=3,1,0)</f>
        <v>0</v>
      </c>
      <c r="X222">
        <f t="shared" si="7"/>
        <v>1</v>
      </c>
      <c r="Y222">
        <v>2</v>
      </c>
      <c r="Z222">
        <v>0</v>
      </c>
    </row>
    <row r="223" spans="1:26" x14ac:dyDescent="0.2">
      <c r="A223" t="s">
        <v>1200</v>
      </c>
      <c r="B223" t="s">
        <v>501</v>
      </c>
      <c r="C223" t="s">
        <v>275</v>
      </c>
      <c r="D223" t="s">
        <v>9</v>
      </c>
      <c r="E223" t="s">
        <v>276</v>
      </c>
      <c r="F223" t="s">
        <v>31</v>
      </c>
      <c r="G223">
        <v>85301</v>
      </c>
      <c r="H223" t="s">
        <v>18</v>
      </c>
      <c r="I223">
        <v>42991</v>
      </c>
      <c r="J223">
        <v>4</v>
      </c>
      <c r="K223" t="s">
        <v>1201</v>
      </c>
      <c r="L223">
        <v>0.2</v>
      </c>
      <c r="M223" t="b">
        <v>0</v>
      </c>
      <c r="N223">
        <v>42987</v>
      </c>
      <c r="O223">
        <v>4</v>
      </c>
      <c r="P223">
        <f t="shared" si="6"/>
        <v>1</v>
      </c>
      <c r="Q223">
        <f>IF(CO_Combined4[[#This Row],[Segment]]="COR",1,0)</f>
        <v>0</v>
      </c>
      <c r="R223">
        <f>IF(CO_Combined4[[#This Row],[Region ]]="E",1,0)</f>
        <v>0</v>
      </c>
      <c r="S223">
        <f>IF(CO_Combined4[[#This Row],[Region ]]="W",1,0)</f>
        <v>1</v>
      </c>
      <c r="T223">
        <f>IF(CO_Combined4[[#This Row],[Region ]]="S",1,0)</f>
        <v>0</v>
      </c>
      <c r="U223">
        <f>IF(CO_Combined4[[#This Row],[Ship Mode]]=1,1,0)</f>
        <v>0</v>
      </c>
      <c r="V223">
        <f>IF(CO_Combined4[[#This Row],[Ship Mode]]=2,1,0)</f>
        <v>0</v>
      </c>
      <c r="W223">
        <f>IF(CO_Combined4[[#This Row],[Ship Mode]]=3,1,0)</f>
        <v>0</v>
      </c>
      <c r="X223">
        <f t="shared" si="7"/>
        <v>1</v>
      </c>
      <c r="Y223">
        <v>2</v>
      </c>
      <c r="Z223">
        <v>1</v>
      </c>
    </row>
    <row r="224" spans="1:26" x14ac:dyDescent="0.2">
      <c r="A224" t="s">
        <v>1202</v>
      </c>
      <c r="B224" t="s">
        <v>416</v>
      </c>
      <c r="C224" t="s">
        <v>148</v>
      </c>
      <c r="D224" t="s">
        <v>90</v>
      </c>
      <c r="E224" t="s">
        <v>85</v>
      </c>
      <c r="F224" t="s">
        <v>86</v>
      </c>
      <c r="G224">
        <v>98103</v>
      </c>
      <c r="H224" t="s">
        <v>18</v>
      </c>
      <c r="I224">
        <v>42134</v>
      </c>
      <c r="J224">
        <v>2</v>
      </c>
      <c r="K224" t="s">
        <v>1203</v>
      </c>
      <c r="L224">
        <v>0</v>
      </c>
      <c r="M224" t="b">
        <v>0</v>
      </c>
      <c r="N224">
        <v>42132</v>
      </c>
      <c r="O224">
        <v>2</v>
      </c>
      <c r="P224">
        <f t="shared" si="6"/>
        <v>0</v>
      </c>
      <c r="Q224">
        <f>IF(CO_Combined4[[#This Row],[Segment]]="COR",1,0)</f>
        <v>0</v>
      </c>
      <c r="R224">
        <f>IF(CO_Combined4[[#This Row],[Region ]]="E",1,0)</f>
        <v>0</v>
      </c>
      <c r="S224">
        <f>IF(CO_Combined4[[#This Row],[Region ]]="W",1,0)</f>
        <v>1</v>
      </c>
      <c r="T224">
        <f>IF(CO_Combined4[[#This Row],[Region ]]="S",1,0)</f>
        <v>0</v>
      </c>
      <c r="U224">
        <f>IF(CO_Combined4[[#This Row],[Ship Mode]]=1,1,0)</f>
        <v>0</v>
      </c>
      <c r="V224">
        <f>IF(CO_Combined4[[#This Row],[Ship Mode]]=2,1,0)</f>
        <v>1</v>
      </c>
      <c r="W224">
        <f>IF(CO_Combined4[[#This Row],[Ship Mode]]=3,1,0)</f>
        <v>0</v>
      </c>
      <c r="X224">
        <f t="shared" si="7"/>
        <v>1</v>
      </c>
      <c r="Y224">
        <v>2</v>
      </c>
      <c r="Z224">
        <v>0</v>
      </c>
    </row>
    <row r="225" spans="1:26" x14ac:dyDescent="0.2">
      <c r="A225" t="s">
        <v>1204</v>
      </c>
      <c r="B225" t="s">
        <v>444</v>
      </c>
      <c r="C225" t="s">
        <v>195</v>
      </c>
      <c r="D225" t="s">
        <v>9</v>
      </c>
      <c r="E225" t="s">
        <v>16</v>
      </c>
      <c r="F225" t="s">
        <v>17</v>
      </c>
      <c r="G225">
        <v>94109</v>
      </c>
      <c r="H225" t="s">
        <v>18</v>
      </c>
      <c r="I225">
        <v>42349</v>
      </c>
      <c r="J225">
        <v>4</v>
      </c>
      <c r="K225" t="s">
        <v>1205</v>
      </c>
      <c r="L225">
        <v>0</v>
      </c>
      <c r="M225" t="b">
        <v>0</v>
      </c>
      <c r="N225">
        <v>42344</v>
      </c>
      <c r="O225">
        <v>5</v>
      </c>
      <c r="P225">
        <f t="shared" si="6"/>
        <v>1</v>
      </c>
      <c r="Q225">
        <f>IF(CO_Combined4[[#This Row],[Segment]]="COR",1,0)</f>
        <v>0</v>
      </c>
      <c r="R225">
        <f>IF(CO_Combined4[[#This Row],[Region ]]="E",1,0)</f>
        <v>0</v>
      </c>
      <c r="S225">
        <f>IF(CO_Combined4[[#This Row],[Region ]]="W",1,0)</f>
        <v>1</v>
      </c>
      <c r="T225">
        <f>IF(CO_Combined4[[#This Row],[Region ]]="S",1,0)</f>
        <v>0</v>
      </c>
      <c r="U225">
        <f>IF(CO_Combined4[[#This Row],[Ship Mode]]=1,1,0)</f>
        <v>0</v>
      </c>
      <c r="V225">
        <f>IF(CO_Combined4[[#This Row],[Ship Mode]]=2,1,0)</f>
        <v>0</v>
      </c>
      <c r="W225">
        <f>IF(CO_Combined4[[#This Row],[Ship Mode]]=3,1,0)</f>
        <v>0</v>
      </c>
      <c r="X225">
        <f t="shared" si="7"/>
        <v>1</v>
      </c>
      <c r="Y225">
        <v>2</v>
      </c>
      <c r="Z225">
        <v>0</v>
      </c>
    </row>
    <row r="226" spans="1:26" x14ac:dyDescent="0.2">
      <c r="A226" t="s">
        <v>1206</v>
      </c>
      <c r="B226" t="s">
        <v>400</v>
      </c>
      <c r="C226" t="s">
        <v>115</v>
      </c>
      <c r="D226" t="s">
        <v>9</v>
      </c>
      <c r="E226" t="s">
        <v>25</v>
      </c>
      <c r="F226" t="s">
        <v>26</v>
      </c>
      <c r="G226">
        <v>10011</v>
      </c>
      <c r="H226" t="s">
        <v>27</v>
      </c>
      <c r="I226">
        <v>42407</v>
      </c>
      <c r="J226">
        <v>4</v>
      </c>
      <c r="K226" t="s">
        <v>1207</v>
      </c>
      <c r="L226">
        <v>0</v>
      </c>
      <c r="M226" t="b">
        <v>1</v>
      </c>
      <c r="N226">
        <v>42402</v>
      </c>
      <c r="O226">
        <v>5</v>
      </c>
      <c r="P226">
        <f t="shared" si="6"/>
        <v>1</v>
      </c>
      <c r="Q226">
        <f>IF(CO_Combined4[[#This Row],[Segment]]="COR",1,0)</f>
        <v>0</v>
      </c>
      <c r="R226">
        <f>IF(CO_Combined4[[#This Row],[Region ]]="E",1,0)</f>
        <v>1</v>
      </c>
      <c r="S226">
        <f>IF(CO_Combined4[[#This Row],[Region ]]="W",1,0)</f>
        <v>0</v>
      </c>
      <c r="T226">
        <f>IF(CO_Combined4[[#This Row],[Region ]]="S",1,0)</f>
        <v>0</v>
      </c>
      <c r="U226">
        <f>IF(CO_Combined4[[#This Row],[Ship Mode]]=1,1,0)</f>
        <v>0</v>
      </c>
      <c r="V226">
        <f>IF(CO_Combined4[[#This Row],[Ship Mode]]=2,1,0)</f>
        <v>0</v>
      </c>
      <c r="W226">
        <f>IF(CO_Combined4[[#This Row],[Ship Mode]]=3,1,0)</f>
        <v>0</v>
      </c>
      <c r="X226">
        <f t="shared" si="7"/>
        <v>0</v>
      </c>
      <c r="Y226">
        <v>2</v>
      </c>
      <c r="Z226">
        <v>0</v>
      </c>
    </row>
    <row r="227" spans="1:26" x14ac:dyDescent="0.2">
      <c r="A227" t="s">
        <v>1208</v>
      </c>
      <c r="B227" t="s">
        <v>556</v>
      </c>
      <c r="C227" t="s">
        <v>360</v>
      </c>
      <c r="D227" t="s">
        <v>90</v>
      </c>
      <c r="E227" t="s">
        <v>38</v>
      </c>
      <c r="F227" t="s">
        <v>17</v>
      </c>
      <c r="G227">
        <v>90004</v>
      </c>
      <c r="H227" t="s">
        <v>18</v>
      </c>
      <c r="I227">
        <v>42830</v>
      </c>
      <c r="J227">
        <v>3</v>
      </c>
      <c r="K227" t="s">
        <v>1209</v>
      </c>
      <c r="L227">
        <v>0</v>
      </c>
      <c r="M227" t="b">
        <v>0</v>
      </c>
      <c r="N227">
        <v>42827</v>
      </c>
      <c r="O227">
        <v>3</v>
      </c>
      <c r="P227">
        <f t="shared" si="6"/>
        <v>0</v>
      </c>
      <c r="Q227">
        <f>IF(CO_Combined4[[#This Row],[Segment]]="COR",1,0)</f>
        <v>0</v>
      </c>
      <c r="R227">
        <f>IF(CO_Combined4[[#This Row],[Region ]]="E",1,0)</f>
        <v>0</v>
      </c>
      <c r="S227">
        <f>IF(CO_Combined4[[#This Row],[Region ]]="W",1,0)</f>
        <v>1</v>
      </c>
      <c r="T227">
        <f>IF(CO_Combined4[[#This Row],[Region ]]="S",1,0)</f>
        <v>0</v>
      </c>
      <c r="U227">
        <f>IF(CO_Combined4[[#This Row],[Ship Mode]]=1,1,0)</f>
        <v>0</v>
      </c>
      <c r="V227">
        <f>IF(CO_Combined4[[#This Row],[Ship Mode]]=2,1,0)</f>
        <v>0</v>
      </c>
      <c r="W227">
        <f>IF(CO_Combined4[[#This Row],[Ship Mode]]=3,1,0)</f>
        <v>1</v>
      </c>
      <c r="X227">
        <f t="shared" si="7"/>
        <v>1</v>
      </c>
      <c r="Y227">
        <v>4</v>
      </c>
      <c r="Z227">
        <v>0</v>
      </c>
    </row>
    <row r="228" spans="1:26" x14ac:dyDescent="0.2">
      <c r="A228" t="s">
        <v>1210</v>
      </c>
      <c r="B228" t="s">
        <v>496</v>
      </c>
      <c r="C228" t="s">
        <v>269</v>
      </c>
      <c r="D228" t="s">
        <v>150</v>
      </c>
      <c r="E228" t="s">
        <v>270</v>
      </c>
      <c r="F228" t="s">
        <v>95</v>
      </c>
      <c r="G228">
        <v>22153</v>
      </c>
      <c r="H228" t="s">
        <v>47</v>
      </c>
      <c r="I228">
        <v>42144</v>
      </c>
      <c r="J228">
        <v>4</v>
      </c>
      <c r="K228" t="s">
        <v>1211</v>
      </c>
      <c r="L228">
        <v>0</v>
      </c>
      <c r="M228" t="b">
        <v>0</v>
      </c>
      <c r="N228">
        <v>42139</v>
      </c>
      <c r="O228">
        <v>5</v>
      </c>
      <c r="P228">
        <f t="shared" si="6"/>
        <v>0</v>
      </c>
      <c r="Q228">
        <f>IF(CO_Combined4[[#This Row],[Segment]]="COR",1,0)</f>
        <v>1</v>
      </c>
      <c r="R228">
        <f>IF(CO_Combined4[[#This Row],[Region ]]="E",1,0)</f>
        <v>0</v>
      </c>
      <c r="S228">
        <f>IF(CO_Combined4[[#This Row],[Region ]]="W",1,0)</f>
        <v>0</v>
      </c>
      <c r="T228">
        <f>IF(CO_Combined4[[#This Row],[Region ]]="S",1,0)</f>
        <v>1</v>
      </c>
      <c r="U228">
        <f>IF(CO_Combined4[[#This Row],[Ship Mode]]=1,1,0)</f>
        <v>0</v>
      </c>
      <c r="V228">
        <f>IF(CO_Combined4[[#This Row],[Ship Mode]]=2,1,0)</f>
        <v>0</v>
      </c>
      <c r="W228">
        <f>IF(CO_Combined4[[#This Row],[Ship Mode]]=3,1,0)</f>
        <v>0</v>
      </c>
      <c r="X228">
        <f t="shared" si="7"/>
        <v>1</v>
      </c>
      <c r="Y228">
        <v>3</v>
      </c>
      <c r="Z228">
        <v>0</v>
      </c>
    </row>
    <row r="229" spans="1:26" x14ac:dyDescent="0.2">
      <c r="A229" t="s">
        <v>1212</v>
      </c>
      <c r="B229" t="s">
        <v>455</v>
      </c>
      <c r="C229" t="s">
        <v>210</v>
      </c>
      <c r="D229" t="s">
        <v>150</v>
      </c>
      <c r="E229" t="s">
        <v>118</v>
      </c>
      <c r="F229" t="s">
        <v>119</v>
      </c>
      <c r="G229">
        <v>48234</v>
      </c>
      <c r="H229" t="s">
        <v>12</v>
      </c>
      <c r="I229">
        <v>42013</v>
      </c>
      <c r="J229">
        <v>4</v>
      </c>
      <c r="K229" t="s">
        <v>755</v>
      </c>
      <c r="L229">
        <v>0</v>
      </c>
      <c r="M229" t="b">
        <v>0</v>
      </c>
      <c r="N229">
        <v>42008</v>
      </c>
      <c r="O229">
        <v>5</v>
      </c>
      <c r="P229">
        <f t="shared" si="6"/>
        <v>0</v>
      </c>
      <c r="Q229">
        <f>IF(CO_Combined4[[#This Row],[Segment]]="COR",1,0)</f>
        <v>1</v>
      </c>
      <c r="R229">
        <f>IF(CO_Combined4[[#This Row],[Region ]]="E",1,0)</f>
        <v>0</v>
      </c>
      <c r="S229">
        <f>IF(CO_Combined4[[#This Row],[Region ]]="W",1,0)</f>
        <v>0</v>
      </c>
      <c r="T229">
        <f>IF(CO_Combined4[[#This Row],[Region ]]="S",1,0)</f>
        <v>0</v>
      </c>
      <c r="U229">
        <f>IF(CO_Combined4[[#This Row],[Ship Mode]]=1,1,0)</f>
        <v>0</v>
      </c>
      <c r="V229">
        <f>IF(CO_Combined4[[#This Row],[Ship Mode]]=2,1,0)</f>
        <v>0</v>
      </c>
      <c r="W229">
        <f>IF(CO_Combined4[[#This Row],[Ship Mode]]=3,1,0)</f>
        <v>0</v>
      </c>
      <c r="X229">
        <f t="shared" si="7"/>
        <v>1</v>
      </c>
      <c r="Y229">
        <v>14</v>
      </c>
      <c r="Z229">
        <v>0</v>
      </c>
    </row>
    <row r="230" spans="1:26" x14ac:dyDescent="0.2">
      <c r="A230" t="s">
        <v>1213</v>
      </c>
      <c r="B230" t="s">
        <v>508</v>
      </c>
      <c r="C230" t="s">
        <v>286</v>
      </c>
      <c r="D230" t="s">
        <v>150</v>
      </c>
      <c r="E230" t="s">
        <v>287</v>
      </c>
      <c r="F230" t="s">
        <v>17</v>
      </c>
      <c r="G230">
        <v>92307</v>
      </c>
      <c r="H230" t="s">
        <v>18</v>
      </c>
      <c r="I230">
        <v>42935</v>
      </c>
      <c r="J230">
        <v>3</v>
      </c>
      <c r="K230" t="s">
        <v>1216</v>
      </c>
      <c r="L230">
        <v>3.7499999999999999E-2</v>
      </c>
      <c r="M230" t="b">
        <v>0</v>
      </c>
      <c r="N230">
        <v>42933</v>
      </c>
      <c r="O230">
        <v>2</v>
      </c>
      <c r="P230">
        <f t="shared" si="6"/>
        <v>0</v>
      </c>
      <c r="Q230">
        <f>IF(CO_Combined4[[#This Row],[Segment]]="COR",1,0)</f>
        <v>1</v>
      </c>
      <c r="R230">
        <f>IF(CO_Combined4[[#This Row],[Region ]]="E",1,0)</f>
        <v>0</v>
      </c>
      <c r="S230">
        <f>IF(CO_Combined4[[#This Row],[Region ]]="W",1,0)</f>
        <v>1</v>
      </c>
      <c r="T230">
        <f>IF(CO_Combined4[[#This Row],[Region ]]="S",1,0)</f>
        <v>0</v>
      </c>
      <c r="U230">
        <f>IF(CO_Combined4[[#This Row],[Ship Mode]]=1,1,0)</f>
        <v>0</v>
      </c>
      <c r="V230">
        <f>IF(CO_Combined4[[#This Row],[Ship Mode]]=2,1,0)</f>
        <v>0</v>
      </c>
      <c r="W230">
        <f>IF(CO_Combined4[[#This Row],[Ship Mode]]=3,1,0)</f>
        <v>1</v>
      </c>
      <c r="X230">
        <f t="shared" si="7"/>
        <v>1</v>
      </c>
      <c r="Y230">
        <v>17</v>
      </c>
      <c r="Z230">
        <v>1</v>
      </c>
    </row>
    <row r="231" spans="1:26" x14ac:dyDescent="0.2">
      <c r="A231" t="s">
        <v>1218</v>
      </c>
      <c r="B231" t="s">
        <v>481</v>
      </c>
      <c r="C231" t="s">
        <v>248</v>
      </c>
      <c r="D231" t="s">
        <v>90</v>
      </c>
      <c r="E231" t="s">
        <v>41</v>
      </c>
      <c r="F231" t="s">
        <v>42</v>
      </c>
      <c r="G231">
        <v>97301</v>
      </c>
      <c r="H231" t="s">
        <v>18</v>
      </c>
      <c r="I231">
        <v>42725</v>
      </c>
      <c r="J231">
        <v>2</v>
      </c>
      <c r="K231" t="s">
        <v>1224</v>
      </c>
      <c r="L231">
        <v>0.31428571428571428</v>
      </c>
      <c r="M231" t="b">
        <v>1</v>
      </c>
      <c r="N231">
        <v>42722</v>
      </c>
      <c r="O231">
        <v>3</v>
      </c>
      <c r="P231">
        <f t="shared" si="6"/>
        <v>0</v>
      </c>
      <c r="Q231">
        <f>IF(CO_Combined4[[#This Row],[Segment]]="COR",1,0)</f>
        <v>0</v>
      </c>
      <c r="R231">
        <f>IF(CO_Combined4[[#This Row],[Region ]]="E",1,0)</f>
        <v>0</v>
      </c>
      <c r="S231">
        <f>IF(CO_Combined4[[#This Row],[Region ]]="W",1,0)</f>
        <v>1</v>
      </c>
      <c r="T231">
        <f>IF(CO_Combined4[[#This Row],[Region ]]="S",1,0)</f>
        <v>0</v>
      </c>
      <c r="U231">
        <f>IF(CO_Combined4[[#This Row],[Ship Mode]]=1,1,0)</f>
        <v>0</v>
      </c>
      <c r="V231">
        <f>IF(CO_Combined4[[#This Row],[Ship Mode]]=2,1,0)</f>
        <v>1</v>
      </c>
      <c r="W231">
        <f>IF(CO_Combined4[[#This Row],[Ship Mode]]=3,1,0)</f>
        <v>0</v>
      </c>
      <c r="X231">
        <f t="shared" si="7"/>
        <v>0</v>
      </c>
      <c r="Y231">
        <v>25</v>
      </c>
      <c r="Z231">
        <v>1</v>
      </c>
    </row>
    <row r="232" spans="1:26" x14ac:dyDescent="0.2">
      <c r="A232" t="s">
        <v>1225</v>
      </c>
      <c r="B232" t="s">
        <v>491</v>
      </c>
      <c r="C232" t="s">
        <v>263</v>
      </c>
      <c r="D232" t="s">
        <v>9</v>
      </c>
      <c r="E232" t="s">
        <v>132</v>
      </c>
      <c r="F232" t="s">
        <v>22</v>
      </c>
      <c r="G232">
        <v>75217</v>
      </c>
      <c r="H232" t="s">
        <v>12</v>
      </c>
      <c r="I232">
        <v>42497</v>
      </c>
      <c r="J232">
        <v>3</v>
      </c>
      <c r="K232" t="s">
        <v>1226</v>
      </c>
      <c r="L232">
        <v>0.2</v>
      </c>
      <c r="M232" t="b">
        <v>0</v>
      </c>
      <c r="N232">
        <v>42495</v>
      </c>
      <c r="O232">
        <v>2</v>
      </c>
      <c r="P232">
        <f t="shared" si="6"/>
        <v>1</v>
      </c>
      <c r="Q232">
        <f>IF(CO_Combined4[[#This Row],[Segment]]="COR",1,0)</f>
        <v>0</v>
      </c>
      <c r="R232">
        <f>IF(CO_Combined4[[#This Row],[Region ]]="E",1,0)</f>
        <v>0</v>
      </c>
      <c r="S232">
        <f>IF(CO_Combined4[[#This Row],[Region ]]="W",1,0)</f>
        <v>0</v>
      </c>
      <c r="T232">
        <f>IF(CO_Combined4[[#This Row],[Region ]]="S",1,0)</f>
        <v>0</v>
      </c>
      <c r="U232">
        <f>IF(CO_Combined4[[#This Row],[Ship Mode]]=1,1,0)</f>
        <v>0</v>
      </c>
      <c r="V232">
        <f>IF(CO_Combined4[[#This Row],[Ship Mode]]=2,1,0)</f>
        <v>0</v>
      </c>
      <c r="W232">
        <f>IF(CO_Combined4[[#This Row],[Ship Mode]]=3,1,0)</f>
        <v>1</v>
      </c>
      <c r="X232">
        <f t="shared" si="7"/>
        <v>1</v>
      </c>
      <c r="Y232">
        <v>2</v>
      </c>
      <c r="Z232">
        <v>1</v>
      </c>
    </row>
    <row r="233" spans="1:26" x14ac:dyDescent="0.2">
      <c r="A233" t="s">
        <v>1227</v>
      </c>
      <c r="B233" t="s">
        <v>464</v>
      </c>
      <c r="C233" t="s">
        <v>223</v>
      </c>
      <c r="D233" t="s">
        <v>90</v>
      </c>
      <c r="E233" t="s">
        <v>153</v>
      </c>
      <c r="F233" t="s">
        <v>124</v>
      </c>
      <c r="G233">
        <v>60623</v>
      </c>
      <c r="H233" t="s">
        <v>12</v>
      </c>
      <c r="I233">
        <v>43026</v>
      </c>
      <c r="J233">
        <v>4</v>
      </c>
      <c r="K233" t="s">
        <v>1229</v>
      </c>
      <c r="L233">
        <v>0.8</v>
      </c>
      <c r="M233" t="b">
        <v>1</v>
      </c>
      <c r="N233">
        <v>43022</v>
      </c>
      <c r="O233">
        <v>4</v>
      </c>
      <c r="P233">
        <f t="shared" si="6"/>
        <v>0</v>
      </c>
      <c r="Q233">
        <f>IF(CO_Combined4[[#This Row],[Segment]]="COR",1,0)</f>
        <v>0</v>
      </c>
      <c r="R233">
        <f>IF(CO_Combined4[[#This Row],[Region ]]="E",1,0)</f>
        <v>0</v>
      </c>
      <c r="S233">
        <f>IF(CO_Combined4[[#This Row],[Region ]]="W",1,0)</f>
        <v>0</v>
      </c>
      <c r="T233">
        <f>IF(CO_Combined4[[#This Row],[Region ]]="S",1,0)</f>
        <v>0</v>
      </c>
      <c r="U233">
        <f>IF(CO_Combined4[[#This Row],[Ship Mode]]=1,1,0)</f>
        <v>0</v>
      </c>
      <c r="V233">
        <f>IF(CO_Combined4[[#This Row],[Ship Mode]]=2,1,0)</f>
        <v>0</v>
      </c>
      <c r="W233">
        <f>IF(CO_Combined4[[#This Row],[Ship Mode]]=3,1,0)</f>
        <v>0</v>
      </c>
      <c r="X233">
        <f t="shared" si="7"/>
        <v>0</v>
      </c>
      <c r="Y233">
        <v>10</v>
      </c>
      <c r="Z233">
        <v>1</v>
      </c>
    </row>
    <row r="234" spans="1:26" x14ac:dyDescent="0.2">
      <c r="A234" t="s">
        <v>1230</v>
      </c>
      <c r="B234" t="s">
        <v>467</v>
      </c>
      <c r="C234" t="s">
        <v>226</v>
      </c>
      <c r="D234" t="s">
        <v>9</v>
      </c>
      <c r="E234" t="s">
        <v>227</v>
      </c>
      <c r="F234" t="s">
        <v>184</v>
      </c>
      <c r="G234">
        <v>6708</v>
      </c>
      <c r="H234" t="s">
        <v>27</v>
      </c>
      <c r="I234">
        <v>43007</v>
      </c>
      <c r="J234">
        <v>2</v>
      </c>
      <c r="K234" t="s">
        <v>1231</v>
      </c>
      <c r="L234">
        <v>0</v>
      </c>
      <c r="M234" t="b">
        <v>0</v>
      </c>
      <c r="N234">
        <v>43003</v>
      </c>
      <c r="O234">
        <v>4</v>
      </c>
      <c r="P234">
        <f t="shared" si="6"/>
        <v>1</v>
      </c>
      <c r="Q234">
        <f>IF(CO_Combined4[[#This Row],[Segment]]="COR",1,0)</f>
        <v>0</v>
      </c>
      <c r="R234">
        <f>IF(CO_Combined4[[#This Row],[Region ]]="E",1,0)</f>
        <v>1</v>
      </c>
      <c r="S234">
        <f>IF(CO_Combined4[[#This Row],[Region ]]="W",1,0)</f>
        <v>0</v>
      </c>
      <c r="T234">
        <f>IF(CO_Combined4[[#This Row],[Region ]]="S",1,0)</f>
        <v>0</v>
      </c>
      <c r="U234">
        <f>IF(CO_Combined4[[#This Row],[Ship Mode]]=1,1,0)</f>
        <v>0</v>
      </c>
      <c r="V234">
        <f>IF(CO_Combined4[[#This Row],[Ship Mode]]=2,1,0)</f>
        <v>1</v>
      </c>
      <c r="W234">
        <f>IF(CO_Combined4[[#This Row],[Ship Mode]]=3,1,0)</f>
        <v>0</v>
      </c>
      <c r="X234">
        <f t="shared" si="7"/>
        <v>1</v>
      </c>
      <c r="Y234">
        <v>5</v>
      </c>
      <c r="Z234">
        <v>0</v>
      </c>
    </row>
    <row r="235" spans="1:26" x14ac:dyDescent="0.2">
      <c r="A235" t="s">
        <v>1232</v>
      </c>
      <c r="B235" t="s">
        <v>497</v>
      </c>
      <c r="C235" t="s">
        <v>271</v>
      </c>
      <c r="D235" t="s">
        <v>150</v>
      </c>
      <c r="E235" t="s">
        <v>121</v>
      </c>
      <c r="F235" t="s">
        <v>22</v>
      </c>
      <c r="G235">
        <v>77095</v>
      </c>
      <c r="H235" t="s">
        <v>12</v>
      </c>
      <c r="I235">
        <v>42132</v>
      </c>
      <c r="J235">
        <v>4</v>
      </c>
      <c r="K235" t="s">
        <v>1233</v>
      </c>
      <c r="L235">
        <v>0.2</v>
      </c>
      <c r="M235" t="b">
        <v>0</v>
      </c>
      <c r="N235">
        <v>42128</v>
      </c>
      <c r="O235">
        <v>4</v>
      </c>
      <c r="P235">
        <f t="shared" si="6"/>
        <v>0</v>
      </c>
      <c r="Q235">
        <f>IF(CO_Combined4[[#This Row],[Segment]]="COR",1,0)</f>
        <v>1</v>
      </c>
      <c r="R235">
        <f>IF(CO_Combined4[[#This Row],[Region ]]="E",1,0)</f>
        <v>0</v>
      </c>
      <c r="S235">
        <f>IF(CO_Combined4[[#This Row],[Region ]]="W",1,0)</f>
        <v>0</v>
      </c>
      <c r="T235">
        <f>IF(CO_Combined4[[#This Row],[Region ]]="S",1,0)</f>
        <v>0</v>
      </c>
      <c r="U235">
        <f>IF(CO_Combined4[[#This Row],[Ship Mode]]=1,1,0)</f>
        <v>0</v>
      </c>
      <c r="V235">
        <f>IF(CO_Combined4[[#This Row],[Ship Mode]]=2,1,0)</f>
        <v>0</v>
      </c>
      <c r="W235">
        <f>IF(CO_Combined4[[#This Row],[Ship Mode]]=3,1,0)</f>
        <v>0</v>
      </c>
      <c r="X235">
        <f t="shared" si="7"/>
        <v>1</v>
      </c>
      <c r="Y235">
        <v>7</v>
      </c>
      <c r="Z235">
        <v>1</v>
      </c>
    </row>
    <row r="236" spans="1:26" x14ac:dyDescent="0.2">
      <c r="A236" t="s">
        <v>1234</v>
      </c>
      <c r="B236" t="s">
        <v>549</v>
      </c>
      <c r="C236" t="s">
        <v>348</v>
      </c>
      <c r="D236" t="s">
        <v>9</v>
      </c>
      <c r="E236" t="s">
        <v>349</v>
      </c>
      <c r="F236" t="s">
        <v>137</v>
      </c>
      <c r="G236">
        <v>44105</v>
      </c>
      <c r="H236" t="s">
        <v>27</v>
      </c>
      <c r="I236">
        <v>42097</v>
      </c>
      <c r="J236">
        <v>3</v>
      </c>
      <c r="K236" t="s">
        <v>1147</v>
      </c>
      <c r="L236">
        <v>0</v>
      </c>
      <c r="M236" t="b">
        <v>0</v>
      </c>
      <c r="N236">
        <v>42092</v>
      </c>
      <c r="O236">
        <v>5</v>
      </c>
      <c r="P236">
        <f t="shared" si="6"/>
        <v>1</v>
      </c>
      <c r="Q236">
        <f>IF(CO_Combined4[[#This Row],[Segment]]="COR",1,0)</f>
        <v>0</v>
      </c>
      <c r="R236">
        <f>IF(CO_Combined4[[#This Row],[Region ]]="E",1,0)</f>
        <v>1</v>
      </c>
      <c r="S236">
        <f>IF(CO_Combined4[[#This Row],[Region ]]="W",1,0)</f>
        <v>0</v>
      </c>
      <c r="T236">
        <f>IF(CO_Combined4[[#This Row],[Region ]]="S",1,0)</f>
        <v>0</v>
      </c>
      <c r="U236">
        <f>IF(CO_Combined4[[#This Row],[Ship Mode]]=1,1,0)</f>
        <v>0</v>
      </c>
      <c r="V236">
        <f>IF(CO_Combined4[[#This Row],[Ship Mode]]=2,1,0)</f>
        <v>0</v>
      </c>
      <c r="W236">
        <f>IF(CO_Combined4[[#This Row],[Ship Mode]]=3,1,0)</f>
        <v>1</v>
      </c>
      <c r="X236">
        <f t="shared" si="7"/>
        <v>1</v>
      </c>
      <c r="Y236">
        <v>2</v>
      </c>
      <c r="Z236">
        <v>0</v>
      </c>
    </row>
    <row r="237" spans="1:26" x14ac:dyDescent="0.2">
      <c r="A237" t="s">
        <v>1235</v>
      </c>
      <c r="B237" t="s">
        <v>530</v>
      </c>
      <c r="C237" t="s">
        <v>320</v>
      </c>
      <c r="D237" t="s">
        <v>150</v>
      </c>
      <c r="E237" t="s">
        <v>97</v>
      </c>
      <c r="F237" t="s">
        <v>67</v>
      </c>
      <c r="G237">
        <v>19143</v>
      </c>
      <c r="H237" t="s">
        <v>27</v>
      </c>
      <c r="I237">
        <v>42990</v>
      </c>
      <c r="J237">
        <v>3</v>
      </c>
      <c r="K237" t="s">
        <v>1236</v>
      </c>
      <c r="L237">
        <v>0.2</v>
      </c>
      <c r="M237" t="b">
        <v>0</v>
      </c>
      <c r="N237">
        <v>42986</v>
      </c>
      <c r="O237">
        <v>4</v>
      </c>
      <c r="P237">
        <f t="shared" si="6"/>
        <v>0</v>
      </c>
      <c r="Q237">
        <f>IF(CO_Combined4[[#This Row],[Segment]]="COR",1,0)</f>
        <v>1</v>
      </c>
      <c r="R237">
        <f>IF(CO_Combined4[[#This Row],[Region ]]="E",1,0)</f>
        <v>1</v>
      </c>
      <c r="S237">
        <f>IF(CO_Combined4[[#This Row],[Region ]]="W",1,0)</f>
        <v>0</v>
      </c>
      <c r="T237">
        <f>IF(CO_Combined4[[#This Row],[Region ]]="S",1,0)</f>
        <v>0</v>
      </c>
      <c r="U237">
        <f>IF(CO_Combined4[[#This Row],[Ship Mode]]=1,1,0)</f>
        <v>0</v>
      </c>
      <c r="V237">
        <f>IF(CO_Combined4[[#This Row],[Ship Mode]]=2,1,0)</f>
        <v>0</v>
      </c>
      <c r="W237">
        <f>IF(CO_Combined4[[#This Row],[Ship Mode]]=3,1,0)</f>
        <v>1</v>
      </c>
      <c r="X237">
        <f t="shared" si="7"/>
        <v>1</v>
      </c>
      <c r="Y237">
        <v>6</v>
      </c>
      <c r="Z237">
        <v>1</v>
      </c>
    </row>
    <row r="238" spans="1:26" x14ac:dyDescent="0.2">
      <c r="A238" t="s">
        <v>1237</v>
      </c>
      <c r="B238" t="s">
        <v>529</v>
      </c>
      <c r="C238" t="s">
        <v>319</v>
      </c>
      <c r="D238" t="s">
        <v>9</v>
      </c>
      <c r="E238" t="s">
        <v>38</v>
      </c>
      <c r="F238" t="s">
        <v>17</v>
      </c>
      <c r="G238">
        <v>90045</v>
      </c>
      <c r="H238" t="s">
        <v>18</v>
      </c>
      <c r="I238">
        <v>41961</v>
      </c>
      <c r="J238">
        <v>4</v>
      </c>
      <c r="K238" t="s">
        <v>1238</v>
      </c>
      <c r="L238">
        <v>0.1</v>
      </c>
      <c r="M238" t="b">
        <v>1</v>
      </c>
      <c r="N238">
        <v>41954</v>
      </c>
      <c r="O238">
        <v>7</v>
      </c>
      <c r="P238">
        <f t="shared" si="6"/>
        <v>1</v>
      </c>
      <c r="Q238">
        <f>IF(CO_Combined4[[#This Row],[Segment]]="COR",1,0)</f>
        <v>0</v>
      </c>
      <c r="R238">
        <f>IF(CO_Combined4[[#This Row],[Region ]]="E",1,0)</f>
        <v>0</v>
      </c>
      <c r="S238">
        <f>IF(CO_Combined4[[#This Row],[Region ]]="W",1,0)</f>
        <v>1</v>
      </c>
      <c r="T238">
        <f>IF(CO_Combined4[[#This Row],[Region ]]="S",1,0)</f>
        <v>0</v>
      </c>
      <c r="U238">
        <f>IF(CO_Combined4[[#This Row],[Ship Mode]]=1,1,0)</f>
        <v>0</v>
      </c>
      <c r="V238">
        <f>IF(CO_Combined4[[#This Row],[Ship Mode]]=2,1,0)</f>
        <v>0</v>
      </c>
      <c r="W238">
        <f>IF(CO_Combined4[[#This Row],[Ship Mode]]=3,1,0)</f>
        <v>0</v>
      </c>
      <c r="X238">
        <f t="shared" si="7"/>
        <v>0</v>
      </c>
      <c r="Y238">
        <v>4</v>
      </c>
      <c r="Z238">
        <v>1</v>
      </c>
    </row>
    <row r="239" spans="1:26" x14ac:dyDescent="0.2">
      <c r="A239" t="s">
        <v>1240</v>
      </c>
      <c r="B239" t="s">
        <v>426</v>
      </c>
      <c r="C239" t="s">
        <v>164</v>
      </c>
      <c r="D239" t="s">
        <v>9</v>
      </c>
      <c r="E239" t="s">
        <v>165</v>
      </c>
      <c r="F239" t="s">
        <v>166</v>
      </c>
      <c r="G239">
        <v>33024</v>
      </c>
      <c r="H239" t="s">
        <v>47</v>
      </c>
      <c r="I239">
        <v>42172</v>
      </c>
      <c r="J239">
        <v>2</v>
      </c>
      <c r="K239" t="s">
        <v>1241</v>
      </c>
      <c r="L239">
        <v>0.2</v>
      </c>
      <c r="M239" t="b">
        <v>0</v>
      </c>
      <c r="N239">
        <v>42170</v>
      </c>
      <c r="O239">
        <v>2</v>
      </c>
      <c r="P239">
        <f t="shared" si="6"/>
        <v>1</v>
      </c>
      <c r="Q239">
        <f>IF(CO_Combined4[[#This Row],[Segment]]="COR",1,0)</f>
        <v>0</v>
      </c>
      <c r="R239">
        <f>IF(CO_Combined4[[#This Row],[Region ]]="E",1,0)</f>
        <v>0</v>
      </c>
      <c r="S239">
        <f>IF(CO_Combined4[[#This Row],[Region ]]="W",1,0)</f>
        <v>0</v>
      </c>
      <c r="T239">
        <f>IF(CO_Combined4[[#This Row],[Region ]]="S",1,0)</f>
        <v>1</v>
      </c>
      <c r="U239">
        <f>IF(CO_Combined4[[#This Row],[Ship Mode]]=1,1,0)</f>
        <v>0</v>
      </c>
      <c r="V239">
        <f>IF(CO_Combined4[[#This Row],[Ship Mode]]=2,1,0)</f>
        <v>1</v>
      </c>
      <c r="W239">
        <f>IF(CO_Combined4[[#This Row],[Ship Mode]]=3,1,0)</f>
        <v>0</v>
      </c>
      <c r="X239">
        <f t="shared" si="7"/>
        <v>1</v>
      </c>
      <c r="Y239">
        <v>1</v>
      </c>
      <c r="Z239">
        <v>1</v>
      </c>
    </row>
    <row r="240" spans="1:26" x14ac:dyDescent="0.2">
      <c r="A240" t="s">
        <v>1242</v>
      </c>
      <c r="B240" t="s">
        <v>532</v>
      </c>
      <c r="C240" t="s">
        <v>323</v>
      </c>
      <c r="D240" t="s">
        <v>9</v>
      </c>
      <c r="E240" t="s">
        <v>97</v>
      </c>
      <c r="F240" t="s">
        <v>67</v>
      </c>
      <c r="G240">
        <v>19134</v>
      </c>
      <c r="H240" t="s">
        <v>27</v>
      </c>
      <c r="I240">
        <v>41761</v>
      </c>
      <c r="J240">
        <v>4</v>
      </c>
      <c r="K240" t="s">
        <v>1243</v>
      </c>
      <c r="L240">
        <v>0.2</v>
      </c>
      <c r="M240" t="b">
        <v>0</v>
      </c>
      <c r="N240">
        <v>41761</v>
      </c>
      <c r="O240">
        <v>0</v>
      </c>
      <c r="P240">
        <f t="shared" si="6"/>
        <v>1</v>
      </c>
      <c r="Q240">
        <f>IF(CO_Combined4[[#This Row],[Segment]]="COR",1,0)</f>
        <v>0</v>
      </c>
      <c r="R240">
        <f>IF(CO_Combined4[[#This Row],[Region ]]="E",1,0)</f>
        <v>1</v>
      </c>
      <c r="S240">
        <f>IF(CO_Combined4[[#This Row],[Region ]]="W",1,0)</f>
        <v>0</v>
      </c>
      <c r="T240">
        <f>IF(CO_Combined4[[#This Row],[Region ]]="S",1,0)</f>
        <v>0</v>
      </c>
      <c r="U240">
        <f>IF(CO_Combined4[[#This Row],[Ship Mode]]=1,1,0)</f>
        <v>0</v>
      </c>
      <c r="V240">
        <f>IF(CO_Combined4[[#This Row],[Ship Mode]]=2,1,0)</f>
        <v>0</v>
      </c>
      <c r="W240">
        <f>IF(CO_Combined4[[#This Row],[Ship Mode]]=3,1,0)</f>
        <v>0</v>
      </c>
      <c r="X240">
        <f t="shared" si="7"/>
        <v>1</v>
      </c>
      <c r="Y240">
        <v>3</v>
      </c>
      <c r="Z240">
        <v>1</v>
      </c>
    </row>
    <row r="241" spans="1:26" x14ac:dyDescent="0.2">
      <c r="A241" t="s">
        <v>1244</v>
      </c>
      <c r="B241" t="s">
        <v>497</v>
      </c>
      <c r="C241" t="s">
        <v>271</v>
      </c>
      <c r="D241" t="s">
        <v>150</v>
      </c>
      <c r="E241" t="s">
        <v>121</v>
      </c>
      <c r="F241" t="s">
        <v>22</v>
      </c>
      <c r="G241">
        <v>77095</v>
      </c>
      <c r="H241" t="s">
        <v>12</v>
      </c>
      <c r="I241">
        <v>42227</v>
      </c>
      <c r="J241">
        <v>4</v>
      </c>
      <c r="K241" t="s">
        <v>1246</v>
      </c>
      <c r="L241">
        <v>0.45</v>
      </c>
      <c r="M241" t="b">
        <v>0</v>
      </c>
      <c r="N241">
        <v>42221</v>
      </c>
      <c r="O241">
        <v>6</v>
      </c>
      <c r="P241">
        <f t="shared" si="6"/>
        <v>0</v>
      </c>
      <c r="Q241">
        <f>IF(CO_Combined4[[#This Row],[Segment]]="COR",1,0)</f>
        <v>1</v>
      </c>
      <c r="R241">
        <f>IF(CO_Combined4[[#This Row],[Region ]]="E",1,0)</f>
        <v>0</v>
      </c>
      <c r="S241">
        <f>IF(CO_Combined4[[#This Row],[Region ]]="W",1,0)</f>
        <v>0</v>
      </c>
      <c r="T241">
        <f>IF(CO_Combined4[[#This Row],[Region ]]="S",1,0)</f>
        <v>0</v>
      </c>
      <c r="U241">
        <f>IF(CO_Combined4[[#This Row],[Ship Mode]]=1,1,0)</f>
        <v>0</v>
      </c>
      <c r="V241">
        <f>IF(CO_Combined4[[#This Row],[Ship Mode]]=2,1,0)</f>
        <v>0</v>
      </c>
      <c r="W241">
        <f>IF(CO_Combined4[[#This Row],[Ship Mode]]=3,1,0)</f>
        <v>0</v>
      </c>
      <c r="X241">
        <f t="shared" si="7"/>
        <v>1</v>
      </c>
      <c r="Y241">
        <v>16</v>
      </c>
      <c r="Z241">
        <v>1</v>
      </c>
    </row>
    <row r="242" spans="1:26" x14ac:dyDescent="0.2">
      <c r="A242" t="s">
        <v>1247</v>
      </c>
      <c r="B242" t="s">
        <v>451</v>
      </c>
      <c r="C242" t="s">
        <v>204</v>
      </c>
      <c r="D242" t="s">
        <v>9</v>
      </c>
      <c r="E242" t="s">
        <v>205</v>
      </c>
      <c r="F242" t="s">
        <v>137</v>
      </c>
      <c r="G242">
        <v>45231</v>
      </c>
      <c r="H242" t="s">
        <v>27</v>
      </c>
      <c r="I242">
        <v>42989</v>
      </c>
      <c r="J242">
        <v>4</v>
      </c>
      <c r="K242" t="s">
        <v>1248</v>
      </c>
      <c r="L242">
        <v>0</v>
      </c>
      <c r="M242" t="b">
        <v>0</v>
      </c>
      <c r="N242">
        <v>42985</v>
      </c>
      <c r="O242">
        <v>4</v>
      </c>
      <c r="P242">
        <f t="shared" si="6"/>
        <v>1</v>
      </c>
      <c r="Q242">
        <f>IF(CO_Combined4[[#This Row],[Segment]]="COR",1,0)</f>
        <v>0</v>
      </c>
      <c r="R242">
        <f>IF(CO_Combined4[[#This Row],[Region ]]="E",1,0)</f>
        <v>1</v>
      </c>
      <c r="S242">
        <f>IF(CO_Combined4[[#This Row],[Region ]]="W",1,0)</f>
        <v>0</v>
      </c>
      <c r="T242">
        <f>IF(CO_Combined4[[#This Row],[Region ]]="S",1,0)</f>
        <v>0</v>
      </c>
      <c r="U242">
        <f>IF(CO_Combined4[[#This Row],[Ship Mode]]=1,1,0)</f>
        <v>0</v>
      </c>
      <c r="V242">
        <f>IF(CO_Combined4[[#This Row],[Ship Mode]]=2,1,0)</f>
        <v>0</v>
      </c>
      <c r="W242">
        <f>IF(CO_Combined4[[#This Row],[Ship Mode]]=3,1,0)</f>
        <v>0</v>
      </c>
      <c r="X242">
        <f t="shared" si="7"/>
        <v>1</v>
      </c>
      <c r="Y242">
        <v>4</v>
      </c>
      <c r="Z242">
        <v>0</v>
      </c>
    </row>
    <row r="243" spans="1:26" x14ac:dyDescent="0.2">
      <c r="A243" t="s">
        <v>1249</v>
      </c>
      <c r="B243" t="s">
        <v>566</v>
      </c>
      <c r="C243" t="s">
        <v>376</v>
      </c>
      <c r="D243" t="s">
        <v>150</v>
      </c>
      <c r="E243" t="s">
        <v>377</v>
      </c>
      <c r="F243" t="s">
        <v>17</v>
      </c>
      <c r="G243">
        <v>92054</v>
      </c>
      <c r="H243" t="s">
        <v>18</v>
      </c>
      <c r="I243">
        <v>41741</v>
      </c>
      <c r="J243">
        <v>3</v>
      </c>
      <c r="K243" t="s">
        <v>1251</v>
      </c>
      <c r="L243">
        <v>0</v>
      </c>
      <c r="M243" t="b">
        <v>0</v>
      </c>
      <c r="N243">
        <v>41735</v>
      </c>
      <c r="O243">
        <v>6</v>
      </c>
      <c r="P243">
        <f t="shared" si="6"/>
        <v>0</v>
      </c>
      <c r="Q243">
        <f>IF(CO_Combined4[[#This Row],[Segment]]="COR",1,0)</f>
        <v>1</v>
      </c>
      <c r="R243">
        <f>IF(CO_Combined4[[#This Row],[Region ]]="E",1,0)</f>
        <v>0</v>
      </c>
      <c r="S243">
        <f>IF(CO_Combined4[[#This Row],[Region ]]="W",1,0)</f>
        <v>1</v>
      </c>
      <c r="T243">
        <f>IF(CO_Combined4[[#This Row],[Region ]]="S",1,0)</f>
        <v>0</v>
      </c>
      <c r="U243">
        <f>IF(CO_Combined4[[#This Row],[Ship Mode]]=1,1,0)</f>
        <v>0</v>
      </c>
      <c r="V243">
        <f>IF(CO_Combined4[[#This Row],[Ship Mode]]=2,1,0)</f>
        <v>0</v>
      </c>
      <c r="W243">
        <f>IF(CO_Combined4[[#This Row],[Ship Mode]]=3,1,0)</f>
        <v>1</v>
      </c>
      <c r="X243">
        <f t="shared" si="7"/>
        <v>1</v>
      </c>
      <c r="Y243">
        <v>13</v>
      </c>
      <c r="Z243">
        <v>0</v>
      </c>
    </row>
    <row r="244" spans="1:26" x14ac:dyDescent="0.2">
      <c r="A244" t="s">
        <v>1252</v>
      </c>
      <c r="B244" t="s">
        <v>428</v>
      </c>
      <c r="C244" t="s">
        <v>168</v>
      </c>
      <c r="D244" t="s">
        <v>150</v>
      </c>
      <c r="E244" t="s">
        <v>85</v>
      </c>
      <c r="F244" t="s">
        <v>86</v>
      </c>
      <c r="G244">
        <v>98115</v>
      </c>
      <c r="H244" t="s">
        <v>18</v>
      </c>
      <c r="I244">
        <v>42796</v>
      </c>
      <c r="J244">
        <v>4</v>
      </c>
      <c r="K244" t="s">
        <v>1254</v>
      </c>
      <c r="L244">
        <v>0.1</v>
      </c>
      <c r="M244" t="b">
        <v>0</v>
      </c>
      <c r="N244">
        <v>42789</v>
      </c>
      <c r="O244">
        <v>7</v>
      </c>
      <c r="P244">
        <f t="shared" si="6"/>
        <v>0</v>
      </c>
      <c r="Q244">
        <f>IF(CO_Combined4[[#This Row],[Segment]]="COR",1,0)</f>
        <v>1</v>
      </c>
      <c r="R244">
        <f>IF(CO_Combined4[[#This Row],[Region ]]="E",1,0)</f>
        <v>0</v>
      </c>
      <c r="S244">
        <f>IF(CO_Combined4[[#This Row],[Region ]]="W",1,0)</f>
        <v>1</v>
      </c>
      <c r="T244">
        <f>IF(CO_Combined4[[#This Row],[Region ]]="S",1,0)</f>
        <v>0</v>
      </c>
      <c r="U244">
        <f>IF(CO_Combined4[[#This Row],[Ship Mode]]=1,1,0)</f>
        <v>0</v>
      </c>
      <c r="V244">
        <f>IF(CO_Combined4[[#This Row],[Ship Mode]]=2,1,0)</f>
        <v>0</v>
      </c>
      <c r="W244">
        <f>IF(CO_Combined4[[#This Row],[Ship Mode]]=3,1,0)</f>
        <v>0</v>
      </c>
      <c r="X244">
        <f t="shared" si="7"/>
        <v>1</v>
      </c>
      <c r="Y244">
        <v>10</v>
      </c>
      <c r="Z244">
        <v>1</v>
      </c>
    </row>
    <row r="245" spans="1:26" x14ac:dyDescent="0.2">
      <c r="A245" t="s">
        <v>1255</v>
      </c>
      <c r="B245" t="s">
        <v>493</v>
      </c>
      <c r="C245" t="s">
        <v>265</v>
      </c>
      <c r="D245" t="s">
        <v>9</v>
      </c>
      <c r="E245" t="s">
        <v>85</v>
      </c>
      <c r="F245" t="s">
        <v>86</v>
      </c>
      <c r="G245">
        <v>98105</v>
      </c>
      <c r="H245" t="s">
        <v>18</v>
      </c>
      <c r="I245">
        <v>42922</v>
      </c>
      <c r="J245">
        <v>3</v>
      </c>
      <c r="K245" t="s">
        <v>1121</v>
      </c>
      <c r="L245">
        <v>0.2</v>
      </c>
      <c r="M245" t="b">
        <v>0</v>
      </c>
      <c r="N245">
        <v>42922</v>
      </c>
      <c r="O245">
        <v>0</v>
      </c>
      <c r="P245">
        <f t="shared" si="6"/>
        <v>1</v>
      </c>
      <c r="Q245">
        <f>IF(CO_Combined4[[#This Row],[Segment]]="COR",1,0)</f>
        <v>0</v>
      </c>
      <c r="R245">
        <f>IF(CO_Combined4[[#This Row],[Region ]]="E",1,0)</f>
        <v>0</v>
      </c>
      <c r="S245">
        <f>IF(CO_Combined4[[#This Row],[Region ]]="W",1,0)</f>
        <v>1</v>
      </c>
      <c r="T245">
        <f>IF(CO_Combined4[[#This Row],[Region ]]="S",1,0)</f>
        <v>0</v>
      </c>
      <c r="U245">
        <f>IF(CO_Combined4[[#This Row],[Ship Mode]]=1,1,0)</f>
        <v>0</v>
      </c>
      <c r="V245">
        <f>IF(CO_Combined4[[#This Row],[Ship Mode]]=2,1,0)</f>
        <v>0</v>
      </c>
      <c r="W245">
        <f>IF(CO_Combined4[[#This Row],[Ship Mode]]=3,1,0)</f>
        <v>1</v>
      </c>
      <c r="X245">
        <f t="shared" si="7"/>
        <v>1</v>
      </c>
      <c r="Y245">
        <v>1</v>
      </c>
      <c r="Z245">
        <v>1</v>
      </c>
    </row>
    <row r="246" spans="1:26" x14ac:dyDescent="0.2">
      <c r="A246" t="s">
        <v>1256</v>
      </c>
      <c r="B246" t="s">
        <v>70</v>
      </c>
      <c r="C246" t="s">
        <v>71</v>
      </c>
      <c r="D246" t="s">
        <v>9</v>
      </c>
      <c r="E246" t="s">
        <v>72</v>
      </c>
      <c r="F246" t="s">
        <v>73</v>
      </c>
      <c r="G246">
        <v>40324</v>
      </c>
      <c r="H246" t="s">
        <v>47</v>
      </c>
      <c r="I246">
        <v>42621</v>
      </c>
      <c r="J246">
        <v>4</v>
      </c>
      <c r="K246" t="s">
        <v>1258</v>
      </c>
      <c r="L246">
        <v>0</v>
      </c>
      <c r="M246" t="b">
        <v>0</v>
      </c>
      <c r="N246">
        <v>42617</v>
      </c>
      <c r="O246">
        <v>4</v>
      </c>
      <c r="P246">
        <f t="shared" si="6"/>
        <v>1</v>
      </c>
      <c r="Q246">
        <f>IF(CO_Combined4[[#This Row],[Segment]]="COR",1,0)</f>
        <v>0</v>
      </c>
      <c r="R246">
        <f>IF(CO_Combined4[[#This Row],[Region ]]="E",1,0)</f>
        <v>0</v>
      </c>
      <c r="S246">
        <f>IF(CO_Combined4[[#This Row],[Region ]]="W",1,0)</f>
        <v>0</v>
      </c>
      <c r="T246">
        <f>IF(CO_Combined4[[#This Row],[Region ]]="S",1,0)</f>
        <v>1</v>
      </c>
      <c r="U246">
        <f>IF(CO_Combined4[[#This Row],[Ship Mode]]=1,1,0)</f>
        <v>0</v>
      </c>
      <c r="V246">
        <f>IF(CO_Combined4[[#This Row],[Ship Mode]]=2,1,0)</f>
        <v>0</v>
      </c>
      <c r="W246">
        <f>IF(CO_Combined4[[#This Row],[Ship Mode]]=3,1,0)</f>
        <v>0</v>
      </c>
      <c r="X246">
        <f t="shared" si="7"/>
        <v>1</v>
      </c>
      <c r="Y246">
        <v>16</v>
      </c>
      <c r="Z246">
        <v>0</v>
      </c>
    </row>
    <row r="247" spans="1:26" x14ac:dyDescent="0.2">
      <c r="A247" t="s">
        <v>1260</v>
      </c>
      <c r="B247" t="s">
        <v>476</v>
      </c>
      <c r="C247" t="s">
        <v>241</v>
      </c>
      <c r="D247" t="s">
        <v>150</v>
      </c>
      <c r="E247" t="s">
        <v>242</v>
      </c>
      <c r="F247" t="s">
        <v>53</v>
      </c>
      <c r="G247">
        <v>37918</v>
      </c>
      <c r="H247" t="s">
        <v>47</v>
      </c>
      <c r="I247">
        <v>42879</v>
      </c>
      <c r="J247">
        <v>3</v>
      </c>
      <c r="K247" t="s">
        <v>771</v>
      </c>
      <c r="L247">
        <v>0.2</v>
      </c>
      <c r="M247" t="b">
        <v>0</v>
      </c>
      <c r="N247">
        <v>42874</v>
      </c>
      <c r="O247">
        <v>5</v>
      </c>
      <c r="P247">
        <f t="shared" si="6"/>
        <v>0</v>
      </c>
      <c r="Q247">
        <f>IF(CO_Combined4[[#This Row],[Segment]]="COR",1,0)</f>
        <v>1</v>
      </c>
      <c r="R247">
        <f>IF(CO_Combined4[[#This Row],[Region ]]="E",1,0)</f>
        <v>0</v>
      </c>
      <c r="S247">
        <f>IF(CO_Combined4[[#This Row],[Region ]]="W",1,0)</f>
        <v>0</v>
      </c>
      <c r="T247">
        <f>IF(CO_Combined4[[#This Row],[Region ]]="S",1,0)</f>
        <v>1</v>
      </c>
      <c r="U247">
        <f>IF(CO_Combined4[[#This Row],[Ship Mode]]=1,1,0)</f>
        <v>0</v>
      </c>
      <c r="V247">
        <f>IF(CO_Combined4[[#This Row],[Ship Mode]]=2,1,0)</f>
        <v>0</v>
      </c>
      <c r="W247">
        <f>IF(CO_Combined4[[#This Row],[Ship Mode]]=3,1,0)</f>
        <v>1</v>
      </c>
      <c r="X247">
        <f t="shared" si="7"/>
        <v>1</v>
      </c>
      <c r="Y247">
        <v>10</v>
      </c>
      <c r="Z247">
        <v>1</v>
      </c>
    </row>
    <row r="248" spans="1:26" x14ac:dyDescent="0.2">
      <c r="A248" t="s">
        <v>1262</v>
      </c>
      <c r="B248" t="s">
        <v>490</v>
      </c>
      <c r="C248" t="s">
        <v>262</v>
      </c>
      <c r="D248" t="s">
        <v>9</v>
      </c>
      <c r="E248" t="s">
        <v>25</v>
      </c>
      <c r="F248" t="s">
        <v>26</v>
      </c>
      <c r="G248">
        <v>10035</v>
      </c>
      <c r="H248" t="s">
        <v>27</v>
      </c>
      <c r="I248">
        <v>42027</v>
      </c>
      <c r="J248">
        <v>4</v>
      </c>
      <c r="K248" t="s">
        <v>1263</v>
      </c>
      <c r="L248">
        <v>0.2</v>
      </c>
      <c r="M248" t="b">
        <v>0</v>
      </c>
      <c r="N248">
        <v>42021</v>
      </c>
      <c r="O248">
        <v>6</v>
      </c>
      <c r="P248">
        <f t="shared" si="6"/>
        <v>1</v>
      </c>
      <c r="Q248">
        <f>IF(CO_Combined4[[#This Row],[Segment]]="COR",1,0)</f>
        <v>0</v>
      </c>
      <c r="R248">
        <f>IF(CO_Combined4[[#This Row],[Region ]]="E",1,0)</f>
        <v>1</v>
      </c>
      <c r="S248">
        <f>IF(CO_Combined4[[#This Row],[Region ]]="W",1,0)</f>
        <v>0</v>
      </c>
      <c r="T248">
        <f>IF(CO_Combined4[[#This Row],[Region ]]="S",1,0)</f>
        <v>0</v>
      </c>
      <c r="U248">
        <f>IF(CO_Combined4[[#This Row],[Ship Mode]]=1,1,0)</f>
        <v>0</v>
      </c>
      <c r="V248">
        <f>IF(CO_Combined4[[#This Row],[Ship Mode]]=2,1,0)</f>
        <v>0</v>
      </c>
      <c r="W248">
        <f>IF(CO_Combined4[[#This Row],[Ship Mode]]=3,1,0)</f>
        <v>0</v>
      </c>
      <c r="X248">
        <f t="shared" si="7"/>
        <v>1</v>
      </c>
      <c r="Y248">
        <v>8</v>
      </c>
      <c r="Z248">
        <v>1</v>
      </c>
    </row>
    <row r="249" spans="1:26" x14ac:dyDescent="0.2">
      <c r="A249" t="s">
        <v>1264</v>
      </c>
      <c r="B249" t="s">
        <v>542</v>
      </c>
      <c r="C249" t="s">
        <v>337</v>
      </c>
      <c r="D249" t="s">
        <v>9</v>
      </c>
      <c r="E249" t="s">
        <v>153</v>
      </c>
      <c r="F249" t="s">
        <v>124</v>
      </c>
      <c r="G249">
        <v>60653</v>
      </c>
      <c r="H249" t="s">
        <v>12</v>
      </c>
      <c r="I249">
        <v>42629</v>
      </c>
      <c r="J249">
        <v>4</v>
      </c>
      <c r="K249" t="s">
        <v>1265</v>
      </c>
      <c r="L249">
        <v>0.5</v>
      </c>
      <c r="M249" t="b">
        <v>0</v>
      </c>
      <c r="N249">
        <v>42624</v>
      </c>
      <c r="O249">
        <v>5</v>
      </c>
      <c r="P249">
        <f t="shared" si="6"/>
        <v>1</v>
      </c>
      <c r="Q249">
        <f>IF(CO_Combined4[[#This Row],[Segment]]="COR",1,0)</f>
        <v>0</v>
      </c>
      <c r="R249">
        <f>IF(CO_Combined4[[#This Row],[Region ]]="E",1,0)</f>
        <v>0</v>
      </c>
      <c r="S249">
        <f>IF(CO_Combined4[[#This Row],[Region ]]="W",1,0)</f>
        <v>0</v>
      </c>
      <c r="T249">
        <f>IF(CO_Combined4[[#This Row],[Region ]]="S",1,0)</f>
        <v>0</v>
      </c>
      <c r="U249">
        <f>IF(CO_Combined4[[#This Row],[Ship Mode]]=1,1,0)</f>
        <v>0</v>
      </c>
      <c r="V249">
        <f>IF(CO_Combined4[[#This Row],[Ship Mode]]=2,1,0)</f>
        <v>0</v>
      </c>
      <c r="W249">
        <f>IF(CO_Combined4[[#This Row],[Ship Mode]]=3,1,0)</f>
        <v>0</v>
      </c>
      <c r="X249">
        <f t="shared" si="7"/>
        <v>1</v>
      </c>
      <c r="Y249">
        <v>5</v>
      </c>
      <c r="Z249">
        <v>1</v>
      </c>
    </row>
    <row r="250" spans="1:26" x14ac:dyDescent="0.2">
      <c r="A250" t="s">
        <v>1267</v>
      </c>
      <c r="B250" t="s">
        <v>471</v>
      </c>
      <c r="C250" t="s">
        <v>235</v>
      </c>
      <c r="D250" t="s">
        <v>9</v>
      </c>
      <c r="E250" t="s">
        <v>76</v>
      </c>
      <c r="F250" t="s">
        <v>17</v>
      </c>
      <c r="G250">
        <v>92105</v>
      </c>
      <c r="H250" t="s">
        <v>18</v>
      </c>
      <c r="I250">
        <v>41940</v>
      </c>
      <c r="J250">
        <v>2</v>
      </c>
      <c r="K250" t="s">
        <v>1268</v>
      </c>
      <c r="L250">
        <v>0.2</v>
      </c>
      <c r="M250" t="b">
        <v>0</v>
      </c>
      <c r="N250">
        <v>41937</v>
      </c>
      <c r="O250">
        <v>3</v>
      </c>
      <c r="P250">
        <f t="shared" si="6"/>
        <v>1</v>
      </c>
      <c r="Q250">
        <f>IF(CO_Combined4[[#This Row],[Segment]]="COR",1,0)</f>
        <v>0</v>
      </c>
      <c r="R250">
        <f>IF(CO_Combined4[[#This Row],[Region ]]="E",1,0)</f>
        <v>0</v>
      </c>
      <c r="S250">
        <f>IF(CO_Combined4[[#This Row],[Region ]]="W",1,0)</f>
        <v>1</v>
      </c>
      <c r="T250">
        <f>IF(CO_Combined4[[#This Row],[Region ]]="S",1,0)</f>
        <v>0</v>
      </c>
      <c r="U250">
        <f>IF(CO_Combined4[[#This Row],[Ship Mode]]=1,1,0)</f>
        <v>0</v>
      </c>
      <c r="V250">
        <f>IF(CO_Combined4[[#This Row],[Ship Mode]]=2,1,0)</f>
        <v>1</v>
      </c>
      <c r="W250">
        <f>IF(CO_Combined4[[#This Row],[Ship Mode]]=3,1,0)</f>
        <v>0</v>
      </c>
      <c r="X250">
        <f t="shared" si="7"/>
        <v>1</v>
      </c>
      <c r="Y250">
        <v>4</v>
      </c>
      <c r="Z250">
        <v>1</v>
      </c>
    </row>
    <row r="251" spans="1:26" x14ac:dyDescent="0.2">
      <c r="A251" t="s">
        <v>1269</v>
      </c>
      <c r="B251" t="s">
        <v>574</v>
      </c>
      <c r="C251" t="s">
        <v>573</v>
      </c>
      <c r="D251" t="s">
        <v>9</v>
      </c>
      <c r="E251" t="s">
        <v>38</v>
      </c>
      <c r="F251" t="s">
        <v>17</v>
      </c>
      <c r="G251">
        <v>90036</v>
      </c>
      <c r="H251" t="s">
        <v>18</v>
      </c>
      <c r="I251">
        <v>42998</v>
      </c>
      <c r="J251">
        <v>4</v>
      </c>
      <c r="K251" t="s">
        <v>1270</v>
      </c>
      <c r="L251">
        <v>0.2</v>
      </c>
      <c r="M251" t="b">
        <v>0</v>
      </c>
      <c r="N251">
        <v>42993</v>
      </c>
      <c r="O251">
        <v>5</v>
      </c>
      <c r="P251">
        <f t="shared" si="6"/>
        <v>1</v>
      </c>
      <c r="Q251">
        <f>IF(CO_Combined4[[#This Row],[Segment]]="COR",1,0)</f>
        <v>0</v>
      </c>
      <c r="R251">
        <f>IF(CO_Combined4[[#This Row],[Region ]]="E",1,0)</f>
        <v>0</v>
      </c>
      <c r="S251">
        <f>IF(CO_Combined4[[#This Row],[Region ]]="W",1,0)</f>
        <v>1</v>
      </c>
      <c r="T251">
        <f>IF(CO_Combined4[[#This Row],[Region ]]="S",1,0)</f>
        <v>0</v>
      </c>
      <c r="U251">
        <f>IF(CO_Combined4[[#This Row],[Ship Mode]]=1,1,0)</f>
        <v>0</v>
      </c>
      <c r="V251">
        <f>IF(CO_Combined4[[#This Row],[Ship Mode]]=2,1,0)</f>
        <v>0</v>
      </c>
      <c r="W251">
        <f>IF(CO_Combined4[[#This Row],[Ship Mode]]=3,1,0)</f>
        <v>0</v>
      </c>
      <c r="X251">
        <f t="shared" si="7"/>
        <v>1</v>
      </c>
      <c r="Y251">
        <v>5</v>
      </c>
      <c r="Z251">
        <v>1</v>
      </c>
    </row>
    <row r="252" spans="1:26" x14ac:dyDescent="0.2">
      <c r="A252" t="s">
        <v>1271</v>
      </c>
      <c r="B252" t="s">
        <v>519</v>
      </c>
      <c r="C252" t="s">
        <v>304</v>
      </c>
      <c r="D252" t="s">
        <v>150</v>
      </c>
      <c r="E252" t="s">
        <v>38</v>
      </c>
      <c r="F252" t="s">
        <v>17</v>
      </c>
      <c r="G252">
        <v>90045</v>
      </c>
      <c r="H252" t="s">
        <v>18</v>
      </c>
      <c r="I252">
        <v>42601</v>
      </c>
      <c r="J252">
        <v>2</v>
      </c>
      <c r="K252" t="s">
        <v>1272</v>
      </c>
      <c r="L252">
        <v>0.2</v>
      </c>
      <c r="M252" t="b">
        <v>0</v>
      </c>
      <c r="N252">
        <v>42598</v>
      </c>
      <c r="O252">
        <v>3</v>
      </c>
      <c r="P252">
        <f t="shared" si="6"/>
        <v>0</v>
      </c>
      <c r="Q252">
        <f>IF(CO_Combined4[[#This Row],[Segment]]="COR",1,0)</f>
        <v>1</v>
      </c>
      <c r="R252">
        <f>IF(CO_Combined4[[#This Row],[Region ]]="E",1,0)</f>
        <v>0</v>
      </c>
      <c r="S252">
        <f>IF(CO_Combined4[[#This Row],[Region ]]="W",1,0)</f>
        <v>1</v>
      </c>
      <c r="T252">
        <f>IF(CO_Combined4[[#This Row],[Region ]]="S",1,0)</f>
        <v>0</v>
      </c>
      <c r="U252">
        <f>IF(CO_Combined4[[#This Row],[Ship Mode]]=1,1,0)</f>
        <v>0</v>
      </c>
      <c r="V252">
        <f>IF(CO_Combined4[[#This Row],[Ship Mode]]=2,1,0)</f>
        <v>1</v>
      </c>
      <c r="W252">
        <f>IF(CO_Combined4[[#This Row],[Ship Mode]]=3,1,0)</f>
        <v>0</v>
      </c>
      <c r="X252">
        <f t="shared" si="7"/>
        <v>1</v>
      </c>
      <c r="Y252">
        <v>2</v>
      </c>
      <c r="Z252">
        <v>1</v>
      </c>
    </row>
    <row r="253" spans="1:26" x14ac:dyDescent="0.2">
      <c r="A253" t="s">
        <v>1273</v>
      </c>
      <c r="B253" t="s">
        <v>432</v>
      </c>
      <c r="C253" t="s">
        <v>174</v>
      </c>
      <c r="D253" t="s">
        <v>9</v>
      </c>
      <c r="E253" t="s">
        <v>16</v>
      </c>
      <c r="F253" t="s">
        <v>17</v>
      </c>
      <c r="G253">
        <v>94109</v>
      </c>
      <c r="H253" t="s">
        <v>18</v>
      </c>
      <c r="I253">
        <v>42550</v>
      </c>
      <c r="J253">
        <v>3</v>
      </c>
      <c r="K253" t="s">
        <v>1008</v>
      </c>
      <c r="L253">
        <v>0.2</v>
      </c>
      <c r="M253" t="b">
        <v>0</v>
      </c>
      <c r="N253">
        <v>42548</v>
      </c>
      <c r="O253">
        <v>2</v>
      </c>
      <c r="P253">
        <f t="shared" si="6"/>
        <v>1</v>
      </c>
      <c r="Q253">
        <f>IF(CO_Combined4[[#This Row],[Segment]]="COR",1,0)</f>
        <v>0</v>
      </c>
      <c r="R253">
        <f>IF(CO_Combined4[[#This Row],[Region ]]="E",1,0)</f>
        <v>0</v>
      </c>
      <c r="S253">
        <f>IF(CO_Combined4[[#This Row],[Region ]]="W",1,0)</f>
        <v>1</v>
      </c>
      <c r="T253">
        <f>IF(CO_Combined4[[#This Row],[Region ]]="S",1,0)</f>
        <v>0</v>
      </c>
      <c r="U253">
        <f>IF(CO_Combined4[[#This Row],[Ship Mode]]=1,1,0)</f>
        <v>0</v>
      </c>
      <c r="V253">
        <f>IF(CO_Combined4[[#This Row],[Ship Mode]]=2,1,0)</f>
        <v>0</v>
      </c>
      <c r="W253">
        <f>IF(CO_Combined4[[#This Row],[Ship Mode]]=3,1,0)</f>
        <v>1</v>
      </c>
      <c r="X253">
        <f t="shared" si="7"/>
        <v>1</v>
      </c>
      <c r="Y253">
        <v>2</v>
      </c>
      <c r="Z253">
        <v>1</v>
      </c>
    </row>
    <row r="254" spans="1:26" x14ac:dyDescent="0.2">
      <c r="A254" t="s">
        <v>1274</v>
      </c>
      <c r="B254" t="s">
        <v>579</v>
      </c>
      <c r="C254" t="s">
        <v>577</v>
      </c>
      <c r="D254" t="s">
        <v>9</v>
      </c>
      <c r="E254" t="s">
        <v>578</v>
      </c>
      <c r="F254" t="s">
        <v>17</v>
      </c>
      <c r="G254">
        <v>95207</v>
      </c>
      <c r="H254" t="s">
        <v>18</v>
      </c>
      <c r="I254">
        <v>42587</v>
      </c>
      <c r="J254">
        <v>3</v>
      </c>
      <c r="K254" t="s">
        <v>1276</v>
      </c>
      <c r="L254">
        <v>0</v>
      </c>
      <c r="M254" t="b">
        <v>1</v>
      </c>
      <c r="N254">
        <v>42585</v>
      </c>
      <c r="O254">
        <v>2</v>
      </c>
      <c r="P254">
        <f t="shared" si="6"/>
        <v>1</v>
      </c>
      <c r="Q254">
        <f>IF(CO_Combined4[[#This Row],[Segment]]="COR",1,0)</f>
        <v>0</v>
      </c>
      <c r="R254">
        <f>IF(CO_Combined4[[#This Row],[Region ]]="E",1,0)</f>
        <v>0</v>
      </c>
      <c r="S254">
        <f>IF(CO_Combined4[[#This Row],[Region ]]="W",1,0)</f>
        <v>1</v>
      </c>
      <c r="T254">
        <f>IF(CO_Combined4[[#This Row],[Region ]]="S",1,0)</f>
        <v>0</v>
      </c>
      <c r="U254">
        <f>IF(CO_Combined4[[#This Row],[Ship Mode]]=1,1,0)</f>
        <v>0</v>
      </c>
      <c r="V254">
        <f>IF(CO_Combined4[[#This Row],[Ship Mode]]=2,1,0)</f>
        <v>0</v>
      </c>
      <c r="W254">
        <f>IF(CO_Combined4[[#This Row],[Ship Mode]]=3,1,0)</f>
        <v>1</v>
      </c>
      <c r="X254">
        <f t="shared" si="7"/>
        <v>0</v>
      </c>
      <c r="Y254">
        <v>15</v>
      </c>
      <c r="Z254">
        <v>0</v>
      </c>
    </row>
    <row r="255" spans="1:26" x14ac:dyDescent="0.2">
      <c r="A255" t="s">
        <v>1277</v>
      </c>
      <c r="B255" t="s">
        <v>517</v>
      </c>
      <c r="C255" t="s">
        <v>301</v>
      </c>
      <c r="D255" t="s">
        <v>9</v>
      </c>
      <c r="E255" t="s">
        <v>302</v>
      </c>
      <c r="F255" t="s">
        <v>124</v>
      </c>
      <c r="G255">
        <v>60016</v>
      </c>
      <c r="H255" t="s">
        <v>12</v>
      </c>
      <c r="I255">
        <v>42833</v>
      </c>
      <c r="J255">
        <v>4</v>
      </c>
      <c r="K255" t="s">
        <v>1278</v>
      </c>
      <c r="L255">
        <v>0.2</v>
      </c>
      <c r="M255" t="b">
        <v>0</v>
      </c>
      <c r="N255">
        <v>42829</v>
      </c>
      <c r="O255">
        <v>4</v>
      </c>
      <c r="P255">
        <f t="shared" si="6"/>
        <v>1</v>
      </c>
      <c r="Q255">
        <f>IF(CO_Combined4[[#This Row],[Segment]]="COR",1,0)</f>
        <v>0</v>
      </c>
      <c r="R255">
        <f>IF(CO_Combined4[[#This Row],[Region ]]="E",1,0)</f>
        <v>0</v>
      </c>
      <c r="S255">
        <f>IF(CO_Combined4[[#This Row],[Region ]]="W",1,0)</f>
        <v>0</v>
      </c>
      <c r="T255">
        <f>IF(CO_Combined4[[#This Row],[Region ]]="S",1,0)</f>
        <v>0</v>
      </c>
      <c r="U255">
        <f>IF(CO_Combined4[[#This Row],[Ship Mode]]=1,1,0)</f>
        <v>0</v>
      </c>
      <c r="V255">
        <f>IF(CO_Combined4[[#This Row],[Ship Mode]]=2,1,0)</f>
        <v>0</v>
      </c>
      <c r="W255">
        <f>IF(CO_Combined4[[#This Row],[Ship Mode]]=3,1,0)</f>
        <v>0</v>
      </c>
      <c r="X255">
        <f t="shared" si="7"/>
        <v>1</v>
      </c>
      <c r="Y255">
        <v>4</v>
      </c>
      <c r="Z255">
        <v>1</v>
      </c>
    </row>
    <row r="256" spans="1:26" x14ac:dyDescent="0.2">
      <c r="A256" t="s">
        <v>1279</v>
      </c>
      <c r="B256" t="s">
        <v>579</v>
      </c>
      <c r="C256" t="s">
        <v>577</v>
      </c>
      <c r="D256" t="s">
        <v>9</v>
      </c>
      <c r="E256" t="s">
        <v>578</v>
      </c>
      <c r="F256" t="s">
        <v>17</v>
      </c>
      <c r="G256">
        <v>95207</v>
      </c>
      <c r="H256" t="s">
        <v>18</v>
      </c>
      <c r="I256">
        <v>43095</v>
      </c>
      <c r="J256">
        <v>4</v>
      </c>
      <c r="K256" t="s">
        <v>1281</v>
      </c>
      <c r="L256">
        <v>0.4</v>
      </c>
      <c r="M256" t="b">
        <v>0</v>
      </c>
      <c r="N256">
        <v>43091</v>
      </c>
      <c r="O256">
        <v>4</v>
      </c>
      <c r="P256">
        <f t="shared" si="6"/>
        <v>1</v>
      </c>
      <c r="Q256">
        <f>IF(CO_Combined4[[#This Row],[Segment]]="COR",1,0)</f>
        <v>0</v>
      </c>
      <c r="R256">
        <f>IF(CO_Combined4[[#This Row],[Region ]]="E",1,0)</f>
        <v>0</v>
      </c>
      <c r="S256">
        <f>IF(CO_Combined4[[#This Row],[Region ]]="W",1,0)</f>
        <v>1</v>
      </c>
      <c r="T256">
        <f>IF(CO_Combined4[[#This Row],[Region ]]="S",1,0)</f>
        <v>0</v>
      </c>
      <c r="U256">
        <f>IF(CO_Combined4[[#This Row],[Ship Mode]]=1,1,0)</f>
        <v>0</v>
      </c>
      <c r="V256">
        <f>IF(CO_Combined4[[#This Row],[Ship Mode]]=2,1,0)</f>
        <v>0</v>
      </c>
      <c r="W256">
        <f>IF(CO_Combined4[[#This Row],[Ship Mode]]=3,1,0)</f>
        <v>0</v>
      </c>
      <c r="X256">
        <f t="shared" si="7"/>
        <v>1</v>
      </c>
      <c r="Y256">
        <v>15</v>
      </c>
      <c r="Z256">
        <v>1</v>
      </c>
    </row>
    <row r="257" spans="1:26" x14ac:dyDescent="0.2">
      <c r="A257" t="s">
        <v>1282</v>
      </c>
      <c r="B257" t="s">
        <v>549</v>
      </c>
      <c r="C257" t="s">
        <v>348</v>
      </c>
      <c r="D257" t="s">
        <v>9</v>
      </c>
      <c r="E257" t="s">
        <v>349</v>
      </c>
      <c r="F257" t="s">
        <v>137</v>
      </c>
      <c r="G257">
        <v>44105</v>
      </c>
      <c r="H257" t="s">
        <v>27</v>
      </c>
      <c r="I257">
        <v>41927</v>
      </c>
      <c r="J257">
        <v>3</v>
      </c>
      <c r="K257" t="s">
        <v>679</v>
      </c>
      <c r="L257">
        <v>0</v>
      </c>
      <c r="M257" t="b">
        <v>0</v>
      </c>
      <c r="N257">
        <v>41923</v>
      </c>
      <c r="O257">
        <v>4</v>
      </c>
      <c r="P257">
        <f t="shared" si="6"/>
        <v>1</v>
      </c>
      <c r="Q257">
        <f>IF(CO_Combined4[[#This Row],[Segment]]="COR",1,0)</f>
        <v>0</v>
      </c>
      <c r="R257">
        <f>IF(CO_Combined4[[#This Row],[Region ]]="E",1,0)</f>
        <v>1</v>
      </c>
      <c r="S257">
        <f>IF(CO_Combined4[[#This Row],[Region ]]="W",1,0)</f>
        <v>0</v>
      </c>
      <c r="T257">
        <f>IF(CO_Combined4[[#This Row],[Region ]]="S",1,0)</f>
        <v>0</v>
      </c>
      <c r="U257">
        <f>IF(CO_Combined4[[#This Row],[Ship Mode]]=1,1,0)</f>
        <v>0</v>
      </c>
      <c r="V257">
        <f>IF(CO_Combined4[[#This Row],[Ship Mode]]=2,1,0)</f>
        <v>0</v>
      </c>
      <c r="W257">
        <f>IF(CO_Combined4[[#This Row],[Ship Mode]]=3,1,0)</f>
        <v>1</v>
      </c>
      <c r="X257">
        <f t="shared" si="7"/>
        <v>1</v>
      </c>
      <c r="Y257">
        <v>1</v>
      </c>
      <c r="Z257">
        <v>0</v>
      </c>
    </row>
    <row r="258" spans="1:26" x14ac:dyDescent="0.2">
      <c r="A258" t="s">
        <v>1283</v>
      </c>
      <c r="B258" t="s">
        <v>421</v>
      </c>
      <c r="C258" t="s">
        <v>157</v>
      </c>
      <c r="D258" t="s">
        <v>150</v>
      </c>
      <c r="E258" t="s">
        <v>16</v>
      </c>
      <c r="F258" t="s">
        <v>17</v>
      </c>
      <c r="G258">
        <v>94122</v>
      </c>
      <c r="H258" t="s">
        <v>18</v>
      </c>
      <c r="I258">
        <v>42427</v>
      </c>
      <c r="J258">
        <v>4</v>
      </c>
      <c r="K258" t="s">
        <v>1284</v>
      </c>
      <c r="L258">
        <v>0.2</v>
      </c>
      <c r="M258" t="b">
        <v>0</v>
      </c>
      <c r="N258">
        <v>42423</v>
      </c>
      <c r="O258">
        <v>4</v>
      </c>
      <c r="P258">
        <f t="shared" ref="P258:P321" si="8">IF($D258="CON",1,0)</f>
        <v>0</v>
      </c>
      <c r="Q258">
        <f>IF(CO_Combined4[[#This Row],[Segment]]="COR",1,0)</f>
        <v>1</v>
      </c>
      <c r="R258">
        <f>IF(CO_Combined4[[#This Row],[Region ]]="E",1,0)</f>
        <v>0</v>
      </c>
      <c r="S258">
        <f>IF(CO_Combined4[[#This Row],[Region ]]="W",1,0)</f>
        <v>1</v>
      </c>
      <c r="T258">
        <f>IF(CO_Combined4[[#This Row],[Region ]]="S",1,0)</f>
        <v>0</v>
      </c>
      <c r="U258">
        <f>IF(CO_Combined4[[#This Row],[Ship Mode]]=1,1,0)</f>
        <v>0</v>
      </c>
      <c r="V258">
        <f>IF(CO_Combined4[[#This Row],[Ship Mode]]=2,1,0)</f>
        <v>0</v>
      </c>
      <c r="W258">
        <f>IF(CO_Combined4[[#This Row],[Ship Mode]]=3,1,0)</f>
        <v>0</v>
      </c>
      <c r="X258">
        <f t="shared" ref="X258:X321" si="9">IF($M258=$M$2,1,0)</f>
        <v>1</v>
      </c>
      <c r="Y258">
        <v>6</v>
      </c>
      <c r="Z258">
        <v>1</v>
      </c>
    </row>
    <row r="259" spans="1:26" x14ac:dyDescent="0.2">
      <c r="A259" t="s">
        <v>1285</v>
      </c>
      <c r="B259" t="s">
        <v>556</v>
      </c>
      <c r="C259" t="s">
        <v>360</v>
      </c>
      <c r="D259" t="s">
        <v>90</v>
      </c>
      <c r="E259" t="s">
        <v>38</v>
      </c>
      <c r="F259" t="s">
        <v>17</v>
      </c>
      <c r="G259">
        <v>90004</v>
      </c>
      <c r="H259" t="s">
        <v>18</v>
      </c>
      <c r="I259">
        <v>42255</v>
      </c>
      <c r="J259">
        <v>3</v>
      </c>
      <c r="K259" t="s">
        <v>1286</v>
      </c>
      <c r="L259">
        <v>0.7</v>
      </c>
      <c r="M259" t="b">
        <v>0</v>
      </c>
      <c r="N259">
        <v>42253</v>
      </c>
      <c r="O259">
        <v>2</v>
      </c>
      <c r="P259">
        <f t="shared" si="8"/>
        <v>0</v>
      </c>
      <c r="Q259">
        <f>IF(CO_Combined4[[#This Row],[Segment]]="COR",1,0)</f>
        <v>0</v>
      </c>
      <c r="R259">
        <f>IF(CO_Combined4[[#This Row],[Region ]]="E",1,0)</f>
        <v>0</v>
      </c>
      <c r="S259">
        <f>IF(CO_Combined4[[#This Row],[Region ]]="W",1,0)</f>
        <v>1</v>
      </c>
      <c r="T259">
        <f>IF(CO_Combined4[[#This Row],[Region ]]="S",1,0)</f>
        <v>0</v>
      </c>
      <c r="U259">
        <f>IF(CO_Combined4[[#This Row],[Ship Mode]]=1,1,0)</f>
        <v>0</v>
      </c>
      <c r="V259">
        <f>IF(CO_Combined4[[#This Row],[Ship Mode]]=2,1,0)</f>
        <v>0</v>
      </c>
      <c r="W259">
        <f>IF(CO_Combined4[[#This Row],[Ship Mode]]=3,1,0)</f>
        <v>1</v>
      </c>
      <c r="X259">
        <f t="shared" si="9"/>
        <v>1</v>
      </c>
      <c r="Y259">
        <v>1</v>
      </c>
      <c r="Z259">
        <v>1</v>
      </c>
    </row>
    <row r="260" spans="1:26" x14ac:dyDescent="0.2">
      <c r="A260" t="s">
        <v>1287</v>
      </c>
      <c r="B260" t="s">
        <v>535</v>
      </c>
      <c r="C260" t="s">
        <v>326</v>
      </c>
      <c r="D260" t="s">
        <v>150</v>
      </c>
      <c r="E260" t="s">
        <v>327</v>
      </c>
      <c r="F260" t="s">
        <v>86</v>
      </c>
      <c r="G260">
        <v>98661</v>
      </c>
      <c r="H260" t="s">
        <v>18</v>
      </c>
      <c r="I260">
        <v>43045</v>
      </c>
      <c r="J260">
        <v>3</v>
      </c>
      <c r="K260" t="s">
        <v>610</v>
      </c>
      <c r="L260">
        <v>0.2</v>
      </c>
      <c r="M260" t="b">
        <v>0</v>
      </c>
      <c r="N260">
        <v>43041</v>
      </c>
      <c r="O260">
        <v>4</v>
      </c>
      <c r="P260">
        <f t="shared" si="8"/>
        <v>0</v>
      </c>
      <c r="Q260">
        <f>IF(CO_Combined4[[#This Row],[Segment]]="COR",1,0)</f>
        <v>1</v>
      </c>
      <c r="R260">
        <f>IF(CO_Combined4[[#This Row],[Region ]]="E",1,0)</f>
        <v>0</v>
      </c>
      <c r="S260">
        <f>IF(CO_Combined4[[#This Row],[Region ]]="W",1,0)</f>
        <v>1</v>
      </c>
      <c r="T260">
        <f>IF(CO_Combined4[[#This Row],[Region ]]="S",1,0)</f>
        <v>0</v>
      </c>
      <c r="U260">
        <f>IF(CO_Combined4[[#This Row],[Ship Mode]]=1,1,0)</f>
        <v>0</v>
      </c>
      <c r="V260">
        <f>IF(CO_Combined4[[#This Row],[Ship Mode]]=2,1,0)</f>
        <v>0</v>
      </c>
      <c r="W260">
        <f>IF(CO_Combined4[[#This Row],[Ship Mode]]=3,1,0)</f>
        <v>1</v>
      </c>
      <c r="X260">
        <f t="shared" si="9"/>
        <v>1</v>
      </c>
      <c r="Y260">
        <v>2</v>
      </c>
      <c r="Z260">
        <v>1</v>
      </c>
    </row>
    <row r="261" spans="1:26" x14ac:dyDescent="0.2">
      <c r="A261" t="s">
        <v>1288</v>
      </c>
      <c r="B261" t="s">
        <v>557</v>
      </c>
      <c r="C261" t="s">
        <v>361</v>
      </c>
      <c r="D261" t="s">
        <v>9</v>
      </c>
      <c r="E261" t="s">
        <v>362</v>
      </c>
      <c r="F261" t="s">
        <v>53</v>
      </c>
      <c r="G261">
        <v>37211</v>
      </c>
      <c r="H261" t="s">
        <v>47</v>
      </c>
      <c r="I261">
        <v>41951</v>
      </c>
      <c r="J261">
        <v>4</v>
      </c>
      <c r="K261" t="s">
        <v>1290</v>
      </c>
      <c r="L261">
        <v>0.2</v>
      </c>
      <c r="M261" t="b">
        <v>1</v>
      </c>
      <c r="N261">
        <v>41946</v>
      </c>
      <c r="O261">
        <v>5</v>
      </c>
      <c r="P261">
        <f t="shared" si="8"/>
        <v>1</v>
      </c>
      <c r="Q261">
        <f>IF(CO_Combined4[[#This Row],[Segment]]="COR",1,0)</f>
        <v>0</v>
      </c>
      <c r="R261">
        <f>IF(CO_Combined4[[#This Row],[Region ]]="E",1,0)</f>
        <v>0</v>
      </c>
      <c r="S261">
        <f>IF(CO_Combined4[[#This Row],[Region ]]="W",1,0)</f>
        <v>0</v>
      </c>
      <c r="T261">
        <f>IF(CO_Combined4[[#This Row],[Region ]]="S",1,0)</f>
        <v>1</v>
      </c>
      <c r="U261">
        <f>IF(CO_Combined4[[#This Row],[Ship Mode]]=1,1,0)</f>
        <v>0</v>
      </c>
      <c r="V261">
        <f>IF(CO_Combined4[[#This Row],[Ship Mode]]=2,1,0)</f>
        <v>0</v>
      </c>
      <c r="W261">
        <f>IF(CO_Combined4[[#This Row],[Ship Mode]]=3,1,0)</f>
        <v>0</v>
      </c>
      <c r="X261">
        <f t="shared" si="9"/>
        <v>0</v>
      </c>
      <c r="Y261">
        <v>11</v>
      </c>
      <c r="Z261">
        <v>1</v>
      </c>
    </row>
    <row r="262" spans="1:26" x14ac:dyDescent="0.2">
      <c r="A262" t="s">
        <v>1291</v>
      </c>
      <c r="B262" t="s">
        <v>551</v>
      </c>
      <c r="C262" t="s">
        <v>351</v>
      </c>
      <c r="D262" t="s">
        <v>150</v>
      </c>
      <c r="E262" t="s">
        <v>352</v>
      </c>
      <c r="F262" t="s">
        <v>124</v>
      </c>
      <c r="G262">
        <v>60067</v>
      </c>
      <c r="H262" t="s">
        <v>12</v>
      </c>
      <c r="I262">
        <v>43081</v>
      </c>
      <c r="J262">
        <v>2</v>
      </c>
      <c r="K262" t="s">
        <v>1292</v>
      </c>
      <c r="L262">
        <v>0.2</v>
      </c>
      <c r="M262" t="b">
        <v>0</v>
      </c>
      <c r="N262">
        <v>43080</v>
      </c>
      <c r="O262">
        <v>1</v>
      </c>
      <c r="P262">
        <f t="shared" si="8"/>
        <v>0</v>
      </c>
      <c r="Q262">
        <f>IF(CO_Combined4[[#This Row],[Segment]]="COR",1,0)</f>
        <v>1</v>
      </c>
      <c r="R262">
        <f>IF(CO_Combined4[[#This Row],[Region ]]="E",1,0)</f>
        <v>0</v>
      </c>
      <c r="S262">
        <f>IF(CO_Combined4[[#This Row],[Region ]]="W",1,0)</f>
        <v>0</v>
      </c>
      <c r="T262">
        <f>IF(CO_Combined4[[#This Row],[Region ]]="S",1,0)</f>
        <v>0</v>
      </c>
      <c r="U262">
        <f>IF(CO_Combined4[[#This Row],[Ship Mode]]=1,1,0)</f>
        <v>0</v>
      </c>
      <c r="V262">
        <f>IF(CO_Combined4[[#This Row],[Ship Mode]]=2,1,0)</f>
        <v>1</v>
      </c>
      <c r="W262">
        <f>IF(CO_Combined4[[#This Row],[Ship Mode]]=3,1,0)</f>
        <v>0</v>
      </c>
      <c r="X262">
        <f t="shared" si="9"/>
        <v>1</v>
      </c>
      <c r="Y262">
        <v>7</v>
      </c>
      <c r="Z262">
        <v>1</v>
      </c>
    </row>
    <row r="263" spans="1:26" x14ac:dyDescent="0.2">
      <c r="A263" t="s">
        <v>1293</v>
      </c>
      <c r="B263" t="s">
        <v>570</v>
      </c>
      <c r="C263" t="s">
        <v>382</v>
      </c>
      <c r="D263" t="s">
        <v>9</v>
      </c>
      <c r="E263" t="s">
        <v>76</v>
      </c>
      <c r="F263" t="s">
        <v>17</v>
      </c>
      <c r="G263">
        <v>92037</v>
      </c>
      <c r="H263" t="s">
        <v>18</v>
      </c>
      <c r="I263">
        <v>42120</v>
      </c>
      <c r="J263">
        <v>4</v>
      </c>
      <c r="K263" t="s">
        <v>693</v>
      </c>
      <c r="L263">
        <v>0.1</v>
      </c>
      <c r="M263" t="b">
        <v>0</v>
      </c>
      <c r="N263">
        <v>42116</v>
      </c>
      <c r="O263">
        <v>4</v>
      </c>
      <c r="P263">
        <f t="shared" si="8"/>
        <v>1</v>
      </c>
      <c r="Q263">
        <f>IF(CO_Combined4[[#This Row],[Segment]]="COR",1,0)</f>
        <v>0</v>
      </c>
      <c r="R263">
        <f>IF(CO_Combined4[[#This Row],[Region ]]="E",1,0)</f>
        <v>0</v>
      </c>
      <c r="S263">
        <f>IF(CO_Combined4[[#This Row],[Region ]]="W",1,0)</f>
        <v>1</v>
      </c>
      <c r="T263">
        <f>IF(CO_Combined4[[#This Row],[Region ]]="S",1,0)</f>
        <v>0</v>
      </c>
      <c r="U263">
        <f>IF(CO_Combined4[[#This Row],[Ship Mode]]=1,1,0)</f>
        <v>0</v>
      </c>
      <c r="V263">
        <f>IF(CO_Combined4[[#This Row],[Ship Mode]]=2,1,0)</f>
        <v>0</v>
      </c>
      <c r="W263">
        <f>IF(CO_Combined4[[#This Row],[Ship Mode]]=3,1,0)</f>
        <v>0</v>
      </c>
      <c r="X263">
        <f t="shared" si="9"/>
        <v>1</v>
      </c>
      <c r="Y263">
        <v>6</v>
      </c>
      <c r="Z263">
        <v>1</v>
      </c>
    </row>
    <row r="264" spans="1:26" x14ac:dyDescent="0.2">
      <c r="A264" t="s">
        <v>1295</v>
      </c>
      <c r="B264" t="s">
        <v>504</v>
      </c>
      <c r="C264" t="s">
        <v>279</v>
      </c>
      <c r="D264" t="s">
        <v>150</v>
      </c>
      <c r="E264" t="s">
        <v>280</v>
      </c>
      <c r="F264" t="s">
        <v>79</v>
      </c>
      <c r="G264">
        <v>1915</v>
      </c>
      <c r="H264" t="s">
        <v>27</v>
      </c>
      <c r="I264">
        <v>42005</v>
      </c>
      <c r="J264">
        <v>3</v>
      </c>
      <c r="K264" t="s">
        <v>1297</v>
      </c>
      <c r="L264">
        <v>0</v>
      </c>
      <c r="M264" t="b">
        <v>0</v>
      </c>
      <c r="N264">
        <v>42001</v>
      </c>
      <c r="O264">
        <v>4</v>
      </c>
      <c r="P264">
        <f t="shared" si="8"/>
        <v>0</v>
      </c>
      <c r="Q264">
        <f>IF(CO_Combined4[[#This Row],[Segment]]="COR",1,0)</f>
        <v>1</v>
      </c>
      <c r="R264">
        <f>IF(CO_Combined4[[#This Row],[Region ]]="E",1,0)</f>
        <v>1</v>
      </c>
      <c r="S264">
        <f>IF(CO_Combined4[[#This Row],[Region ]]="W",1,0)</f>
        <v>0</v>
      </c>
      <c r="T264">
        <f>IF(CO_Combined4[[#This Row],[Region ]]="S",1,0)</f>
        <v>0</v>
      </c>
      <c r="U264">
        <f>IF(CO_Combined4[[#This Row],[Ship Mode]]=1,1,0)</f>
        <v>0</v>
      </c>
      <c r="V264">
        <f>IF(CO_Combined4[[#This Row],[Ship Mode]]=2,1,0)</f>
        <v>0</v>
      </c>
      <c r="W264">
        <f>IF(CO_Combined4[[#This Row],[Ship Mode]]=3,1,0)</f>
        <v>1</v>
      </c>
      <c r="X264">
        <f t="shared" si="9"/>
        <v>1</v>
      </c>
      <c r="Y264">
        <v>15</v>
      </c>
      <c r="Z264">
        <v>0</v>
      </c>
    </row>
    <row r="265" spans="1:26" x14ac:dyDescent="0.2">
      <c r="A265" t="s">
        <v>1299</v>
      </c>
      <c r="B265" t="s">
        <v>489</v>
      </c>
      <c r="C265" t="s">
        <v>261</v>
      </c>
      <c r="D265" t="s">
        <v>9</v>
      </c>
      <c r="E265" t="s">
        <v>85</v>
      </c>
      <c r="F265" t="s">
        <v>86</v>
      </c>
      <c r="G265">
        <v>98105</v>
      </c>
      <c r="H265" t="s">
        <v>18</v>
      </c>
      <c r="I265">
        <v>43066</v>
      </c>
      <c r="J265">
        <v>2</v>
      </c>
      <c r="K265" t="s">
        <v>1300</v>
      </c>
      <c r="L265">
        <v>0.2</v>
      </c>
      <c r="M265" t="b">
        <v>0</v>
      </c>
      <c r="N265">
        <v>43062</v>
      </c>
      <c r="O265">
        <v>4</v>
      </c>
      <c r="P265">
        <f t="shared" si="8"/>
        <v>1</v>
      </c>
      <c r="Q265">
        <f>IF(CO_Combined4[[#This Row],[Segment]]="COR",1,0)</f>
        <v>0</v>
      </c>
      <c r="R265">
        <f>IF(CO_Combined4[[#This Row],[Region ]]="E",1,0)</f>
        <v>0</v>
      </c>
      <c r="S265">
        <f>IF(CO_Combined4[[#This Row],[Region ]]="W",1,0)</f>
        <v>1</v>
      </c>
      <c r="T265">
        <f>IF(CO_Combined4[[#This Row],[Region ]]="S",1,0)</f>
        <v>0</v>
      </c>
      <c r="U265">
        <f>IF(CO_Combined4[[#This Row],[Ship Mode]]=1,1,0)</f>
        <v>0</v>
      </c>
      <c r="V265">
        <f>IF(CO_Combined4[[#This Row],[Ship Mode]]=2,1,0)</f>
        <v>1</v>
      </c>
      <c r="W265">
        <f>IF(CO_Combined4[[#This Row],[Ship Mode]]=3,1,0)</f>
        <v>0</v>
      </c>
      <c r="X265">
        <f t="shared" si="9"/>
        <v>1</v>
      </c>
      <c r="Y265">
        <v>5</v>
      </c>
      <c r="Z265">
        <v>1</v>
      </c>
    </row>
    <row r="266" spans="1:26" x14ac:dyDescent="0.2">
      <c r="A266" t="s">
        <v>1301</v>
      </c>
      <c r="B266" t="s">
        <v>501</v>
      </c>
      <c r="C266" t="s">
        <v>275</v>
      </c>
      <c r="D266" t="s">
        <v>9</v>
      </c>
      <c r="E266" t="s">
        <v>276</v>
      </c>
      <c r="F266" t="s">
        <v>31</v>
      </c>
      <c r="G266">
        <v>85301</v>
      </c>
      <c r="H266" t="s">
        <v>18</v>
      </c>
      <c r="I266">
        <v>42860</v>
      </c>
      <c r="J266">
        <v>4</v>
      </c>
      <c r="K266" t="s">
        <v>1302</v>
      </c>
      <c r="L266">
        <v>0</v>
      </c>
      <c r="M266" t="b">
        <v>0</v>
      </c>
      <c r="N266">
        <v>42860</v>
      </c>
      <c r="O266">
        <v>0</v>
      </c>
      <c r="P266">
        <f t="shared" si="8"/>
        <v>1</v>
      </c>
      <c r="Q266">
        <f>IF(CO_Combined4[[#This Row],[Segment]]="COR",1,0)</f>
        <v>0</v>
      </c>
      <c r="R266">
        <f>IF(CO_Combined4[[#This Row],[Region ]]="E",1,0)</f>
        <v>0</v>
      </c>
      <c r="S266">
        <f>IF(CO_Combined4[[#This Row],[Region ]]="W",1,0)</f>
        <v>1</v>
      </c>
      <c r="T266">
        <f>IF(CO_Combined4[[#This Row],[Region ]]="S",1,0)</f>
        <v>0</v>
      </c>
      <c r="U266">
        <f>IF(CO_Combined4[[#This Row],[Ship Mode]]=1,1,0)</f>
        <v>0</v>
      </c>
      <c r="V266">
        <f>IF(CO_Combined4[[#This Row],[Ship Mode]]=2,1,0)</f>
        <v>0</v>
      </c>
      <c r="W266">
        <f>IF(CO_Combined4[[#This Row],[Ship Mode]]=3,1,0)</f>
        <v>0</v>
      </c>
      <c r="X266">
        <f t="shared" si="9"/>
        <v>1</v>
      </c>
      <c r="Y266">
        <v>1</v>
      </c>
      <c r="Z266">
        <v>0</v>
      </c>
    </row>
    <row r="267" spans="1:26" x14ac:dyDescent="0.2">
      <c r="A267" t="s">
        <v>1303</v>
      </c>
      <c r="B267" t="s">
        <v>467</v>
      </c>
      <c r="C267" t="s">
        <v>226</v>
      </c>
      <c r="D267" t="s">
        <v>9</v>
      </c>
      <c r="E267" t="s">
        <v>227</v>
      </c>
      <c r="F267" t="s">
        <v>184</v>
      </c>
      <c r="G267">
        <v>6708</v>
      </c>
      <c r="H267" t="s">
        <v>27</v>
      </c>
      <c r="I267">
        <v>42986</v>
      </c>
      <c r="J267">
        <v>2</v>
      </c>
      <c r="K267" t="s">
        <v>1304</v>
      </c>
      <c r="L267">
        <v>0.6</v>
      </c>
      <c r="M267" t="b">
        <v>0</v>
      </c>
      <c r="N267">
        <v>42981</v>
      </c>
      <c r="O267">
        <v>5</v>
      </c>
      <c r="P267">
        <f t="shared" si="8"/>
        <v>1</v>
      </c>
      <c r="Q267">
        <f>IF(CO_Combined4[[#This Row],[Segment]]="COR",1,0)</f>
        <v>0</v>
      </c>
      <c r="R267">
        <f>IF(CO_Combined4[[#This Row],[Region ]]="E",1,0)</f>
        <v>1</v>
      </c>
      <c r="S267">
        <f>IF(CO_Combined4[[#This Row],[Region ]]="W",1,0)</f>
        <v>0</v>
      </c>
      <c r="T267">
        <f>IF(CO_Combined4[[#This Row],[Region ]]="S",1,0)</f>
        <v>0</v>
      </c>
      <c r="U267">
        <f>IF(CO_Combined4[[#This Row],[Ship Mode]]=1,1,0)</f>
        <v>0</v>
      </c>
      <c r="V267">
        <f>IF(CO_Combined4[[#This Row],[Ship Mode]]=2,1,0)</f>
        <v>1</v>
      </c>
      <c r="W267">
        <f>IF(CO_Combined4[[#This Row],[Ship Mode]]=3,1,0)</f>
        <v>0</v>
      </c>
      <c r="X267">
        <f t="shared" si="9"/>
        <v>1</v>
      </c>
      <c r="Y267">
        <v>5</v>
      </c>
      <c r="Z267">
        <v>1</v>
      </c>
    </row>
    <row r="268" spans="1:26" x14ac:dyDescent="0.2">
      <c r="A268" t="s">
        <v>1305</v>
      </c>
      <c r="B268" t="s">
        <v>563</v>
      </c>
      <c r="C268" t="s">
        <v>372</v>
      </c>
      <c r="D268" t="s">
        <v>90</v>
      </c>
      <c r="E268" t="s">
        <v>16</v>
      </c>
      <c r="F268" t="s">
        <v>17</v>
      </c>
      <c r="G268">
        <v>94110</v>
      </c>
      <c r="H268" t="s">
        <v>18</v>
      </c>
      <c r="I268">
        <v>42653</v>
      </c>
      <c r="J268">
        <v>2</v>
      </c>
      <c r="K268" t="s">
        <v>1306</v>
      </c>
      <c r="L268">
        <v>0.2</v>
      </c>
      <c r="M268" t="b">
        <v>0</v>
      </c>
      <c r="N268">
        <v>42650</v>
      </c>
      <c r="O268">
        <v>3</v>
      </c>
      <c r="P268">
        <f t="shared" si="8"/>
        <v>0</v>
      </c>
      <c r="Q268">
        <f>IF(CO_Combined4[[#This Row],[Segment]]="COR",1,0)</f>
        <v>0</v>
      </c>
      <c r="R268">
        <f>IF(CO_Combined4[[#This Row],[Region ]]="E",1,0)</f>
        <v>0</v>
      </c>
      <c r="S268">
        <f>IF(CO_Combined4[[#This Row],[Region ]]="W",1,0)</f>
        <v>1</v>
      </c>
      <c r="T268">
        <f>IF(CO_Combined4[[#This Row],[Region ]]="S",1,0)</f>
        <v>0</v>
      </c>
      <c r="U268">
        <f>IF(CO_Combined4[[#This Row],[Ship Mode]]=1,1,0)</f>
        <v>0</v>
      </c>
      <c r="V268">
        <f>IF(CO_Combined4[[#This Row],[Ship Mode]]=2,1,0)</f>
        <v>1</v>
      </c>
      <c r="W268">
        <f>IF(CO_Combined4[[#This Row],[Ship Mode]]=3,1,0)</f>
        <v>0</v>
      </c>
      <c r="X268">
        <f t="shared" si="9"/>
        <v>1</v>
      </c>
      <c r="Y268">
        <v>2</v>
      </c>
      <c r="Z268">
        <v>1</v>
      </c>
    </row>
    <row r="269" spans="1:26" x14ac:dyDescent="0.2">
      <c r="A269" t="s">
        <v>1307</v>
      </c>
      <c r="B269" t="s">
        <v>482</v>
      </c>
      <c r="C269" t="s">
        <v>249</v>
      </c>
      <c r="D269" t="s">
        <v>90</v>
      </c>
      <c r="E269" t="s">
        <v>132</v>
      </c>
      <c r="F269" t="s">
        <v>22</v>
      </c>
      <c r="G269">
        <v>75217</v>
      </c>
      <c r="H269" t="s">
        <v>12</v>
      </c>
      <c r="I269">
        <v>43043</v>
      </c>
      <c r="J269">
        <v>4</v>
      </c>
      <c r="K269" t="s">
        <v>1308</v>
      </c>
      <c r="L269">
        <v>0.2</v>
      </c>
      <c r="M269" t="b">
        <v>0</v>
      </c>
      <c r="N269">
        <v>43039</v>
      </c>
      <c r="O269">
        <v>4</v>
      </c>
      <c r="P269">
        <f t="shared" si="8"/>
        <v>0</v>
      </c>
      <c r="Q269">
        <f>IF(CO_Combined4[[#This Row],[Segment]]="COR",1,0)</f>
        <v>0</v>
      </c>
      <c r="R269">
        <f>IF(CO_Combined4[[#This Row],[Region ]]="E",1,0)</f>
        <v>0</v>
      </c>
      <c r="S269">
        <f>IF(CO_Combined4[[#This Row],[Region ]]="W",1,0)</f>
        <v>0</v>
      </c>
      <c r="T269">
        <f>IF(CO_Combined4[[#This Row],[Region ]]="S",1,0)</f>
        <v>0</v>
      </c>
      <c r="U269">
        <f>IF(CO_Combined4[[#This Row],[Ship Mode]]=1,1,0)</f>
        <v>0</v>
      </c>
      <c r="V269">
        <f>IF(CO_Combined4[[#This Row],[Ship Mode]]=2,1,0)</f>
        <v>0</v>
      </c>
      <c r="W269">
        <f>IF(CO_Combined4[[#This Row],[Ship Mode]]=3,1,0)</f>
        <v>0</v>
      </c>
      <c r="X269">
        <f t="shared" si="9"/>
        <v>1</v>
      </c>
      <c r="Y269">
        <v>2</v>
      </c>
      <c r="Z269">
        <v>1</v>
      </c>
    </row>
    <row r="270" spans="1:26" x14ac:dyDescent="0.2">
      <c r="A270" t="s">
        <v>1309</v>
      </c>
      <c r="B270" t="s">
        <v>483</v>
      </c>
      <c r="C270" t="s">
        <v>250</v>
      </c>
      <c r="D270" t="s">
        <v>90</v>
      </c>
      <c r="E270" t="s">
        <v>251</v>
      </c>
      <c r="F270" t="s">
        <v>73</v>
      </c>
      <c r="G270">
        <v>40214</v>
      </c>
      <c r="H270" t="s">
        <v>47</v>
      </c>
      <c r="I270">
        <v>42970</v>
      </c>
      <c r="J270">
        <v>4</v>
      </c>
      <c r="K270" t="s">
        <v>966</v>
      </c>
      <c r="L270">
        <v>0</v>
      </c>
      <c r="M270" t="b">
        <v>0</v>
      </c>
      <c r="N270">
        <v>42964</v>
      </c>
      <c r="O270">
        <v>6</v>
      </c>
      <c r="P270">
        <f t="shared" si="8"/>
        <v>0</v>
      </c>
      <c r="Q270">
        <f>IF(CO_Combined4[[#This Row],[Segment]]="COR",1,0)</f>
        <v>0</v>
      </c>
      <c r="R270">
        <f>IF(CO_Combined4[[#This Row],[Region ]]="E",1,0)</f>
        <v>0</v>
      </c>
      <c r="S270">
        <f>IF(CO_Combined4[[#This Row],[Region ]]="W",1,0)</f>
        <v>0</v>
      </c>
      <c r="T270">
        <f>IF(CO_Combined4[[#This Row],[Region ]]="S",1,0)</f>
        <v>1</v>
      </c>
      <c r="U270">
        <f>IF(CO_Combined4[[#This Row],[Ship Mode]]=1,1,0)</f>
        <v>0</v>
      </c>
      <c r="V270">
        <f>IF(CO_Combined4[[#This Row],[Ship Mode]]=2,1,0)</f>
        <v>0</v>
      </c>
      <c r="W270">
        <f>IF(CO_Combined4[[#This Row],[Ship Mode]]=3,1,0)</f>
        <v>0</v>
      </c>
      <c r="X270">
        <f t="shared" si="9"/>
        <v>1</v>
      </c>
      <c r="Y270">
        <v>9</v>
      </c>
      <c r="Z270">
        <v>0</v>
      </c>
    </row>
    <row r="271" spans="1:26" x14ac:dyDescent="0.2">
      <c r="A271" t="s">
        <v>1311</v>
      </c>
      <c r="B271" t="s">
        <v>505</v>
      </c>
      <c r="C271" t="s">
        <v>281</v>
      </c>
      <c r="D271" t="s">
        <v>150</v>
      </c>
      <c r="E271" t="s">
        <v>282</v>
      </c>
      <c r="F271" t="s">
        <v>283</v>
      </c>
      <c r="G271">
        <v>21215</v>
      </c>
      <c r="H271" t="s">
        <v>27</v>
      </c>
      <c r="I271">
        <v>42872</v>
      </c>
      <c r="J271">
        <v>2</v>
      </c>
      <c r="K271" t="s">
        <v>956</v>
      </c>
      <c r="L271">
        <v>0</v>
      </c>
      <c r="M271" t="b">
        <v>0</v>
      </c>
      <c r="N271">
        <v>42869</v>
      </c>
      <c r="O271">
        <v>3</v>
      </c>
      <c r="P271">
        <f t="shared" si="8"/>
        <v>0</v>
      </c>
      <c r="Q271">
        <f>IF(CO_Combined4[[#This Row],[Segment]]="COR",1,0)</f>
        <v>1</v>
      </c>
      <c r="R271">
        <f>IF(CO_Combined4[[#This Row],[Region ]]="E",1,0)</f>
        <v>1</v>
      </c>
      <c r="S271">
        <f>IF(CO_Combined4[[#This Row],[Region ]]="W",1,0)</f>
        <v>0</v>
      </c>
      <c r="T271">
        <f>IF(CO_Combined4[[#This Row],[Region ]]="S",1,0)</f>
        <v>0</v>
      </c>
      <c r="U271">
        <f>IF(CO_Combined4[[#This Row],[Ship Mode]]=1,1,0)</f>
        <v>0</v>
      </c>
      <c r="V271">
        <f>IF(CO_Combined4[[#This Row],[Ship Mode]]=2,1,0)</f>
        <v>1</v>
      </c>
      <c r="W271">
        <f>IF(CO_Combined4[[#This Row],[Ship Mode]]=3,1,0)</f>
        <v>0</v>
      </c>
      <c r="X271">
        <f t="shared" si="9"/>
        <v>1</v>
      </c>
      <c r="Y271">
        <v>22</v>
      </c>
      <c r="Z271">
        <v>0</v>
      </c>
    </row>
    <row r="272" spans="1:26" x14ac:dyDescent="0.2">
      <c r="A272" t="s">
        <v>1313</v>
      </c>
      <c r="B272" t="s">
        <v>555</v>
      </c>
      <c r="C272" t="s">
        <v>359</v>
      </c>
      <c r="D272" t="s">
        <v>90</v>
      </c>
      <c r="E272" t="s">
        <v>242</v>
      </c>
      <c r="F272" t="s">
        <v>53</v>
      </c>
      <c r="G272">
        <v>37918</v>
      </c>
      <c r="H272" t="s">
        <v>47</v>
      </c>
      <c r="I272">
        <v>42641</v>
      </c>
      <c r="J272">
        <v>4</v>
      </c>
      <c r="K272" t="s">
        <v>1314</v>
      </c>
      <c r="L272">
        <v>0</v>
      </c>
      <c r="M272" t="b">
        <v>0</v>
      </c>
      <c r="N272">
        <v>42635</v>
      </c>
      <c r="O272">
        <v>6</v>
      </c>
      <c r="P272">
        <f t="shared" si="8"/>
        <v>0</v>
      </c>
      <c r="Q272">
        <f>IF(CO_Combined4[[#This Row],[Segment]]="COR",1,0)</f>
        <v>0</v>
      </c>
      <c r="R272">
        <f>IF(CO_Combined4[[#This Row],[Region ]]="E",1,0)</f>
        <v>0</v>
      </c>
      <c r="S272">
        <f>IF(CO_Combined4[[#This Row],[Region ]]="W",1,0)</f>
        <v>0</v>
      </c>
      <c r="T272">
        <f>IF(CO_Combined4[[#This Row],[Region ]]="S",1,0)</f>
        <v>1</v>
      </c>
      <c r="U272">
        <f>IF(CO_Combined4[[#This Row],[Ship Mode]]=1,1,0)</f>
        <v>0</v>
      </c>
      <c r="V272">
        <f>IF(CO_Combined4[[#This Row],[Ship Mode]]=2,1,0)</f>
        <v>0</v>
      </c>
      <c r="W272">
        <f>IF(CO_Combined4[[#This Row],[Ship Mode]]=3,1,0)</f>
        <v>0</v>
      </c>
      <c r="X272">
        <f t="shared" si="9"/>
        <v>1</v>
      </c>
      <c r="Y272">
        <v>2</v>
      </c>
      <c r="Z272">
        <v>0</v>
      </c>
    </row>
    <row r="273" spans="1:26" x14ac:dyDescent="0.2">
      <c r="A273" t="s">
        <v>1315</v>
      </c>
      <c r="B273" t="s">
        <v>51</v>
      </c>
      <c r="C273" t="s">
        <v>29</v>
      </c>
      <c r="D273" t="s">
        <v>9</v>
      </c>
      <c r="E273" t="s">
        <v>52</v>
      </c>
      <c r="F273" t="s">
        <v>53</v>
      </c>
      <c r="G273">
        <v>37087</v>
      </c>
      <c r="H273" t="s">
        <v>47</v>
      </c>
      <c r="I273">
        <v>42325</v>
      </c>
      <c r="J273">
        <v>4</v>
      </c>
      <c r="K273" t="s">
        <v>1316</v>
      </c>
      <c r="L273">
        <v>0.2</v>
      </c>
      <c r="M273" t="b">
        <v>0</v>
      </c>
      <c r="N273">
        <v>42321</v>
      </c>
      <c r="O273">
        <v>4</v>
      </c>
      <c r="P273">
        <f t="shared" si="8"/>
        <v>1</v>
      </c>
      <c r="Q273">
        <f>IF(CO_Combined4[[#This Row],[Segment]]="COR",1,0)</f>
        <v>0</v>
      </c>
      <c r="R273">
        <f>IF(CO_Combined4[[#This Row],[Region ]]="E",1,0)</f>
        <v>0</v>
      </c>
      <c r="S273">
        <f>IF(CO_Combined4[[#This Row],[Region ]]="W",1,0)</f>
        <v>0</v>
      </c>
      <c r="T273">
        <f>IF(CO_Combined4[[#This Row],[Region ]]="S",1,0)</f>
        <v>1</v>
      </c>
      <c r="U273">
        <f>IF(CO_Combined4[[#This Row],[Ship Mode]]=1,1,0)</f>
        <v>0</v>
      </c>
      <c r="V273">
        <f>IF(CO_Combined4[[#This Row],[Ship Mode]]=2,1,0)</f>
        <v>0</v>
      </c>
      <c r="W273">
        <f>IF(CO_Combined4[[#This Row],[Ship Mode]]=3,1,0)</f>
        <v>0</v>
      </c>
      <c r="X273">
        <f t="shared" si="9"/>
        <v>1</v>
      </c>
      <c r="Y273">
        <v>6</v>
      </c>
      <c r="Z273">
        <v>1</v>
      </c>
    </row>
    <row r="274" spans="1:26" x14ac:dyDescent="0.2">
      <c r="A274" t="s">
        <v>1317</v>
      </c>
      <c r="B274" t="s">
        <v>533</v>
      </c>
      <c r="C274" t="s">
        <v>324</v>
      </c>
      <c r="D274" t="s">
        <v>9</v>
      </c>
      <c r="E274" t="s">
        <v>145</v>
      </c>
      <c r="F274" t="s">
        <v>119</v>
      </c>
      <c r="G274">
        <v>49201</v>
      </c>
      <c r="H274" t="s">
        <v>12</v>
      </c>
      <c r="I274">
        <v>42753</v>
      </c>
      <c r="J274">
        <v>3</v>
      </c>
      <c r="K274" t="s">
        <v>1319</v>
      </c>
      <c r="L274">
        <v>0</v>
      </c>
      <c r="M274" t="b">
        <v>0</v>
      </c>
      <c r="N274">
        <v>42751</v>
      </c>
      <c r="O274">
        <v>2</v>
      </c>
      <c r="P274">
        <f t="shared" si="8"/>
        <v>1</v>
      </c>
      <c r="Q274">
        <f>IF(CO_Combined4[[#This Row],[Segment]]="COR",1,0)</f>
        <v>0</v>
      </c>
      <c r="R274">
        <f>IF(CO_Combined4[[#This Row],[Region ]]="E",1,0)</f>
        <v>0</v>
      </c>
      <c r="S274">
        <f>IF(CO_Combined4[[#This Row],[Region ]]="W",1,0)</f>
        <v>0</v>
      </c>
      <c r="T274">
        <f>IF(CO_Combined4[[#This Row],[Region ]]="S",1,0)</f>
        <v>0</v>
      </c>
      <c r="U274">
        <f>IF(CO_Combined4[[#This Row],[Ship Mode]]=1,1,0)</f>
        <v>0</v>
      </c>
      <c r="V274">
        <f>IF(CO_Combined4[[#This Row],[Ship Mode]]=2,1,0)</f>
        <v>0</v>
      </c>
      <c r="W274">
        <f>IF(CO_Combined4[[#This Row],[Ship Mode]]=3,1,0)</f>
        <v>1</v>
      </c>
      <c r="X274">
        <f t="shared" si="9"/>
        <v>1</v>
      </c>
      <c r="Y274">
        <v>14</v>
      </c>
      <c r="Z274">
        <v>0</v>
      </c>
    </row>
    <row r="275" spans="1:26" x14ac:dyDescent="0.2">
      <c r="A275" t="s">
        <v>1320</v>
      </c>
      <c r="B275" t="s">
        <v>518</v>
      </c>
      <c r="C275" t="s">
        <v>303</v>
      </c>
      <c r="D275" t="s">
        <v>9</v>
      </c>
      <c r="E275" t="s">
        <v>41</v>
      </c>
      <c r="F275" t="s">
        <v>95</v>
      </c>
      <c r="G275">
        <v>24153</v>
      </c>
      <c r="H275" t="s">
        <v>47</v>
      </c>
      <c r="I275">
        <v>42943</v>
      </c>
      <c r="J275">
        <v>4</v>
      </c>
      <c r="K275" t="s">
        <v>1322</v>
      </c>
      <c r="L275">
        <v>0</v>
      </c>
      <c r="M275" t="b">
        <v>1</v>
      </c>
      <c r="N275">
        <v>42937</v>
      </c>
      <c r="O275">
        <v>6</v>
      </c>
      <c r="P275">
        <f t="shared" si="8"/>
        <v>1</v>
      </c>
      <c r="Q275">
        <f>IF(CO_Combined4[[#This Row],[Segment]]="COR",1,0)</f>
        <v>0</v>
      </c>
      <c r="R275">
        <f>IF(CO_Combined4[[#This Row],[Region ]]="E",1,0)</f>
        <v>0</v>
      </c>
      <c r="S275">
        <f>IF(CO_Combined4[[#This Row],[Region ]]="W",1,0)</f>
        <v>0</v>
      </c>
      <c r="T275">
        <f>IF(CO_Combined4[[#This Row],[Region ]]="S",1,0)</f>
        <v>1</v>
      </c>
      <c r="U275">
        <f>IF(CO_Combined4[[#This Row],[Ship Mode]]=1,1,0)</f>
        <v>0</v>
      </c>
      <c r="V275">
        <f>IF(CO_Combined4[[#This Row],[Ship Mode]]=2,1,0)</f>
        <v>0</v>
      </c>
      <c r="W275">
        <f>IF(CO_Combined4[[#This Row],[Ship Mode]]=3,1,0)</f>
        <v>0</v>
      </c>
      <c r="X275">
        <f t="shared" si="9"/>
        <v>0</v>
      </c>
      <c r="Y275">
        <v>29</v>
      </c>
      <c r="Z275">
        <v>0</v>
      </c>
    </row>
    <row r="276" spans="1:26" x14ac:dyDescent="0.2">
      <c r="A276" t="s">
        <v>1328</v>
      </c>
      <c r="B276" t="s">
        <v>455</v>
      </c>
      <c r="C276" t="s">
        <v>210</v>
      </c>
      <c r="D276" t="s">
        <v>150</v>
      </c>
      <c r="E276" t="s">
        <v>118</v>
      </c>
      <c r="F276" t="s">
        <v>119</v>
      </c>
      <c r="G276">
        <v>48234</v>
      </c>
      <c r="H276" t="s">
        <v>12</v>
      </c>
      <c r="I276">
        <v>42665</v>
      </c>
      <c r="J276">
        <v>2</v>
      </c>
      <c r="K276" t="s">
        <v>1329</v>
      </c>
      <c r="L276">
        <v>0.2</v>
      </c>
      <c r="M276" t="b">
        <v>0</v>
      </c>
      <c r="N276">
        <v>42663</v>
      </c>
      <c r="O276">
        <v>2</v>
      </c>
      <c r="P276">
        <f t="shared" si="8"/>
        <v>0</v>
      </c>
      <c r="Q276">
        <f>IF(CO_Combined4[[#This Row],[Segment]]="COR",1,0)</f>
        <v>1</v>
      </c>
      <c r="R276">
        <f>IF(CO_Combined4[[#This Row],[Region ]]="E",1,0)</f>
        <v>0</v>
      </c>
      <c r="S276">
        <f>IF(CO_Combined4[[#This Row],[Region ]]="W",1,0)</f>
        <v>0</v>
      </c>
      <c r="T276">
        <f>IF(CO_Combined4[[#This Row],[Region ]]="S",1,0)</f>
        <v>0</v>
      </c>
      <c r="U276">
        <f>IF(CO_Combined4[[#This Row],[Ship Mode]]=1,1,0)</f>
        <v>0</v>
      </c>
      <c r="V276">
        <f>IF(CO_Combined4[[#This Row],[Ship Mode]]=2,1,0)</f>
        <v>1</v>
      </c>
      <c r="W276">
        <f>IF(CO_Combined4[[#This Row],[Ship Mode]]=3,1,0)</f>
        <v>0</v>
      </c>
      <c r="X276">
        <f t="shared" si="9"/>
        <v>1</v>
      </c>
      <c r="Y276">
        <v>3</v>
      </c>
      <c r="Z276">
        <v>1</v>
      </c>
    </row>
    <row r="277" spans="1:26" x14ac:dyDescent="0.2">
      <c r="A277" t="s">
        <v>1330</v>
      </c>
      <c r="B277" t="s">
        <v>503</v>
      </c>
      <c r="C277" t="s">
        <v>278</v>
      </c>
      <c r="D277" t="s">
        <v>150</v>
      </c>
      <c r="E277" t="s">
        <v>270</v>
      </c>
      <c r="F277" t="s">
        <v>95</v>
      </c>
      <c r="G277">
        <v>22153</v>
      </c>
      <c r="H277" t="s">
        <v>47</v>
      </c>
      <c r="I277">
        <v>41945</v>
      </c>
      <c r="J277">
        <v>4</v>
      </c>
      <c r="K277" t="s">
        <v>1331</v>
      </c>
      <c r="L277">
        <v>0.4</v>
      </c>
      <c r="M277" t="b">
        <v>0</v>
      </c>
      <c r="N277">
        <v>41943</v>
      </c>
      <c r="O277">
        <v>2</v>
      </c>
      <c r="P277">
        <f t="shared" si="8"/>
        <v>0</v>
      </c>
      <c r="Q277">
        <f>IF(CO_Combined4[[#This Row],[Segment]]="COR",1,0)</f>
        <v>1</v>
      </c>
      <c r="R277">
        <f>IF(CO_Combined4[[#This Row],[Region ]]="E",1,0)</f>
        <v>0</v>
      </c>
      <c r="S277">
        <f>IF(CO_Combined4[[#This Row],[Region ]]="W",1,0)</f>
        <v>0</v>
      </c>
      <c r="T277">
        <f>IF(CO_Combined4[[#This Row],[Region ]]="S",1,0)</f>
        <v>1</v>
      </c>
      <c r="U277">
        <f>IF(CO_Combined4[[#This Row],[Ship Mode]]=1,1,0)</f>
        <v>0</v>
      </c>
      <c r="V277">
        <f>IF(CO_Combined4[[#This Row],[Ship Mode]]=2,1,0)</f>
        <v>0</v>
      </c>
      <c r="W277">
        <f>IF(CO_Combined4[[#This Row],[Ship Mode]]=3,1,0)</f>
        <v>0</v>
      </c>
      <c r="X277">
        <f t="shared" si="9"/>
        <v>1</v>
      </c>
      <c r="Y277">
        <v>8</v>
      </c>
      <c r="Z277">
        <v>1</v>
      </c>
    </row>
    <row r="278" spans="1:26" x14ac:dyDescent="0.2">
      <c r="A278" t="s">
        <v>1332</v>
      </c>
      <c r="B278" t="s">
        <v>54</v>
      </c>
      <c r="C278" t="s">
        <v>55</v>
      </c>
      <c r="D278" t="s">
        <v>9</v>
      </c>
      <c r="E278" t="s">
        <v>25</v>
      </c>
      <c r="F278" t="s">
        <v>26</v>
      </c>
      <c r="G278">
        <v>10035</v>
      </c>
      <c r="H278" t="s">
        <v>27</v>
      </c>
      <c r="I278">
        <v>43084</v>
      </c>
      <c r="J278">
        <v>4</v>
      </c>
      <c r="K278" t="s">
        <v>1335</v>
      </c>
      <c r="L278">
        <v>6.666666666666668E-2</v>
      </c>
      <c r="M278" t="b">
        <v>0</v>
      </c>
      <c r="N278">
        <v>43080</v>
      </c>
      <c r="O278">
        <v>4</v>
      </c>
      <c r="P278">
        <f t="shared" si="8"/>
        <v>1</v>
      </c>
      <c r="Q278">
        <f>IF(CO_Combined4[[#This Row],[Segment]]="COR",1,0)</f>
        <v>0</v>
      </c>
      <c r="R278">
        <f>IF(CO_Combined4[[#This Row],[Region ]]="E",1,0)</f>
        <v>1</v>
      </c>
      <c r="S278">
        <f>IF(CO_Combined4[[#This Row],[Region ]]="W",1,0)</f>
        <v>0</v>
      </c>
      <c r="T278">
        <f>IF(CO_Combined4[[#This Row],[Region ]]="S",1,0)</f>
        <v>0</v>
      </c>
      <c r="U278">
        <f>IF(CO_Combined4[[#This Row],[Ship Mode]]=1,1,0)</f>
        <v>0</v>
      </c>
      <c r="V278">
        <f>IF(CO_Combined4[[#This Row],[Ship Mode]]=2,1,0)</f>
        <v>0</v>
      </c>
      <c r="W278">
        <f>IF(CO_Combined4[[#This Row],[Ship Mode]]=3,1,0)</f>
        <v>0</v>
      </c>
      <c r="X278">
        <f t="shared" si="9"/>
        <v>1</v>
      </c>
      <c r="Y278">
        <v>6</v>
      </c>
      <c r="Z278">
        <v>1</v>
      </c>
    </row>
    <row r="279" spans="1:26" x14ac:dyDescent="0.2">
      <c r="A279" t="s">
        <v>1336</v>
      </c>
      <c r="B279" t="s">
        <v>509</v>
      </c>
      <c r="C279" t="s">
        <v>288</v>
      </c>
      <c r="D279" t="s">
        <v>150</v>
      </c>
      <c r="E279" t="s">
        <v>270</v>
      </c>
      <c r="F279" t="s">
        <v>95</v>
      </c>
      <c r="G279">
        <v>22153</v>
      </c>
      <c r="H279" t="s">
        <v>47</v>
      </c>
      <c r="I279">
        <v>42630</v>
      </c>
      <c r="J279">
        <v>4</v>
      </c>
      <c r="K279" t="s">
        <v>1337</v>
      </c>
      <c r="L279">
        <v>0</v>
      </c>
      <c r="M279" t="b">
        <v>1</v>
      </c>
      <c r="N279">
        <v>42625</v>
      </c>
      <c r="O279">
        <v>5</v>
      </c>
      <c r="P279">
        <f t="shared" si="8"/>
        <v>0</v>
      </c>
      <c r="Q279">
        <f>IF(CO_Combined4[[#This Row],[Segment]]="COR",1,0)</f>
        <v>1</v>
      </c>
      <c r="R279">
        <f>IF(CO_Combined4[[#This Row],[Region ]]="E",1,0)</f>
        <v>0</v>
      </c>
      <c r="S279">
        <f>IF(CO_Combined4[[#This Row],[Region ]]="W",1,0)</f>
        <v>0</v>
      </c>
      <c r="T279">
        <f>IF(CO_Combined4[[#This Row],[Region ]]="S",1,0)</f>
        <v>1</v>
      </c>
      <c r="U279">
        <f>IF(CO_Combined4[[#This Row],[Ship Mode]]=1,1,0)</f>
        <v>0</v>
      </c>
      <c r="V279">
        <f>IF(CO_Combined4[[#This Row],[Ship Mode]]=2,1,0)</f>
        <v>0</v>
      </c>
      <c r="W279">
        <f>IF(CO_Combined4[[#This Row],[Ship Mode]]=3,1,0)</f>
        <v>0</v>
      </c>
      <c r="X279">
        <f t="shared" si="9"/>
        <v>0</v>
      </c>
      <c r="Y279">
        <v>15</v>
      </c>
      <c r="Z279">
        <v>0</v>
      </c>
    </row>
    <row r="280" spans="1:26" x14ac:dyDescent="0.2">
      <c r="A280" t="s">
        <v>1341</v>
      </c>
      <c r="B280" t="s">
        <v>531</v>
      </c>
      <c r="C280" t="s">
        <v>321</v>
      </c>
      <c r="D280" t="s">
        <v>150</v>
      </c>
      <c r="E280" t="s">
        <v>322</v>
      </c>
      <c r="F280" t="s">
        <v>79</v>
      </c>
      <c r="G280">
        <v>2038</v>
      </c>
      <c r="H280" t="s">
        <v>27</v>
      </c>
      <c r="I280">
        <v>42875</v>
      </c>
      <c r="J280">
        <v>4</v>
      </c>
      <c r="K280" t="s">
        <v>633</v>
      </c>
      <c r="L280">
        <v>0</v>
      </c>
      <c r="M280" t="b">
        <v>0</v>
      </c>
      <c r="N280">
        <v>42875</v>
      </c>
      <c r="O280">
        <v>0</v>
      </c>
      <c r="P280">
        <f t="shared" si="8"/>
        <v>0</v>
      </c>
      <c r="Q280">
        <f>IF(CO_Combined4[[#This Row],[Segment]]="COR",1,0)</f>
        <v>1</v>
      </c>
      <c r="R280">
        <f>IF(CO_Combined4[[#This Row],[Region ]]="E",1,0)</f>
        <v>1</v>
      </c>
      <c r="S280">
        <f>IF(CO_Combined4[[#This Row],[Region ]]="W",1,0)</f>
        <v>0</v>
      </c>
      <c r="T280">
        <f>IF(CO_Combined4[[#This Row],[Region ]]="S",1,0)</f>
        <v>0</v>
      </c>
      <c r="U280">
        <f>IF(CO_Combined4[[#This Row],[Ship Mode]]=1,1,0)</f>
        <v>0</v>
      </c>
      <c r="V280">
        <f>IF(CO_Combined4[[#This Row],[Ship Mode]]=2,1,0)</f>
        <v>0</v>
      </c>
      <c r="W280">
        <f>IF(CO_Combined4[[#This Row],[Ship Mode]]=3,1,0)</f>
        <v>0</v>
      </c>
      <c r="X280">
        <f t="shared" si="9"/>
        <v>1</v>
      </c>
      <c r="Y280">
        <v>2</v>
      </c>
      <c r="Z280">
        <v>0</v>
      </c>
    </row>
    <row r="281" spans="1:26" x14ac:dyDescent="0.2">
      <c r="A281" t="s">
        <v>1342</v>
      </c>
      <c r="B281" t="s">
        <v>522</v>
      </c>
      <c r="C281" t="s">
        <v>308</v>
      </c>
      <c r="D281" t="s">
        <v>90</v>
      </c>
      <c r="E281" t="s">
        <v>309</v>
      </c>
      <c r="F281" t="s">
        <v>166</v>
      </c>
      <c r="G281">
        <v>33311</v>
      </c>
      <c r="H281" t="s">
        <v>47</v>
      </c>
      <c r="I281">
        <v>43058</v>
      </c>
      <c r="J281">
        <v>1</v>
      </c>
      <c r="K281" t="s">
        <v>1343</v>
      </c>
      <c r="L281">
        <v>0.30000000000000004</v>
      </c>
      <c r="M281" t="b">
        <v>0</v>
      </c>
      <c r="N281">
        <v>43058</v>
      </c>
      <c r="O281">
        <v>0</v>
      </c>
      <c r="P281">
        <f t="shared" si="8"/>
        <v>0</v>
      </c>
      <c r="Q281">
        <f>IF(CO_Combined4[[#This Row],[Segment]]="COR",1,0)</f>
        <v>0</v>
      </c>
      <c r="R281">
        <f>IF(CO_Combined4[[#This Row],[Region ]]="E",1,0)</f>
        <v>0</v>
      </c>
      <c r="S281">
        <f>IF(CO_Combined4[[#This Row],[Region ]]="W",1,0)</f>
        <v>0</v>
      </c>
      <c r="T281">
        <f>IF(CO_Combined4[[#This Row],[Region ]]="S",1,0)</f>
        <v>1</v>
      </c>
      <c r="U281">
        <f>IF(CO_Combined4[[#This Row],[Ship Mode]]=1,1,0)</f>
        <v>1</v>
      </c>
      <c r="V281">
        <f>IF(CO_Combined4[[#This Row],[Ship Mode]]=2,1,0)</f>
        <v>0</v>
      </c>
      <c r="W281">
        <f>IF(CO_Combined4[[#This Row],[Ship Mode]]=3,1,0)</f>
        <v>0</v>
      </c>
      <c r="X281">
        <f t="shared" si="9"/>
        <v>1</v>
      </c>
      <c r="Y281">
        <v>10</v>
      </c>
      <c r="Z281">
        <v>1</v>
      </c>
    </row>
    <row r="282" spans="1:26" x14ac:dyDescent="0.2">
      <c r="A282" t="s">
        <v>1344</v>
      </c>
      <c r="B282" t="s">
        <v>534</v>
      </c>
      <c r="C282" t="s">
        <v>325</v>
      </c>
      <c r="D282" t="s">
        <v>9</v>
      </c>
      <c r="E282" t="s">
        <v>218</v>
      </c>
      <c r="F282" t="s">
        <v>46</v>
      </c>
      <c r="G282">
        <v>31907</v>
      </c>
      <c r="H282" t="s">
        <v>47</v>
      </c>
      <c r="I282">
        <v>42570</v>
      </c>
      <c r="J282">
        <v>4</v>
      </c>
      <c r="K282" t="s">
        <v>1345</v>
      </c>
      <c r="L282">
        <v>0</v>
      </c>
      <c r="M282" t="b">
        <v>1</v>
      </c>
      <c r="N282">
        <v>42565</v>
      </c>
      <c r="O282">
        <v>5</v>
      </c>
      <c r="P282">
        <f t="shared" si="8"/>
        <v>1</v>
      </c>
      <c r="Q282">
        <f>IF(CO_Combined4[[#This Row],[Segment]]="COR",1,0)</f>
        <v>0</v>
      </c>
      <c r="R282">
        <f>IF(CO_Combined4[[#This Row],[Region ]]="E",1,0)</f>
        <v>0</v>
      </c>
      <c r="S282">
        <f>IF(CO_Combined4[[#This Row],[Region ]]="W",1,0)</f>
        <v>0</v>
      </c>
      <c r="T282">
        <f>IF(CO_Combined4[[#This Row],[Region ]]="S",1,0)</f>
        <v>1</v>
      </c>
      <c r="U282">
        <f>IF(CO_Combined4[[#This Row],[Ship Mode]]=1,1,0)</f>
        <v>0</v>
      </c>
      <c r="V282">
        <f>IF(CO_Combined4[[#This Row],[Ship Mode]]=2,1,0)</f>
        <v>0</v>
      </c>
      <c r="W282">
        <f>IF(CO_Combined4[[#This Row],[Ship Mode]]=3,1,0)</f>
        <v>0</v>
      </c>
      <c r="X282">
        <f t="shared" si="9"/>
        <v>0</v>
      </c>
      <c r="Y282">
        <v>6</v>
      </c>
      <c r="Z282">
        <v>0</v>
      </c>
    </row>
    <row r="283" spans="1:26" x14ac:dyDescent="0.2">
      <c r="A283" t="s">
        <v>1347</v>
      </c>
      <c r="B283" t="s">
        <v>401</v>
      </c>
      <c r="C283" t="s">
        <v>116</v>
      </c>
      <c r="D283" t="s">
        <v>9</v>
      </c>
      <c r="E283" t="s">
        <v>106</v>
      </c>
      <c r="F283" t="s">
        <v>31</v>
      </c>
      <c r="G283">
        <v>85023</v>
      </c>
      <c r="H283" t="s">
        <v>18</v>
      </c>
      <c r="I283">
        <v>43003</v>
      </c>
      <c r="J283">
        <v>4</v>
      </c>
      <c r="K283" t="s">
        <v>1349</v>
      </c>
      <c r="L283">
        <v>0.32500000000000001</v>
      </c>
      <c r="M283" t="b">
        <v>0</v>
      </c>
      <c r="N283">
        <v>42997</v>
      </c>
      <c r="O283">
        <v>6</v>
      </c>
      <c r="P283">
        <f t="shared" si="8"/>
        <v>1</v>
      </c>
      <c r="Q283">
        <f>IF(CO_Combined4[[#This Row],[Segment]]="COR",1,0)</f>
        <v>0</v>
      </c>
      <c r="R283">
        <f>IF(CO_Combined4[[#This Row],[Region ]]="E",1,0)</f>
        <v>0</v>
      </c>
      <c r="S283">
        <f>IF(CO_Combined4[[#This Row],[Region ]]="W",1,0)</f>
        <v>1</v>
      </c>
      <c r="T283">
        <f>IF(CO_Combined4[[#This Row],[Region ]]="S",1,0)</f>
        <v>0</v>
      </c>
      <c r="U283">
        <f>IF(CO_Combined4[[#This Row],[Ship Mode]]=1,1,0)</f>
        <v>0</v>
      </c>
      <c r="V283">
        <f>IF(CO_Combined4[[#This Row],[Ship Mode]]=2,1,0)</f>
        <v>0</v>
      </c>
      <c r="W283">
        <f>IF(CO_Combined4[[#This Row],[Ship Mode]]=3,1,0)</f>
        <v>0</v>
      </c>
      <c r="X283">
        <f t="shared" si="9"/>
        <v>1</v>
      </c>
      <c r="Y283">
        <v>10</v>
      </c>
      <c r="Z283">
        <v>1</v>
      </c>
    </row>
    <row r="284" spans="1:26" x14ac:dyDescent="0.2">
      <c r="A284" t="s">
        <v>1351</v>
      </c>
      <c r="B284" t="s">
        <v>450</v>
      </c>
      <c r="C284" t="s">
        <v>203</v>
      </c>
      <c r="D284" t="s">
        <v>150</v>
      </c>
      <c r="E284" t="s">
        <v>16</v>
      </c>
      <c r="F284" t="s">
        <v>17</v>
      </c>
      <c r="G284">
        <v>94122</v>
      </c>
      <c r="H284" t="s">
        <v>18</v>
      </c>
      <c r="I284">
        <v>42334</v>
      </c>
      <c r="J284">
        <v>4</v>
      </c>
      <c r="K284" t="s">
        <v>1352</v>
      </c>
      <c r="L284">
        <v>0</v>
      </c>
      <c r="M284" t="b">
        <v>0</v>
      </c>
      <c r="N284">
        <v>42327</v>
      </c>
      <c r="O284">
        <v>7</v>
      </c>
      <c r="P284">
        <f t="shared" si="8"/>
        <v>0</v>
      </c>
      <c r="Q284">
        <f>IF(CO_Combined4[[#This Row],[Segment]]="COR",1,0)</f>
        <v>1</v>
      </c>
      <c r="R284">
        <f>IF(CO_Combined4[[#This Row],[Region ]]="E",1,0)</f>
        <v>0</v>
      </c>
      <c r="S284">
        <f>IF(CO_Combined4[[#This Row],[Region ]]="W",1,0)</f>
        <v>1</v>
      </c>
      <c r="T284">
        <f>IF(CO_Combined4[[#This Row],[Region ]]="S",1,0)</f>
        <v>0</v>
      </c>
      <c r="U284">
        <f>IF(CO_Combined4[[#This Row],[Ship Mode]]=1,1,0)</f>
        <v>0</v>
      </c>
      <c r="V284">
        <f>IF(CO_Combined4[[#This Row],[Ship Mode]]=2,1,0)</f>
        <v>0</v>
      </c>
      <c r="W284">
        <f>IF(CO_Combined4[[#This Row],[Ship Mode]]=3,1,0)</f>
        <v>0</v>
      </c>
      <c r="X284">
        <f t="shared" si="9"/>
        <v>1</v>
      </c>
      <c r="Y284">
        <v>4</v>
      </c>
      <c r="Z284">
        <v>0</v>
      </c>
    </row>
    <row r="285" spans="1:26" x14ac:dyDescent="0.2">
      <c r="A285" t="s">
        <v>1353</v>
      </c>
      <c r="B285" t="s">
        <v>528</v>
      </c>
      <c r="C285" t="s">
        <v>317</v>
      </c>
      <c r="D285" t="s">
        <v>9</v>
      </c>
      <c r="E285" t="s">
        <v>318</v>
      </c>
      <c r="F285" t="s">
        <v>315</v>
      </c>
      <c r="G285">
        <v>80219</v>
      </c>
      <c r="H285" t="s">
        <v>18</v>
      </c>
      <c r="I285">
        <v>41878</v>
      </c>
      <c r="J285">
        <v>4</v>
      </c>
      <c r="K285" t="s">
        <v>1356</v>
      </c>
      <c r="L285">
        <v>0.2</v>
      </c>
      <c r="M285" t="b">
        <v>1</v>
      </c>
      <c r="N285">
        <v>41874</v>
      </c>
      <c r="O285">
        <v>4</v>
      </c>
      <c r="P285">
        <f t="shared" si="8"/>
        <v>1</v>
      </c>
      <c r="Q285">
        <f>IF(CO_Combined4[[#This Row],[Segment]]="COR",1,0)</f>
        <v>0</v>
      </c>
      <c r="R285">
        <f>IF(CO_Combined4[[#This Row],[Region ]]="E",1,0)</f>
        <v>0</v>
      </c>
      <c r="S285">
        <f>IF(CO_Combined4[[#This Row],[Region ]]="W",1,0)</f>
        <v>1</v>
      </c>
      <c r="T285">
        <f>IF(CO_Combined4[[#This Row],[Region ]]="S",1,0)</f>
        <v>0</v>
      </c>
      <c r="U285">
        <f>IF(CO_Combined4[[#This Row],[Ship Mode]]=1,1,0)</f>
        <v>0</v>
      </c>
      <c r="V285">
        <f>IF(CO_Combined4[[#This Row],[Ship Mode]]=2,1,0)</f>
        <v>0</v>
      </c>
      <c r="W285">
        <f>IF(CO_Combined4[[#This Row],[Ship Mode]]=3,1,0)</f>
        <v>0</v>
      </c>
      <c r="X285">
        <f t="shared" si="9"/>
        <v>0</v>
      </c>
      <c r="Y285">
        <v>31</v>
      </c>
      <c r="Z285">
        <v>1</v>
      </c>
    </row>
    <row r="286" spans="1:26" x14ac:dyDescent="0.2">
      <c r="A286" t="s">
        <v>1357</v>
      </c>
      <c r="B286" t="s">
        <v>558</v>
      </c>
      <c r="C286" t="s">
        <v>363</v>
      </c>
      <c r="D286" t="s">
        <v>9</v>
      </c>
      <c r="E286" t="s">
        <v>25</v>
      </c>
      <c r="F286" t="s">
        <v>26</v>
      </c>
      <c r="G286">
        <v>10009</v>
      </c>
      <c r="H286" t="s">
        <v>27</v>
      </c>
      <c r="I286">
        <v>43092</v>
      </c>
      <c r="J286">
        <v>4</v>
      </c>
      <c r="K286" t="s">
        <v>1358</v>
      </c>
      <c r="L286">
        <v>6.6666666666666666E-2</v>
      </c>
      <c r="M286" t="b">
        <v>0</v>
      </c>
      <c r="N286">
        <v>43086</v>
      </c>
      <c r="O286">
        <v>6</v>
      </c>
      <c r="P286">
        <f t="shared" si="8"/>
        <v>1</v>
      </c>
      <c r="Q286">
        <f>IF(CO_Combined4[[#This Row],[Segment]]="COR",1,0)</f>
        <v>0</v>
      </c>
      <c r="R286">
        <f>IF(CO_Combined4[[#This Row],[Region ]]="E",1,0)</f>
        <v>1</v>
      </c>
      <c r="S286">
        <f>IF(CO_Combined4[[#This Row],[Region ]]="W",1,0)</f>
        <v>0</v>
      </c>
      <c r="T286">
        <f>IF(CO_Combined4[[#This Row],[Region ]]="S",1,0)</f>
        <v>0</v>
      </c>
      <c r="U286">
        <f>IF(CO_Combined4[[#This Row],[Ship Mode]]=1,1,0)</f>
        <v>0</v>
      </c>
      <c r="V286">
        <f>IF(CO_Combined4[[#This Row],[Ship Mode]]=2,1,0)</f>
        <v>0</v>
      </c>
      <c r="W286">
        <f>IF(CO_Combined4[[#This Row],[Ship Mode]]=3,1,0)</f>
        <v>0</v>
      </c>
      <c r="X286">
        <f t="shared" si="9"/>
        <v>1</v>
      </c>
      <c r="Y286">
        <v>7</v>
      </c>
      <c r="Z286">
        <v>1</v>
      </c>
    </row>
    <row r="287" spans="1:26" x14ac:dyDescent="0.2">
      <c r="A287" t="s">
        <v>1360</v>
      </c>
      <c r="B287" t="s">
        <v>551</v>
      </c>
      <c r="C287" t="s">
        <v>351</v>
      </c>
      <c r="D287" t="s">
        <v>150</v>
      </c>
      <c r="E287" t="s">
        <v>352</v>
      </c>
      <c r="F287" t="s">
        <v>124</v>
      </c>
      <c r="G287">
        <v>60067</v>
      </c>
      <c r="H287" t="s">
        <v>12</v>
      </c>
      <c r="I287">
        <v>42516</v>
      </c>
      <c r="J287">
        <v>2</v>
      </c>
      <c r="K287" t="s">
        <v>1362</v>
      </c>
      <c r="L287">
        <v>0.5</v>
      </c>
      <c r="M287" t="b">
        <v>0</v>
      </c>
      <c r="N287">
        <v>42511</v>
      </c>
      <c r="O287">
        <v>5</v>
      </c>
      <c r="P287">
        <f t="shared" si="8"/>
        <v>0</v>
      </c>
      <c r="Q287">
        <f>IF(CO_Combined4[[#This Row],[Segment]]="COR",1,0)</f>
        <v>1</v>
      </c>
      <c r="R287">
        <f>IF(CO_Combined4[[#This Row],[Region ]]="E",1,0)</f>
        <v>0</v>
      </c>
      <c r="S287">
        <f>IF(CO_Combined4[[#This Row],[Region ]]="W",1,0)</f>
        <v>0</v>
      </c>
      <c r="T287">
        <f>IF(CO_Combined4[[#This Row],[Region ]]="S",1,0)</f>
        <v>0</v>
      </c>
      <c r="U287">
        <f>IF(CO_Combined4[[#This Row],[Ship Mode]]=1,1,0)</f>
        <v>0</v>
      </c>
      <c r="V287">
        <f>IF(CO_Combined4[[#This Row],[Ship Mode]]=2,1,0)</f>
        <v>1</v>
      </c>
      <c r="W287">
        <f>IF(CO_Combined4[[#This Row],[Ship Mode]]=3,1,0)</f>
        <v>0</v>
      </c>
      <c r="X287">
        <f t="shared" si="9"/>
        <v>1</v>
      </c>
      <c r="Y287">
        <v>11</v>
      </c>
      <c r="Z287">
        <v>1</v>
      </c>
    </row>
    <row r="288" spans="1:26" x14ac:dyDescent="0.2">
      <c r="A288" t="s">
        <v>1363</v>
      </c>
      <c r="B288" t="s">
        <v>535</v>
      </c>
      <c r="C288" t="s">
        <v>326</v>
      </c>
      <c r="D288" t="s">
        <v>150</v>
      </c>
      <c r="E288" t="s">
        <v>327</v>
      </c>
      <c r="F288" t="s">
        <v>86</v>
      </c>
      <c r="G288">
        <v>98661</v>
      </c>
      <c r="H288" t="s">
        <v>18</v>
      </c>
      <c r="I288">
        <v>42941</v>
      </c>
      <c r="J288">
        <v>3</v>
      </c>
      <c r="K288" t="s">
        <v>1070</v>
      </c>
      <c r="L288">
        <v>0.1</v>
      </c>
      <c r="M288" t="b">
        <v>0</v>
      </c>
      <c r="N288">
        <v>42937</v>
      </c>
      <c r="O288">
        <v>4</v>
      </c>
      <c r="P288">
        <f t="shared" si="8"/>
        <v>0</v>
      </c>
      <c r="Q288">
        <f>IF(CO_Combined4[[#This Row],[Segment]]="COR",1,0)</f>
        <v>1</v>
      </c>
      <c r="R288">
        <f>IF(CO_Combined4[[#This Row],[Region ]]="E",1,0)</f>
        <v>0</v>
      </c>
      <c r="S288">
        <f>IF(CO_Combined4[[#This Row],[Region ]]="W",1,0)</f>
        <v>1</v>
      </c>
      <c r="T288">
        <f>IF(CO_Combined4[[#This Row],[Region ]]="S",1,0)</f>
        <v>0</v>
      </c>
      <c r="U288">
        <f>IF(CO_Combined4[[#This Row],[Ship Mode]]=1,1,0)</f>
        <v>0</v>
      </c>
      <c r="V288">
        <f>IF(CO_Combined4[[#This Row],[Ship Mode]]=2,1,0)</f>
        <v>0</v>
      </c>
      <c r="W288">
        <f>IF(CO_Combined4[[#This Row],[Ship Mode]]=3,1,0)</f>
        <v>1</v>
      </c>
      <c r="X288">
        <f t="shared" si="9"/>
        <v>1</v>
      </c>
      <c r="Y288">
        <v>11</v>
      </c>
      <c r="Z288">
        <v>1</v>
      </c>
    </row>
    <row r="289" spans="1:26" x14ac:dyDescent="0.2">
      <c r="A289" t="s">
        <v>1364</v>
      </c>
      <c r="B289" t="s">
        <v>477</v>
      </c>
      <c r="C289" t="s">
        <v>243</v>
      </c>
      <c r="D289" t="s">
        <v>150</v>
      </c>
      <c r="E289" t="s">
        <v>66</v>
      </c>
      <c r="F289" t="s">
        <v>67</v>
      </c>
      <c r="G289">
        <v>19013</v>
      </c>
      <c r="H289" t="s">
        <v>27</v>
      </c>
      <c r="I289">
        <v>43006</v>
      </c>
      <c r="J289">
        <v>2</v>
      </c>
      <c r="K289" t="s">
        <v>1366</v>
      </c>
      <c r="L289">
        <v>0.44999999999999996</v>
      </c>
      <c r="M289" t="b">
        <v>0</v>
      </c>
      <c r="N289">
        <v>43003</v>
      </c>
      <c r="O289">
        <v>3</v>
      </c>
      <c r="P289">
        <f t="shared" si="8"/>
        <v>0</v>
      </c>
      <c r="Q289">
        <f>IF(CO_Combined4[[#This Row],[Segment]]="COR",1,0)</f>
        <v>1</v>
      </c>
      <c r="R289">
        <f>IF(CO_Combined4[[#This Row],[Region ]]="E",1,0)</f>
        <v>1</v>
      </c>
      <c r="S289">
        <f>IF(CO_Combined4[[#This Row],[Region ]]="W",1,0)</f>
        <v>0</v>
      </c>
      <c r="T289">
        <f>IF(CO_Combined4[[#This Row],[Region ]]="S",1,0)</f>
        <v>0</v>
      </c>
      <c r="U289">
        <f>IF(CO_Combined4[[#This Row],[Ship Mode]]=1,1,0)</f>
        <v>0</v>
      </c>
      <c r="V289">
        <f>IF(CO_Combined4[[#This Row],[Ship Mode]]=2,1,0)</f>
        <v>1</v>
      </c>
      <c r="W289">
        <f>IF(CO_Combined4[[#This Row],[Ship Mode]]=3,1,0)</f>
        <v>0</v>
      </c>
      <c r="X289">
        <f t="shared" si="9"/>
        <v>1</v>
      </c>
      <c r="Y289">
        <v>7</v>
      </c>
      <c r="Z289">
        <v>1</v>
      </c>
    </row>
    <row r="290" spans="1:26" x14ac:dyDescent="0.2">
      <c r="A290" t="s">
        <v>1367</v>
      </c>
      <c r="B290" t="s">
        <v>579</v>
      </c>
      <c r="C290" t="s">
        <v>577</v>
      </c>
      <c r="D290" t="s">
        <v>9</v>
      </c>
      <c r="E290" t="s">
        <v>578</v>
      </c>
      <c r="F290" t="s">
        <v>17</v>
      </c>
      <c r="G290">
        <v>95207</v>
      </c>
      <c r="H290" t="s">
        <v>18</v>
      </c>
      <c r="I290">
        <v>43094</v>
      </c>
      <c r="J290">
        <v>3</v>
      </c>
      <c r="K290" t="s">
        <v>1368</v>
      </c>
      <c r="L290">
        <v>0.5</v>
      </c>
      <c r="M290" t="b">
        <v>0</v>
      </c>
      <c r="N290">
        <v>43091</v>
      </c>
      <c r="O290">
        <v>3</v>
      </c>
      <c r="P290">
        <f t="shared" si="8"/>
        <v>1</v>
      </c>
      <c r="Q290">
        <f>IF(CO_Combined4[[#This Row],[Segment]]="COR",1,0)</f>
        <v>0</v>
      </c>
      <c r="R290">
        <f>IF(CO_Combined4[[#This Row],[Region ]]="E",1,0)</f>
        <v>0</v>
      </c>
      <c r="S290">
        <f>IF(CO_Combined4[[#This Row],[Region ]]="W",1,0)</f>
        <v>1</v>
      </c>
      <c r="T290">
        <f>IF(CO_Combined4[[#This Row],[Region ]]="S",1,0)</f>
        <v>0</v>
      </c>
      <c r="U290">
        <f>IF(CO_Combined4[[#This Row],[Ship Mode]]=1,1,0)</f>
        <v>0</v>
      </c>
      <c r="V290">
        <f>IF(CO_Combined4[[#This Row],[Ship Mode]]=2,1,0)</f>
        <v>0</v>
      </c>
      <c r="W290">
        <f>IF(CO_Combined4[[#This Row],[Ship Mode]]=3,1,0)</f>
        <v>1</v>
      </c>
      <c r="X290">
        <f t="shared" si="9"/>
        <v>1</v>
      </c>
      <c r="Y290">
        <v>2</v>
      </c>
      <c r="Z290">
        <v>1</v>
      </c>
    </row>
    <row r="291" spans="1:26" x14ac:dyDescent="0.2">
      <c r="A291" t="s">
        <v>1369</v>
      </c>
      <c r="B291" t="s">
        <v>472</v>
      </c>
      <c r="C291" t="s">
        <v>236</v>
      </c>
      <c r="D291" t="s">
        <v>150</v>
      </c>
      <c r="E291" t="s">
        <v>237</v>
      </c>
      <c r="F291" t="s">
        <v>26</v>
      </c>
      <c r="G291">
        <v>12180</v>
      </c>
      <c r="H291" t="s">
        <v>27</v>
      </c>
      <c r="I291">
        <v>41753</v>
      </c>
      <c r="J291">
        <v>3</v>
      </c>
      <c r="K291" t="s">
        <v>1370</v>
      </c>
      <c r="L291">
        <v>0.1</v>
      </c>
      <c r="M291" t="b">
        <v>0</v>
      </c>
      <c r="N291">
        <v>41751</v>
      </c>
      <c r="O291">
        <v>2</v>
      </c>
      <c r="P291">
        <f t="shared" si="8"/>
        <v>0</v>
      </c>
      <c r="Q291">
        <f>IF(CO_Combined4[[#This Row],[Segment]]="COR",1,0)</f>
        <v>1</v>
      </c>
      <c r="R291">
        <f>IF(CO_Combined4[[#This Row],[Region ]]="E",1,0)</f>
        <v>1</v>
      </c>
      <c r="S291">
        <f>IF(CO_Combined4[[#This Row],[Region ]]="W",1,0)</f>
        <v>0</v>
      </c>
      <c r="T291">
        <f>IF(CO_Combined4[[#This Row],[Region ]]="S",1,0)</f>
        <v>0</v>
      </c>
      <c r="U291">
        <f>IF(CO_Combined4[[#This Row],[Ship Mode]]=1,1,0)</f>
        <v>0</v>
      </c>
      <c r="V291">
        <f>IF(CO_Combined4[[#This Row],[Ship Mode]]=2,1,0)</f>
        <v>0</v>
      </c>
      <c r="W291">
        <f>IF(CO_Combined4[[#This Row],[Ship Mode]]=3,1,0)</f>
        <v>1</v>
      </c>
      <c r="X291">
        <f t="shared" si="9"/>
        <v>1</v>
      </c>
      <c r="Y291">
        <v>11</v>
      </c>
      <c r="Z291">
        <v>1</v>
      </c>
    </row>
    <row r="292" spans="1:26" x14ac:dyDescent="0.2">
      <c r="A292" t="s">
        <v>1371</v>
      </c>
      <c r="B292" t="s">
        <v>460</v>
      </c>
      <c r="C292" t="s">
        <v>217</v>
      </c>
      <c r="D292" t="s">
        <v>9</v>
      </c>
      <c r="E292" t="s">
        <v>218</v>
      </c>
      <c r="F292" t="s">
        <v>46</v>
      </c>
      <c r="G292">
        <v>31907</v>
      </c>
      <c r="H292" t="s">
        <v>47</v>
      </c>
      <c r="I292">
        <v>42389</v>
      </c>
      <c r="J292">
        <v>4</v>
      </c>
      <c r="K292" t="s">
        <v>1372</v>
      </c>
      <c r="L292">
        <v>0.2</v>
      </c>
      <c r="M292" t="b">
        <v>0</v>
      </c>
      <c r="N292">
        <v>42383</v>
      </c>
      <c r="O292">
        <v>6</v>
      </c>
      <c r="P292">
        <f t="shared" si="8"/>
        <v>1</v>
      </c>
      <c r="Q292">
        <f>IF(CO_Combined4[[#This Row],[Segment]]="COR",1,0)</f>
        <v>0</v>
      </c>
      <c r="R292">
        <f>IF(CO_Combined4[[#This Row],[Region ]]="E",1,0)</f>
        <v>0</v>
      </c>
      <c r="S292">
        <f>IF(CO_Combined4[[#This Row],[Region ]]="W",1,0)</f>
        <v>0</v>
      </c>
      <c r="T292">
        <f>IF(CO_Combined4[[#This Row],[Region ]]="S",1,0)</f>
        <v>1</v>
      </c>
      <c r="U292">
        <f>IF(CO_Combined4[[#This Row],[Ship Mode]]=1,1,0)</f>
        <v>0</v>
      </c>
      <c r="V292">
        <f>IF(CO_Combined4[[#This Row],[Ship Mode]]=2,1,0)</f>
        <v>0</v>
      </c>
      <c r="W292">
        <f>IF(CO_Combined4[[#This Row],[Ship Mode]]=3,1,0)</f>
        <v>0</v>
      </c>
      <c r="X292">
        <f t="shared" si="9"/>
        <v>1</v>
      </c>
      <c r="Y292">
        <v>10</v>
      </c>
      <c r="Z292">
        <v>1</v>
      </c>
    </row>
    <row r="293" spans="1:26" x14ac:dyDescent="0.2">
      <c r="A293" t="s">
        <v>1374</v>
      </c>
      <c r="B293" t="s">
        <v>564</v>
      </c>
      <c r="C293" t="s">
        <v>373</v>
      </c>
      <c r="D293" t="s">
        <v>90</v>
      </c>
      <c r="E293" t="s">
        <v>374</v>
      </c>
      <c r="F293" t="s">
        <v>179</v>
      </c>
      <c r="G293">
        <v>59601</v>
      </c>
      <c r="H293" t="s">
        <v>18</v>
      </c>
      <c r="I293">
        <v>42325</v>
      </c>
      <c r="J293">
        <v>4</v>
      </c>
      <c r="K293" t="s">
        <v>1375</v>
      </c>
      <c r="L293">
        <v>0.1</v>
      </c>
      <c r="M293" t="b">
        <v>0</v>
      </c>
      <c r="N293">
        <v>42321</v>
      </c>
      <c r="O293">
        <v>4</v>
      </c>
      <c r="P293">
        <f t="shared" si="8"/>
        <v>0</v>
      </c>
      <c r="Q293">
        <f>IF(CO_Combined4[[#This Row],[Segment]]="COR",1,0)</f>
        <v>0</v>
      </c>
      <c r="R293">
        <f>IF(CO_Combined4[[#This Row],[Region ]]="E",1,0)</f>
        <v>0</v>
      </c>
      <c r="S293">
        <f>IF(CO_Combined4[[#This Row],[Region ]]="W",1,0)</f>
        <v>1</v>
      </c>
      <c r="T293">
        <f>IF(CO_Combined4[[#This Row],[Region ]]="S",1,0)</f>
        <v>0</v>
      </c>
      <c r="U293">
        <f>IF(CO_Combined4[[#This Row],[Ship Mode]]=1,1,0)</f>
        <v>0</v>
      </c>
      <c r="V293">
        <f>IF(CO_Combined4[[#This Row],[Ship Mode]]=2,1,0)</f>
        <v>0</v>
      </c>
      <c r="W293">
        <f>IF(CO_Combined4[[#This Row],[Ship Mode]]=3,1,0)</f>
        <v>0</v>
      </c>
      <c r="X293">
        <f t="shared" si="9"/>
        <v>1</v>
      </c>
      <c r="Y293">
        <v>12</v>
      </c>
      <c r="Z293">
        <v>1</v>
      </c>
    </row>
    <row r="294" spans="1:26" x14ac:dyDescent="0.2">
      <c r="A294" t="s">
        <v>1377</v>
      </c>
      <c r="B294" t="s">
        <v>572</v>
      </c>
      <c r="C294" t="s">
        <v>571</v>
      </c>
      <c r="D294" t="s">
        <v>150</v>
      </c>
      <c r="E294" t="s">
        <v>212</v>
      </c>
      <c r="F294" t="s">
        <v>22</v>
      </c>
      <c r="G294">
        <v>77095</v>
      </c>
      <c r="H294" t="s">
        <v>47</v>
      </c>
      <c r="I294">
        <v>41889</v>
      </c>
      <c r="J294">
        <v>4</v>
      </c>
      <c r="K294" t="s">
        <v>1378</v>
      </c>
      <c r="L294">
        <v>0.4</v>
      </c>
      <c r="M294" t="b">
        <v>0</v>
      </c>
      <c r="N294">
        <v>41884</v>
      </c>
      <c r="O294">
        <v>5</v>
      </c>
      <c r="P294">
        <f t="shared" si="8"/>
        <v>0</v>
      </c>
      <c r="Q294">
        <f>IF(CO_Combined4[[#This Row],[Segment]]="COR",1,0)</f>
        <v>1</v>
      </c>
      <c r="R294">
        <f>IF(CO_Combined4[[#This Row],[Region ]]="E",1,0)</f>
        <v>0</v>
      </c>
      <c r="S294">
        <f>IF(CO_Combined4[[#This Row],[Region ]]="W",1,0)</f>
        <v>0</v>
      </c>
      <c r="T294">
        <f>IF(CO_Combined4[[#This Row],[Region ]]="S",1,0)</f>
        <v>1</v>
      </c>
      <c r="U294">
        <f>IF(CO_Combined4[[#This Row],[Ship Mode]]=1,1,0)</f>
        <v>0</v>
      </c>
      <c r="V294">
        <f>IF(CO_Combined4[[#This Row],[Ship Mode]]=2,1,0)</f>
        <v>0</v>
      </c>
      <c r="W294">
        <f>IF(CO_Combined4[[#This Row],[Ship Mode]]=3,1,0)</f>
        <v>0</v>
      </c>
      <c r="X294">
        <f t="shared" si="9"/>
        <v>1</v>
      </c>
      <c r="Y294">
        <v>6</v>
      </c>
      <c r="Z294">
        <v>1</v>
      </c>
    </row>
    <row r="295" spans="1:26" x14ac:dyDescent="0.2">
      <c r="A295" t="s">
        <v>1379</v>
      </c>
      <c r="B295" t="s">
        <v>498</v>
      </c>
      <c r="C295" t="s">
        <v>272</v>
      </c>
      <c r="D295" t="s">
        <v>150</v>
      </c>
      <c r="E295" t="s">
        <v>118</v>
      </c>
      <c r="F295" t="s">
        <v>119</v>
      </c>
      <c r="G295">
        <v>48205</v>
      </c>
      <c r="H295" t="s">
        <v>12</v>
      </c>
      <c r="I295">
        <v>42371</v>
      </c>
      <c r="J295">
        <v>3</v>
      </c>
      <c r="K295" t="s">
        <v>1380</v>
      </c>
      <c r="L295">
        <v>0</v>
      </c>
      <c r="M295" t="b">
        <v>0</v>
      </c>
      <c r="N295">
        <v>42369</v>
      </c>
      <c r="O295">
        <v>2</v>
      </c>
      <c r="P295">
        <f t="shared" si="8"/>
        <v>0</v>
      </c>
      <c r="Q295">
        <f>IF(CO_Combined4[[#This Row],[Segment]]="COR",1,0)</f>
        <v>1</v>
      </c>
      <c r="R295">
        <f>IF(CO_Combined4[[#This Row],[Region ]]="E",1,0)</f>
        <v>0</v>
      </c>
      <c r="S295">
        <f>IF(CO_Combined4[[#This Row],[Region ]]="W",1,0)</f>
        <v>0</v>
      </c>
      <c r="T295">
        <f>IF(CO_Combined4[[#This Row],[Region ]]="S",1,0)</f>
        <v>0</v>
      </c>
      <c r="U295">
        <f>IF(CO_Combined4[[#This Row],[Ship Mode]]=1,1,0)</f>
        <v>0</v>
      </c>
      <c r="V295">
        <f>IF(CO_Combined4[[#This Row],[Ship Mode]]=2,1,0)</f>
        <v>0</v>
      </c>
      <c r="W295">
        <f>IF(CO_Combined4[[#This Row],[Ship Mode]]=3,1,0)</f>
        <v>1</v>
      </c>
      <c r="X295">
        <f t="shared" si="9"/>
        <v>1</v>
      </c>
      <c r="Y295">
        <v>8</v>
      </c>
      <c r="Z295">
        <v>0</v>
      </c>
    </row>
    <row r="296" spans="1:26" x14ac:dyDescent="0.2">
      <c r="A296" t="s">
        <v>1381</v>
      </c>
      <c r="B296" t="s">
        <v>530</v>
      </c>
      <c r="C296" t="s">
        <v>320</v>
      </c>
      <c r="D296" t="s">
        <v>150</v>
      </c>
      <c r="E296" t="s">
        <v>97</v>
      </c>
      <c r="F296" t="s">
        <v>67</v>
      </c>
      <c r="G296">
        <v>19143</v>
      </c>
      <c r="H296" t="s">
        <v>27</v>
      </c>
      <c r="I296">
        <v>42007</v>
      </c>
      <c r="J296">
        <v>3</v>
      </c>
      <c r="K296" t="s">
        <v>1382</v>
      </c>
      <c r="L296">
        <v>0.4</v>
      </c>
      <c r="M296" t="b">
        <v>0</v>
      </c>
      <c r="N296">
        <v>42003</v>
      </c>
      <c r="O296">
        <v>4</v>
      </c>
      <c r="P296">
        <f t="shared" si="8"/>
        <v>0</v>
      </c>
      <c r="Q296">
        <f>IF(CO_Combined4[[#This Row],[Segment]]="COR",1,0)</f>
        <v>1</v>
      </c>
      <c r="R296">
        <f>IF(CO_Combined4[[#This Row],[Region ]]="E",1,0)</f>
        <v>1</v>
      </c>
      <c r="S296">
        <f>IF(CO_Combined4[[#This Row],[Region ]]="W",1,0)</f>
        <v>0</v>
      </c>
      <c r="T296">
        <f>IF(CO_Combined4[[#This Row],[Region ]]="S",1,0)</f>
        <v>0</v>
      </c>
      <c r="U296">
        <f>IF(CO_Combined4[[#This Row],[Ship Mode]]=1,1,0)</f>
        <v>0</v>
      </c>
      <c r="V296">
        <f>IF(CO_Combined4[[#This Row],[Ship Mode]]=2,1,0)</f>
        <v>0</v>
      </c>
      <c r="W296">
        <f>IF(CO_Combined4[[#This Row],[Ship Mode]]=3,1,0)</f>
        <v>1</v>
      </c>
      <c r="X296">
        <f t="shared" si="9"/>
        <v>1</v>
      </c>
      <c r="Y296">
        <v>9</v>
      </c>
      <c r="Z296">
        <v>1</v>
      </c>
    </row>
    <row r="297" spans="1:26" x14ac:dyDescent="0.2">
      <c r="A297" t="s">
        <v>1383</v>
      </c>
      <c r="B297" t="s">
        <v>447</v>
      </c>
      <c r="C297" t="s">
        <v>200</v>
      </c>
      <c r="D297" t="s">
        <v>90</v>
      </c>
      <c r="E297" t="s">
        <v>34</v>
      </c>
      <c r="F297" t="s">
        <v>35</v>
      </c>
      <c r="G297">
        <v>68104</v>
      </c>
      <c r="H297" t="s">
        <v>12</v>
      </c>
      <c r="I297">
        <v>42631</v>
      </c>
      <c r="J297">
        <v>4</v>
      </c>
      <c r="K297" t="s">
        <v>1390</v>
      </c>
      <c r="L297">
        <v>0</v>
      </c>
      <c r="M297" t="b">
        <v>1</v>
      </c>
      <c r="N297">
        <v>42626</v>
      </c>
      <c r="O297">
        <v>5</v>
      </c>
      <c r="P297">
        <f t="shared" si="8"/>
        <v>0</v>
      </c>
      <c r="Q297">
        <f>IF(CO_Combined4[[#This Row],[Segment]]="COR",1,0)</f>
        <v>0</v>
      </c>
      <c r="R297">
        <f>IF(CO_Combined4[[#This Row],[Region ]]="E",1,0)</f>
        <v>0</v>
      </c>
      <c r="S297">
        <f>IF(CO_Combined4[[#This Row],[Region ]]="W",1,0)</f>
        <v>0</v>
      </c>
      <c r="T297">
        <f>IF(CO_Combined4[[#This Row],[Region ]]="S",1,0)</f>
        <v>0</v>
      </c>
      <c r="U297">
        <f>IF(CO_Combined4[[#This Row],[Ship Mode]]=1,1,0)</f>
        <v>0</v>
      </c>
      <c r="V297">
        <f>IF(CO_Combined4[[#This Row],[Ship Mode]]=2,1,0)</f>
        <v>0</v>
      </c>
      <c r="W297">
        <f>IF(CO_Combined4[[#This Row],[Ship Mode]]=3,1,0)</f>
        <v>0</v>
      </c>
      <c r="X297">
        <f t="shared" si="9"/>
        <v>0</v>
      </c>
      <c r="Y297">
        <v>46</v>
      </c>
      <c r="Z297">
        <v>0</v>
      </c>
    </row>
    <row r="298" spans="1:26" x14ac:dyDescent="0.2">
      <c r="A298" t="s">
        <v>1391</v>
      </c>
      <c r="B298" t="s">
        <v>448</v>
      </c>
      <c r="C298" t="s">
        <v>201</v>
      </c>
      <c r="D298" t="s">
        <v>9</v>
      </c>
      <c r="E298" t="s">
        <v>25</v>
      </c>
      <c r="F298" t="s">
        <v>26</v>
      </c>
      <c r="G298">
        <v>10011</v>
      </c>
      <c r="H298" t="s">
        <v>27</v>
      </c>
      <c r="I298">
        <v>41844</v>
      </c>
      <c r="J298">
        <v>2</v>
      </c>
      <c r="K298" t="s">
        <v>749</v>
      </c>
      <c r="L298">
        <v>0</v>
      </c>
      <c r="M298" t="b">
        <v>0</v>
      </c>
      <c r="N298">
        <v>41843</v>
      </c>
      <c r="O298">
        <v>1</v>
      </c>
      <c r="P298">
        <f t="shared" si="8"/>
        <v>1</v>
      </c>
      <c r="Q298">
        <f>IF(CO_Combined4[[#This Row],[Segment]]="COR",1,0)</f>
        <v>0</v>
      </c>
      <c r="R298">
        <f>IF(CO_Combined4[[#This Row],[Region ]]="E",1,0)</f>
        <v>1</v>
      </c>
      <c r="S298">
        <f>IF(CO_Combined4[[#This Row],[Region ]]="W",1,0)</f>
        <v>0</v>
      </c>
      <c r="T298">
        <f>IF(CO_Combined4[[#This Row],[Region ]]="S",1,0)</f>
        <v>0</v>
      </c>
      <c r="U298">
        <f>IF(CO_Combined4[[#This Row],[Ship Mode]]=1,1,0)</f>
        <v>0</v>
      </c>
      <c r="V298">
        <f>IF(CO_Combined4[[#This Row],[Ship Mode]]=2,1,0)</f>
        <v>1</v>
      </c>
      <c r="W298">
        <f>IF(CO_Combined4[[#This Row],[Ship Mode]]=3,1,0)</f>
        <v>0</v>
      </c>
      <c r="X298">
        <f t="shared" si="9"/>
        <v>1</v>
      </c>
      <c r="Y298">
        <v>2</v>
      </c>
      <c r="Z298">
        <v>0</v>
      </c>
    </row>
    <row r="299" spans="1:26" x14ac:dyDescent="0.2">
      <c r="A299" t="s">
        <v>1392</v>
      </c>
      <c r="B299" t="s">
        <v>533</v>
      </c>
      <c r="C299" t="s">
        <v>324</v>
      </c>
      <c r="D299" t="s">
        <v>9</v>
      </c>
      <c r="E299" t="s">
        <v>145</v>
      </c>
      <c r="F299" t="s">
        <v>119</v>
      </c>
      <c r="G299">
        <v>49201</v>
      </c>
      <c r="H299" t="s">
        <v>12</v>
      </c>
      <c r="I299">
        <v>42108</v>
      </c>
      <c r="J299">
        <v>3</v>
      </c>
      <c r="K299" t="s">
        <v>1393</v>
      </c>
      <c r="L299">
        <v>0.1</v>
      </c>
      <c r="M299" t="b">
        <v>0</v>
      </c>
      <c r="N299">
        <v>42105</v>
      </c>
      <c r="O299">
        <v>3</v>
      </c>
      <c r="P299">
        <f t="shared" si="8"/>
        <v>1</v>
      </c>
      <c r="Q299">
        <f>IF(CO_Combined4[[#This Row],[Segment]]="COR",1,0)</f>
        <v>0</v>
      </c>
      <c r="R299">
        <f>IF(CO_Combined4[[#This Row],[Region ]]="E",1,0)</f>
        <v>0</v>
      </c>
      <c r="S299">
        <f>IF(CO_Combined4[[#This Row],[Region ]]="W",1,0)</f>
        <v>0</v>
      </c>
      <c r="T299">
        <f>IF(CO_Combined4[[#This Row],[Region ]]="S",1,0)</f>
        <v>0</v>
      </c>
      <c r="U299">
        <f>IF(CO_Combined4[[#This Row],[Ship Mode]]=1,1,0)</f>
        <v>0</v>
      </c>
      <c r="V299">
        <f>IF(CO_Combined4[[#This Row],[Ship Mode]]=2,1,0)</f>
        <v>0</v>
      </c>
      <c r="W299">
        <f>IF(CO_Combined4[[#This Row],[Ship Mode]]=3,1,0)</f>
        <v>1</v>
      </c>
      <c r="X299">
        <f t="shared" si="9"/>
        <v>1</v>
      </c>
      <c r="Y299">
        <v>6</v>
      </c>
      <c r="Z299">
        <v>1</v>
      </c>
    </row>
    <row r="300" spans="1:26" x14ac:dyDescent="0.2">
      <c r="A300" t="s">
        <v>1395</v>
      </c>
      <c r="B300" t="s">
        <v>498</v>
      </c>
      <c r="C300" t="s">
        <v>272</v>
      </c>
      <c r="D300" t="s">
        <v>150</v>
      </c>
      <c r="E300" t="s">
        <v>118</v>
      </c>
      <c r="F300" t="s">
        <v>119</v>
      </c>
      <c r="G300">
        <v>48205</v>
      </c>
      <c r="H300" t="s">
        <v>12</v>
      </c>
      <c r="I300">
        <v>42513</v>
      </c>
      <c r="J300">
        <v>4</v>
      </c>
      <c r="K300" t="s">
        <v>1396</v>
      </c>
      <c r="L300">
        <v>0</v>
      </c>
      <c r="M300" t="b">
        <v>0</v>
      </c>
      <c r="N300">
        <v>42509</v>
      </c>
      <c r="O300">
        <v>4</v>
      </c>
      <c r="P300">
        <f t="shared" si="8"/>
        <v>0</v>
      </c>
      <c r="Q300">
        <f>IF(CO_Combined4[[#This Row],[Segment]]="COR",1,0)</f>
        <v>1</v>
      </c>
      <c r="R300">
        <f>IF(CO_Combined4[[#This Row],[Region ]]="E",1,0)</f>
        <v>0</v>
      </c>
      <c r="S300">
        <f>IF(CO_Combined4[[#This Row],[Region ]]="W",1,0)</f>
        <v>0</v>
      </c>
      <c r="T300">
        <f>IF(CO_Combined4[[#This Row],[Region ]]="S",1,0)</f>
        <v>0</v>
      </c>
      <c r="U300">
        <f>IF(CO_Combined4[[#This Row],[Ship Mode]]=1,1,0)</f>
        <v>0</v>
      </c>
      <c r="V300">
        <f>IF(CO_Combined4[[#This Row],[Ship Mode]]=2,1,0)</f>
        <v>0</v>
      </c>
      <c r="W300">
        <f>IF(CO_Combined4[[#This Row],[Ship Mode]]=3,1,0)</f>
        <v>0</v>
      </c>
      <c r="X300">
        <f t="shared" si="9"/>
        <v>1</v>
      </c>
      <c r="Y300">
        <v>8</v>
      </c>
      <c r="Z300">
        <v>0</v>
      </c>
    </row>
    <row r="301" spans="1:26" x14ac:dyDescent="0.2">
      <c r="A301" t="s">
        <v>1397</v>
      </c>
      <c r="B301" t="s">
        <v>23</v>
      </c>
      <c r="C301" t="s">
        <v>24</v>
      </c>
      <c r="D301" t="s">
        <v>9</v>
      </c>
      <c r="E301" t="s">
        <v>25</v>
      </c>
      <c r="F301" t="s">
        <v>26</v>
      </c>
      <c r="G301">
        <v>10011</v>
      </c>
      <c r="H301" t="s">
        <v>27</v>
      </c>
      <c r="I301">
        <v>41902</v>
      </c>
      <c r="J301">
        <v>4</v>
      </c>
      <c r="K301" t="s">
        <v>1398</v>
      </c>
      <c r="L301">
        <v>0</v>
      </c>
      <c r="M301" t="b">
        <v>1</v>
      </c>
      <c r="N301">
        <v>41897</v>
      </c>
      <c r="O301">
        <v>5</v>
      </c>
      <c r="P301">
        <f t="shared" si="8"/>
        <v>1</v>
      </c>
      <c r="Q301">
        <f>IF(CO_Combined4[[#This Row],[Segment]]="COR",1,0)</f>
        <v>0</v>
      </c>
      <c r="R301">
        <f>IF(CO_Combined4[[#This Row],[Region ]]="E",1,0)</f>
        <v>1</v>
      </c>
      <c r="S301">
        <f>IF(CO_Combined4[[#This Row],[Region ]]="W",1,0)</f>
        <v>0</v>
      </c>
      <c r="T301">
        <f>IF(CO_Combined4[[#This Row],[Region ]]="S",1,0)</f>
        <v>0</v>
      </c>
      <c r="U301">
        <f>IF(CO_Combined4[[#This Row],[Ship Mode]]=1,1,0)</f>
        <v>0</v>
      </c>
      <c r="V301">
        <f>IF(CO_Combined4[[#This Row],[Ship Mode]]=2,1,0)</f>
        <v>0</v>
      </c>
      <c r="W301">
        <f>IF(CO_Combined4[[#This Row],[Ship Mode]]=3,1,0)</f>
        <v>0</v>
      </c>
      <c r="X301">
        <f t="shared" si="9"/>
        <v>0</v>
      </c>
      <c r="Y301">
        <v>5</v>
      </c>
      <c r="Z301">
        <v>0</v>
      </c>
    </row>
    <row r="302" spans="1:26" x14ac:dyDescent="0.2">
      <c r="A302" t="s">
        <v>1400</v>
      </c>
      <c r="B302" t="s">
        <v>429</v>
      </c>
      <c r="C302" t="s">
        <v>169</v>
      </c>
      <c r="D302" t="s">
        <v>150</v>
      </c>
      <c r="E302" t="s">
        <v>97</v>
      </c>
      <c r="F302" t="s">
        <v>67</v>
      </c>
      <c r="G302">
        <v>19143</v>
      </c>
      <c r="H302" t="s">
        <v>27</v>
      </c>
      <c r="I302">
        <v>42267</v>
      </c>
      <c r="J302">
        <v>4</v>
      </c>
      <c r="K302" t="s">
        <v>825</v>
      </c>
      <c r="L302">
        <v>0.44999999999999996</v>
      </c>
      <c r="M302" t="b">
        <v>0</v>
      </c>
      <c r="N302">
        <v>42262</v>
      </c>
      <c r="O302">
        <v>5</v>
      </c>
      <c r="P302">
        <f t="shared" si="8"/>
        <v>0</v>
      </c>
      <c r="Q302">
        <f>IF(CO_Combined4[[#This Row],[Segment]]="COR",1,0)</f>
        <v>1</v>
      </c>
      <c r="R302">
        <f>IF(CO_Combined4[[#This Row],[Region ]]="E",1,0)</f>
        <v>1</v>
      </c>
      <c r="S302">
        <f>IF(CO_Combined4[[#This Row],[Region ]]="W",1,0)</f>
        <v>0</v>
      </c>
      <c r="T302">
        <f>IF(CO_Combined4[[#This Row],[Region ]]="S",1,0)</f>
        <v>0</v>
      </c>
      <c r="U302">
        <f>IF(CO_Combined4[[#This Row],[Ship Mode]]=1,1,0)</f>
        <v>0</v>
      </c>
      <c r="V302">
        <f>IF(CO_Combined4[[#This Row],[Ship Mode]]=2,1,0)</f>
        <v>0</v>
      </c>
      <c r="W302">
        <f>IF(CO_Combined4[[#This Row],[Ship Mode]]=3,1,0)</f>
        <v>0</v>
      </c>
      <c r="X302">
        <f t="shared" si="9"/>
        <v>1</v>
      </c>
      <c r="Y302">
        <v>6</v>
      </c>
      <c r="Z302">
        <v>1</v>
      </c>
    </row>
    <row r="303" spans="1:26" x14ac:dyDescent="0.2">
      <c r="A303" t="s">
        <v>1402</v>
      </c>
      <c r="B303" t="s">
        <v>74</v>
      </c>
      <c r="C303" t="s">
        <v>75</v>
      </c>
      <c r="D303" t="s">
        <v>9</v>
      </c>
      <c r="E303" t="s">
        <v>76</v>
      </c>
      <c r="F303" t="s">
        <v>17</v>
      </c>
      <c r="G303">
        <v>92105</v>
      </c>
      <c r="H303" t="s">
        <v>18</v>
      </c>
      <c r="I303">
        <v>43048</v>
      </c>
      <c r="J303">
        <v>4</v>
      </c>
      <c r="K303" t="s">
        <v>1403</v>
      </c>
      <c r="L303">
        <v>0</v>
      </c>
      <c r="M303" t="b">
        <v>0</v>
      </c>
      <c r="N303">
        <v>43044</v>
      </c>
      <c r="O303">
        <v>4</v>
      </c>
      <c r="P303">
        <f t="shared" si="8"/>
        <v>1</v>
      </c>
      <c r="Q303">
        <f>IF(CO_Combined4[[#This Row],[Segment]]="COR",1,0)</f>
        <v>0</v>
      </c>
      <c r="R303">
        <f>IF(CO_Combined4[[#This Row],[Region ]]="E",1,0)</f>
        <v>0</v>
      </c>
      <c r="S303">
        <f>IF(CO_Combined4[[#This Row],[Region ]]="W",1,0)</f>
        <v>1</v>
      </c>
      <c r="T303">
        <f>IF(CO_Combined4[[#This Row],[Region ]]="S",1,0)</f>
        <v>0</v>
      </c>
      <c r="U303">
        <f>IF(CO_Combined4[[#This Row],[Ship Mode]]=1,1,0)</f>
        <v>0</v>
      </c>
      <c r="V303">
        <f>IF(CO_Combined4[[#This Row],[Ship Mode]]=2,1,0)</f>
        <v>0</v>
      </c>
      <c r="W303">
        <f>IF(CO_Combined4[[#This Row],[Ship Mode]]=3,1,0)</f>
        <v>0</v>
      </c>
      <c r="X303">
        <f t="shared" si="9"/>
        <v>1</v>
      </c>
      <c r="Y303">
        <v>2</v>
      </c>
      <c r="Z303">
        <v>0</v>
      </c>
    </row>
    <row r="304" spans="1:26" x14ac:dyDescent="0.2">
      <c r="A304" t="s">
        <v>1404</v>
      </c>
      <c r="B304" t="s">
        <v>576</v>
      </c>
      <c r="C304" t="s">
        <v>575</v>
      </c>
      <c r="D304" t="s">
        <v>9</v>
      </c>
      <c r="E304" t="s">
        <v>251</v>
      </c>
      <c r="F304" t="s">
        <v>73</v>
      </c>
      <c r="G304">
        <v>40214</v>
      </c>
      <c r="H304" t="s">
        <v>47</v>
      </c>
      <c r="I304">
        <v>41773</v>
      </c>
      <c r="J304">
        <v>3</v>
      </c>
      <c r="K304" t="s">
        <v>1406</v>
      </c>
      <c r="L304">
        <v>0.35</v>
      </c>
      <c r="M304" t="b">
        <v>1</v>
      </c>
      <c r="N304">
        <v>41769</v>
      </c>
      <c r="O304">
        <v>4</v>
      </c>
      <c r="P304">
        <f t="shared" si="8"/>
        <v>1</v>
      </c>
      <c r="Q304">
        <f>IF(CO_Combined4[[#This Row],[Segment]]="COR",1,0)</f>
        <v>0</v>
      </c>
      <c r="R304">
        <f>IF(CO_Combined4[[#This Row],[Region ]]="E",1,0)</f>
        <v>0</v>
      </c>
      <c r="S304">
        <f>IF(CO_Combined4[[#This Row],[Region ]]="W",1,0)</f>
        <v>0</v>
      </c>
      <c r="T304">
        <f>IF(CO_Combined4[[#This Row],[Region ]]="S",1,0)</f>
        <v>1</v>
      </c>
      <c r="U304">
        <f>IF(CO_Combined4[[#This Row],[Ship Mode]]=1,1,0)</f>
        <v>0</v>
      </c>
      <c r="V304">
        <f>IF(CO_Combined4[[#This Row],[Ship Mode]]=2,1,0)</f>
        <v>0</v>
      </c>
      <c r="W304">
        <f>IF(CO_Combined4[[#This Row],[Ship Mode]]=3,1,0)</f>
        <v>1</v>
      </c>
      <c r="X304">
        <f t="shared" si="9"/>
        <v>0</v>
      </c>
      <c r="Y304">
        <v>12</v>
      </c>
      <c r="Z304">
        <v>1</v>
      </c>
    </row>
    <row r="305" spans="1:26" x14ac:dyDescent="0.2">
      <c r="A305" t="s">
        <v>1407</v>
      </c>
      <c r="B305" t="s">
        <v>559</v>
      </c>
      <c r="C305" t="s">
        <v>364</v>
      </c>
      <c r="D305" t="s">
        <v>90</v>
      </c>
      <c r="E305" t="s">
        <v>365</v>
      </c>
      <c r="F305" t="s">
        <v>191</v>
      </c>
      <c r="G305">
        <v>7960</v>
      </c>
      <c r="H305" t="s">
        <v>27</v>
      </c>
      <c r="I305">
        <v>42335</v>
      </c>
      <c r="J305">
        <v>3</v>
      </c>
      <c r="K305" t="s">
        <v>1409</v>
      </c>
      <c r="L305">
        <v>0</v>
      </c>
      <c r="M305" t="b">
        <v>0</v>
      </c>
      <c r="N305">
        <v>42331</v>
      </c>
      <c r="O305">
        <v>4</v>
      </c>
      <c r="P305">
        <f t="shared" si="8"/>
        <v>0</v>
      </c>
      <c r="Q305">
        <f>IF(CO_Combined4[[#This Row],[Segment]]="COR",1,0)</f>
        <v>0</v>
      </c>
      <c r="R305">
        <f>IF(CO_Combined4[[#This Row],[Region ]]="E",1,0)</f>
        <v>1</v>
      </c>
      <c r="S305">
        <f>IF(CO_Combined4[[#This Row],[Region ]]="W",1,0)</f>
        <v>0</v>
      </c>
      <c r="T305">
        <f>IF(CO_Combined4[[#This Row],[Region ]]="S",1,0)</f>
        <v>0</v>
      </c>
      <c r="U305">
        <f>IF(CO_Combined4[[#This Row],[Ship Mode]]=1,1,0)</f>
        <v>0</v>
      </c>
      <c r="V305">
        <f>IF(CO_Combined4[[#This Row],[Ship Mode]]=2,1,0)</f>
        <v>0</v>
      </c>
      <c r="W305">
        <f>IF(CO_Combined4[[#This Row],[Ship Mode]]=3,1,0)</f>
        <v>1</v>
      </c>
      <c r="X305">
        <f t="shared" si="9"/>
        <v>1</v>
      </c>
      <c r="Y305">
        <v>11</v>
      </c>
      <c r="Z305">
        <v>0</v>
      </c>
    </row>
    <row r="306" spans="1:26" x14ac:dyDescent="0.2">
      <c r="A306" t="s">
        <v>1410</v>
      </c>
      <c r="B306" t="s">
        <v>502</v>
      </c>
      <c r="C306" t="s">
        <v>277</v>
      </c>
      <c r="D306" t="s">
        <v>9</v>
      </c>
      <c r="E306" t="s">
        <v>258</v>
      </c>
      <c r="F306" t="s">
        <v>17</v>
      </c>
      <c r="G306">
        <v>94513</v>
      </c>
      <c r="H306" t="s">
        <v>18</v>
      </c>
      <c r="I306">
        <v>42007</v>
      </c>
      <c r="J306">
        <v>1</v>
      </c>
      <c r="K306" t="s">
        <v>1412</v>
      </c>
      <c r="L306">
        <v>0.1</v>
      </c>
      <c r="M306" t="b">
        <v>0</v>
      </c>
      <c r="N306">
        <v>42002</v>
      </c>
      <c r="O306">
        <v>5</v>
      </c>
      <c r="P306">
        <f t="shared" si="8"/>
        <v>1</v>
      </c>
      <c r="Q306">
        <f>IF(CO_Combined4[[#This Row],[Segment]]="COR",1,0)</f>
        <v>0</v>
      </c>
      <c r="R306">
        <f>IF(CO_Combined4[[#This Row],[Region ]]="E",1,0)</f>
        <v>0</v>
      </c>
      <c r="S306">
        <f>IF(CO_Combined4[[#This Row],[Region ]]="W",1,0)</f>
        <v>1</v>
      </c>
      <c r="T306">
        <f>IF(CO_Combined4[[#This Row],[Region ]]="S",1,0)</f>
        <v>0</v>
      </c>
      <c r="U306">
        <f>IF(CO_Combined4[[#This Row],[Ship Mode]]=1,1,0)</f>
        <v>1</v>
      </c>
      <c r="V306">
        <f>IF(CO_Combined4[[#This Row],[Ship Mode]]=2,1,0)</f>
        <v>0</v>
      </c>
      <c r="W306">
        <f>IF(CO_Combined4[[#This Row],[Ship Mode]]=3,1,0)</f>
        <v>0</v>
      </c>
      <c r="X306">
        <f t="shared" si="9"/>
        <v>1</v>
      </c>
      <c r="Y306">
        <v>10</v>
      </c>
      <c r="Z306">
        <v>1</v>
      </c>
    </row>
    <row r="307" spans="1:26" x14ac:dyDescent="0.2">
      <c r="A307" t="s">
        <v>1413</v>
      </c>
      <c r="B307" t="s">
        <v>482</v>
      </c>
      <c r="C307" t="s">
        <v>249</v>
      </c>
      <c r="D307" t="s">
        <v>90</v>
      </c>
      <c r="E307" t="s">
        <v>132</v>
      </c>
      <c r="F307" t="s">
        <v>22</v>
      </c>
      <c r="G307">
        <v>75217</v>
      </c>
      <c r="H307" t="s">
        <v>12</v>
      </c>
      <c r="I307">
        <v>42921</v>
      </c>
      <c r="J307">
        <v>4</v>
      </c>
      <c r="K307" t="s">
        <v>1414</v>
      </c>
      <c r="L307">
        <v>0.5</v>
      </c>
      <c r="M307" t="b">
        <v>1</v>
      </c>
      <c r="N307">
        <v>42918</v>
      </c>
      <c r="O307">
        <v>3</v>
      </c>
      <c r="P307">
        <f t="shared" si="8"/>
        <v>0</v>
      </c>
      <c r="Q307">
        <f>IF(CO_Combined4[[#This Row],[Segment]]="COR",1,0)</f>
        <v>0</v>
      </c>
      <c r="R307">
        <f>IF(CO_Combined4[[#This Row],[Region ]]="E",1,0)</f>
        <v>0</v>
      </c>
      <c r="S307">
        <f>IF(CO_Combined4[[#This Row],[Region ]]="W",1,0)</f>
        <v>0</v>
      </c>
      <c r="T307">
        <f>IF(CO_Combined4[[#This Row],[Region ]]="S",1,0)</f>
        <v>0</v>
      </c>
      <c r="U307">
        <f>IF(CO_Combined4[[#This Row],[Ship Mode]]=1,1,0)</f>
        <v>0</v>
      </c>
      <c r="V307">
        <f>IF(CO_Combined4[[#This Row],[Ship Mode]]=2,1,0)</f>
        <v>0</v>
      </c>
      <c r="W307">
        <f>IF(CO_Combined4[[#This Row],[Ship Mode]]=3,1,0)</f>
        <v>0</v>
      </c>
      <c r="X307">
        <f t="shared" si="9"/>
        <v>0</v>
      </c>
      <c r="Y307">
        <v>9</v>
      </c>
      <c r="Z307">
        <v>1</v>
      </c>
    </row>
    <row r="308" spans="1:26" x14ac:dyDescent="0.2">
      <c r="A308" t="s">
        <v>1416</v>
      </c>
      <c r="B308" t="s">
        <v>60</v>
      </c>
      <c r="C308" t="s">
        <v>61</v>
      </c>
      <c r="D308" t="s">
        <v>9</v>
      </c>
      <c r="E308" t="s">
        <v>30</v>
      </c>
      <c r="F308" t="s">
        <v>63</v>
      </c>
      <c r="G308">
        <v>85204</v>
      </c>
      <c r="H308" t="s">
        <v>18</v>
      </c>
      <c r="I308">
        <v>42615</v>
      </c>
      <c r="J308">
        <v>4</v>
      </c>
      <c r="K308" t="s">
        <v>1382</v>
      </c>
      <c r="L308">
        <v>0</v>
      </c>
      <c r="M308" t="b">
        <v>0</v>
      </c>
      <c r="N308">
        <v>42608</v>
      </c>
      <c r="O308">
        <v>7</v>
      </c>
      <c r="P308">
        <f t="shared" si="8"/>
        <v>1</v>
      </c>
      <c r="Q308">
        <f>IF(CO_Combined4[[#This Row],[Segment]]="COR",1,0)</f>
        <v>0</v>
      </c>
      <c r="R308">
        <f>IF(CO_Combined4[[#This Row],[Region ]]="E",1,0)</f>
        <v>0</v>
      </c>
      <c r="S308">
        <f>IF(CO_Combined4[[#This Row],[Region ]]="W",1,0)</f>
        <v>1</v>
      </c>
      <c r="T308">
        <f>IF(CO_Combined4[[#This Row],[Region ]]="S",1,0)</f>
        <v>0</v>
      </c>
      <c r="U308">
        <f>IF(CO_Combined4[[#This Row],[Ship Mode]]=1,1,0)</f>
        <v>0</v>
      </c>
      <c r="V308">
        <f>IF(CO_Combined4[[#This Row],[Ship Mode]]=2,1,0)</f>
        <v>0</v>
      </c>
      <c r="W308">
        <f>IF(CO_Combined4[[#This Row],[Ship Mode]]=3,1,0)</f>
        <v>0</v>
      </c>
      <c r="X308">
        <f t="shared" si="9"/>
        <v>1</v>
      </c>
      <c r="Y308">
        <v>15</v>
      </c>
      <c r="Z308">
        <v>0</v>
      </c>
    </row>
    <row r="309" spans="1:26" x14ac:dyDescent="0.2">
      <c r="A309" t="s">
        <v>1420</v>
      </c>
      <c r="B309" t="s">
        <v>530</v>
      </c>
      <c r="C309" t="s">
        <v>320</v>
      </c>
      <c r="D309" t="s">
        <v>150</v>
      </c>
      <c r="E309" t="s">
        <v>97</v>
      </c>
      <c r="F309" t="s">
        <v>67</v>
      </c>
      <c r="G309">
        <v>19143</v>
      </c>
      <c r="H309" t="s">
        <v>27</v>
      </c>
      <c r="I309">
        <v>42261</v>
      </c>
      <c r="J309">
        <v>3</v>
      </c>
      <c r="K309" t="s">
        <v>1421</v>
      </c>
      <c r="L309">
        <v>0.3</v>
      </c>
      <c r="M309" t="b">
        <v>0</v>
      </c>
      <c r="N309">
        <v>42257</v>
      </c>
      <c r="O309">
        <v>4</v>
      </c>
      <c r="P309">
        <f t="shared" si="8"/>
        <v>0</v>
      </c>
      <c r="Q309">
        <f>IF(CO_Combined4[[#This Row],[Segment]]="COR",1,0)</f>
        <v>1</v>
      </c>
      <c r="R309">
        <f>IF(CO_Combined4[[#This Row],[Region ]]="E",1,0)</f>
        <v>1</v>
      </c>
      <c r="S309">
        <f>IF(CO_Combined4[[#This Row],[Region ]]="W",1,0)</f>
        <v>0</v>
      </c>
      <c r="T309">
        <f>IF(CO_Combined4[[#This Row],[Region ]]="S",1,0)</f>
        <v>0</v>
      </c>
      <c r="U309">
        <f>IF(CO_Combined4[[#This Row],[Ship Mode]]=1,1,0)</f>
        <v>0</v>
      </c>
      <c r="V309">
        <f>IF(CO_Combined4[[#This Row],[Ship Mode]]=2,1,0)</f>
        <v>0</v>
      </c>
      <c r="W309">
        <f>IF(CO_Combined4[[#This Row],[Ship Mode]]=3,1,0)</f>
        <v>1</v>
      </c>
      <c r="X309">
        <f t="shared" si="9"/>
        <v>1</v>
      </c>
      <c r="Y309">
        <v>1</v>
      </c>
      <c r="Z309">
        <v>1</v>
      </c>
    </row>
    <row r="310" spans="1:26" x14ac:dyDescent="0.2">
      <c r="A310" t="s">
        <v>1422</v>
      </c>
      <c r="B310" t="s">
        <v>579</v>
      </c>
      <c r="C310" t="s">
        <v>577</v>
      </c>
      <c r="D310" t="s">
        <v>9</v>
      </c>
      <c r="E310" t="s">
        <v>578</v>
      </c>
      <c r="F310" t="s">
        <v>17</v>
      </c>
      <c r="G310">
        <v>95207</v>
      </c>
      <c r="H310" t="s">
        <v>18</v>
      </c>
      <c r="I310">
        <v>43089</v>
      </c>
      <c r="J310">
        <v>2</v>
      </c>
      <c r="K310" t="s">
        <v>1423</v>
      </c>
      <c r="L310">
        <v>0.2</v>
      </c>
      <c r="M310" t="b">
        <v>0</v>
      </c>
      <c r="N310">
        <v>43087</v>
      </c>
      <c r="O310">
        <v>2</v>
      </c>
      <c r="P310">
        <f t="shared" si="8"/>
        <v>1</v>
      </c>
      <c r="Q310">
        <f>IF(CO_Combined4[[#This Row],[Segment]]="COR",1,0)</f>
        <v>0</v>
      </c>
      <c r="R310">
        <f>IF(CO_Combined4[[#This Row],[Region ]]="E",1,0)</f>
        <v>0</v>
      </c>
      <c r="S310">
        <f>IF(CO_Combined4[[#This Row],[Region ]]="W",1,0)</f>
        <v>1</v>
      </c>
      <c r="T310">
        <f>IF(CO_Combined4[[#This Row],[Region ]]="S",1,0)</f>
        <v>0</v>
      </c>
      <c r="U310">
        <f>IF(CO_Combined4[[#This Row],[Ship Mode]]=1,1,0)</f>
        <v>0</v>
      </c>
      <c r="V310">
        <f>IF(CO_Combined4[[#This Row],[Ship Mode]]=2,1,0)</f>
        <v>1</v>
      </c>
      <c r="W310">
        <f>IF(CO_Combined4[[#This Row],[Ship Mode]]=3,1,0)</f>
        <v>0</v>
      </c>
      <c r="X310">
        <f t="shared" si="9"/>
        <v>1</v>
      </c>
      <c r="Y310">
        <v>9</v>
      </c>
      <c r="Z310">
        <v>1</v>
      </c>
    </row>
    <row r="311" spans="1:26" x14ac:dyDescent="0.2">
      <c r="A311" t="s">
        <v>1424</v>
      </c>
      <c r="B311" t="s">
        <v>420</v>
      </c>
      <c r="C311" t="s">
        <v>155</v>
      </c>
      <c r="D311" t="s">
        <v>150</v>
      </c>
      <c r="E311" t="s">
        <v>156</v>
      </c>
      <c r="F311" t="s">
        <v>63</v>
      </c>
      <c r="G311">
        <v>28540</v>
      </c>
      <c r="H311" t="s">
        <v>47</v>
      </c>
      <c r="I311">
        <v>42341</v>
      </c>
      <c r="J311">
        <v>2</v>
      </c>
      <c r="K311" t="s">
        <v>1425</v>
      </c>
      <c r="L311">
        <v>0.2</v>
      </c>
      <c r="M311" t="b">
        <v>0</v>
      </c>
      <c r="N311">
        <v>42338</v>
      </c>
      <c r="O311">
        <v>3</v>
      </c>
      <c r="P311">
        <f t="shared" si="8"/>
        <v>0</v>
      </c>
      <c r="Q311">
        <f>IF(CO_Combined4[[#This Row],[Segment]]="COR",1,0)</f>
        <v>1</v>
      </c>
      <c r="R311">
        <f>IF(CO_Combined4[[#This Row],[Region ]]="E",1,0)</f>
        <v>0</v>
      </c>
      <c r="S311">
        <f>IF(CO_Combined4[[#This Row],[Region ]]="W",1,0)</f>
        <v>0</v>
      </c>
      <c r="T311">
        <f>IF(CO_Combined4[[#This Row],[Region ]]="S",1,0)</f>
        <v>1</v>
      </c>
      <c r="U311">
        <f>IF(CO_Combined4[[#This Row],[Ship Mode]]=1,1,0)</f>
        <v>0</v>
      </c>
      <c r="V311">
        <f>IF(CO_Combined4[[#This Row],[Ship Mode]]=2,1,0)</f>
        <v>1</v>
      </c>
      <c r="W311">
        <f>IF(CO_Combined4[[#This Row],[Ship Mode]]=3,1,0)</f>
        <v>0</v>
      </c>
      <c r="X311">
        <f t="shared" si="9"/>
        <v>1</v>
      </c>
      <c r="Y311">
        <v>2</v>
      </c>
      <c r="Z311">
        <v>1</v>
      </c>
    </row>
    <row r="312" spans="1:26" x14ac:dyDescent="0.2">
      <c r="A312" t="s">
        <v>1426</v>
      </c>
      <c r="B312" t="s">
        <v>477</v>
      </c>
      <c r="C312" t="s">
        <v>243</v>
      </c>
      <c r="D312" t="s">
        <v>150</v>
      </c>
      <c r="E312" t="s">
        <v>66</v>
      </c>
      <c r="F312" t="s">
        <v>67</v>
      </c>
      <c r="G312">
        <v>19013</v>
      </c>
      <c r="H312" t="s">
        <v>27</v>
      </c>
      <c r="I312">
        <v>42361</v>
      </c>
      <c r="J312">
        <v>2</v>
      </c>
      <c r="K312" t="s">
        <v>1006</v>
      </c>
      <c r="L312">
        <v>0.2</v>
      </c>
      <c r="M312" t="b">
        <v>0</v>
      </c>
      <c r="N312">
        <v>42359</v>
      </c>
      <c r="O312">
        <v>2</v>
      </c>
      <c r="P312">
        <f t="shared" si="8"/>
        <v>0</v>
      </c>
      <c r="Q312">
        <f>IF(CO_Combined4[[#This Row],[Segment]]="COR",1,0)</f>
        <v>1</v>
      </c>
      <c r="R312">
        <f>IF(CO_Combined4[[#This Row],[Region ]]="E",1,0)</f>
        <v>1</v>
      </c>
      <c r="S312">
        <f>IF(CO_Combined4[[#This Row],[Region ]]="W",1,0)</f>
        <v>0</v>
      </c>
      <c r="T312">
        <f>IF(CO_Combined4[[#This Row],[Region ]]="S",1,0)</f>
        <v>0</v>
      </c>
      <c r="U312">
        <f>IF(CO_Combined4[[#This Row],[Ship Mode]]=1,1,0)</f>
        <v>0</v>
      </c>
      <c r="V312">
        <f>IF(CO_Combined4[[#This Row],[Ship Mode]]=2,1,0)</f>
        <v>1</v>
      </c>
      <c r="W312">
        <f>IF(CO_Combined4[[#This Row],[Ship Mode]]=3,1,0)</f>
        <v>0</v>
      </c>
      <c r="X312">
        <f t="shared" si="9"/>
        <v>1</v>
      </c>
      <c r="Y312">
        <v>2</v>
      </c>
      <c r="Z312">
        <v>1</v>
      </c>
    </row>
    <row r="313" spans="1:26" x14ac:dyDescent="0.2">
      <c r="A313" t="s">
        <v>1427</v>
      </c>
      <c r="B313" t="s">
        <v>558</v>
      </c>
      <c r="C313" t="s">
        <v>363</v>
      </c>
      <c r="D313" t="s">
        <v>9</v>
      </c>
      <c r="E313" t="s">
        <v>25</v>
      </c>
      <c r="F313" t="s">
        <v>26</v>
      </c>
      <c r="G313">
        <v>10009</v>
      </c>
      <c r="H313" t="s">
        <v>27</v>
      </c>
      <c r="I313">
        <v>42573</v>
      </c>
      <c r="J313">
        <v>4</v>
      </c>
      <c r="K313" t="s">
        <v>1428</v>
      </c>
      <c r="L313">
        <v>0</v>
      </c>
      <c r="M313" t="b">
        <v>0</v>
      </c>
      <c r="N313">
        <v>42568</v>
      </c>
      <c r="O313">
        <v>5</v>
      </c>
      <c r="P313">
        <f t="shared" si="8"/>
        <v>1</v>
      </c>
      <c r="Q313">
        <f>IF(CO_Combined4[[#This Row],[Segment]]="COR",1,0)</f>
        <v>0</v>
      </c>
      <c r="R313">
        <f>IF(CO_Combined4[[#This Row],[Region ]]="E",1,0)</f>
        <v>1</v>
      </c>
      <c r="S313">
        <f>IF(CO_Combined4[[#This Row],[Region ]]="W",1,0)</f>
        <v>0</v>
      </c>
      <c r="T313">
        <f>IF(CO_Combined4[[#This Row],[Region ]]="S",1,0)</f>
        <v>0</v>
      </c>
      <c r="U313">
        <f>IF(CO_Combined4[[#This Row],[Ship Mode]]=1,1,0)</f>
        <v>0</v>
      </c>
      <c r="V313">
        <f>IF(CO_Combined4[[#This Row],[Ship Mode]]=2,1,0)</f>
        <v>0</v>
      </c>
      <c r="W313">
        <f>IF(CO_Combined4[[#This Row],[Ship Mode]]=3,1,0)</f>
        <v>0</v>
      </c>
      <c r="X313">
        <f t="shared" si="9"/>
        <v>1</v>
      </c>
      <c r="Y313">
        <v>2</v>
      </c>
      <c r="Z313">
        <v>0</v>
      </c>
    </row>
    <row r="314" spans="1:26" x14ac:dyDescent="0.2">
      <c r="A314" t="s">
        <v>1429</v>
      </c>
      <c r="B314" t="s">
        <v>451</v>
      </c>
      <c r="C314" t="s">
        <v>204</v>
      </c>
      <c r="D314" t="s">
        <v>9</v>
      </c>
      <c r="E314" t="s">
        <v>205</v>
      </c>
      <c r="F314" t="s">
        <v>137</v>
      </c>
      <c r="G314">
        <v>45231</v>
      </c>
      <c r="H314" t="s">
        <v>27</v>
      </c>
      <c r="I314">
        <v>41752</v>
      </c>
      <c r="J314">
        <v>3</v>
      </c>
      <c r="K314" t="s">
        <v>1431</v>
      </c>
      <c r="L314">
        <v>0</v>
      </c>
      <c r="M314" t="b">
        <v>0</v>
      </c>
      <c r="N314">
        <v>41748</v>
      </c>
      <c r="O314">
        <v>4</v>
      </c>
      <c r="P314">
        <f t="shared" si="8"/>
        <v>1</v>
      </c>
      <c r="Q314">
        <f>IF(CO_Combined4[[#This Row],[Segment]]="COR",1,0)</f>
        <v>0</v>
      </c>
      <c r="R314">
        <f>IF(CO_Combined4[[#This Row],[Region ]]="E",1,0)</f>
        <v>1</v>
      </c>
      <c r="S314">
        <f>IF(CO_Combined4[[#This Row],[Region ]]="W",1,0)</f>
        <v>0</v>
      </c>
      <c r="T314">
        <f>IF(CO_Combined4[[#This Row],[Region ]]="S",1,0)</f>
        <v>0</v>
      </c>
      <c r="U314">
        <f>IF(CO_Combined4[[#This Row],[Ship Mode]]=1,1,0)</f>
        <v>0</v>
      </c>
      <c r="V314">
        <f>IF(CO_Combined4[[#This Row],[Ship Mode]]=2,1,0)</f>
        <v>0</v>
      </c>
      <c r="W314">
        <f>IF(CO_Combined4[[#This Row],[Ship Mode]]=3,1,0)</f>
        <v>1</v>
      </c>
      <c r="X314">
        <f t="shared" si="9"/>
        <v>1</v>
      </c>
      <c r="Y314">
        <v>14</v>
      </c>
      <c r="Z314">
        <v>0</v>
      </c>
    </row>
    <row r="315" spans="1:26" x14ac:dyDescent="0.2">
      <c r="A315" t="s">
        <v>1432</v>
      </c>
      <c r="B315" t="s">
        <v>543</v>
      </c>
      <c r="C315" t="s">
        <v>338</v>
      </c>
      <c r="D315" t="s">
        <v>9</v>
      </c>
      <c r="E315" t="s">
        <v>339</v>
      </c>
      <c r="F315" t="s">
        <v>22</v>
      </c>
      <c r="G315">
        <v>75061</v>
      </c>
      <c r="H315" t="s">
        <v>12</v>
      </c>
      <c r="I315">
        <v>42496</v>
      </c>
      <c r="J315">
        <v>4</v>
      </c>
      <c r="K315" t="s">
        <v>1216</v>
      </c>
      <c r="L315">
        <v>0.2</v>
      </c>
      <c r="M315" t="b">
        <v>0</v>
      </c>
      <c r="N315">
        <v>42492</v>
      </c>
      <c r="O315">
        <v>4</v>
      </c>
      <c r="P315">
        <f t="shared" si="8"/>
        <v>1</v>
      </c>
      <c r="Q315">
        <f>IF(CO_Combined4[[#This Row],[Segment]]="COR",1,0)</f>
        <v>0</v>
      </c>
      <c r="R315">
        <f>IF(CO_Combined4[[#This Row],[Region ]]="E",1,0)</f>
        <v>0</v>
      </c>
      <c r="S315">
        <f>IF(CO_Combined4[[#This Row],[Region ]]="W",1,0)</f>
        <v>0</v>
      </c>
      <c r="T315">
        <f>IF(CO_Combined4[[#This Row],[Region ]]="S",1,0)</f>
        <v>0</v>
      </c>
      <c r="U315">
        <f>IF(CO_Combined4[[#This Row],[Ship Mode]]=1,1,0)</f>
        <v>0</v>
      </c>
      <c r="V315">
        <f>IF(CO_Combined4[[#This Row],[Ship Mode]]=2,1,0)</f>
        <v>0</v>
      </c>
      <c r="W315">
        <f>IF(CO_Combined4[[#This Row],[Ship Mode]]=3,1,0)</f>
        <v>0</v>
      </c>
      <c r="X315">
        <f t="shared" si="9"/>
        <v>1</v>
      </c>
      <c r="Y315">
        <v>8</v>
      </c>
      <c r="Z315">
        <v>1</v>
      </c>
    </row>
    <row r="316" spans="1:26" x14ac:dyDescent="0.2">
      <c r="A316" t="s">
        <v>1434</v>
      </c>
      <c r="B316" t="s">
        <v>77</v>
      </c>
      <c r="C316" t="s">
        <v>65</v>
      </c>
      <c r="D316" t="s">
        <v>9</v>
      </c>
      <c r="E316" t="s">
        <v>78</v>
      </c>
      <c r="F316" t="s">
        <v>79</v>
      </c>
      <c r="G316">
        <v>1852</v>
      </c>
      <c r="H316" t="s">
        <v>27</v>
      </c>
      <c r="I316">
        <v>41976</v>
      </c>
      <c r="J316">
        <v>2</v>
      </c>
      <c r="K316" t="s">
        <v>1435</v>
      </c>
      <c r="L316">
        <v>0</v>
      </c>
      <c r="M316" t="b">
        <v>0</v>
      </c>
      <c r="N316">
        <v>41974</v>
      </c>
      <c r="O316">
        <v>2</v>
      </c>
      <c r="P316">
        <f t="shared" si="8"/>
        <v>1</v>
      </c>
      <c r="Q316">
        <f>IF(CO_Combined4[[#This Row],[Segment]]="COR",1,0)</f>
        <v>0</v>
      </c>
      <c r="R316">
        <f>IF(CO_Combined4[[#This Row],[Region ]]="E",1,0)</f>
        <v>1</v>
      </c>
      <c r="S316">
        <f>IF(CO_Combined4[[#This Row],[Region ]]="W",1,0)</f>
        <v>0</v>
      </c>
      <c r="T316">
        <f>IF(CO_Combined4[[#This Row],[Region ]]="S",1,0)</f>
        <v>0</v>
      </c>
      <c r="U316">
        <f>IF(CO_Combined4[[#This Row],[Ship Mode]]=1,1,0)</f>
        <v>0</v>
      </c>
      <c r="V316">
        <f>IF(CO_Combined4[[#This Row],[Ship Mode]]=2,1,0)</f>
        <v>1</v>
      </c>
      <c r="W316">
        <f>IF(CO_Combined4[[#This Row],[Ship Mode]]=3,1,0)</f>
        <v>0</v>
      </c>
      <c r="X316">
        <f t="shared" si="9"/>
        <v>1</v>
      </c>
      <c r="Y316">
        <v>7</v>
      </c>
      <c r="Z316">
        <v>0</v>
      </c>
    </row>
    <row r="317" spans="1:26" x14ac:dyDescent="0.2">
      <c r="A317" t="s">
        <v>1438</v>
      </c>
      <c r="B317" t="s">
        <v>80</v>
      </c>
      <c r="C317" t="s">
        <v>81</v>
      </c>
      <c r="D317" t="s">
        <v>9</v>
      </c>
      <c r="E317" t="s">
        <v>82</v>
      </c>
      <c r="F317" t="s">
        <v>83</v>
      </c>
      <c r="G317">
        <v>73120</v>
      </c>
      <c r="H317" t="s">
        <v>12</v>
      </c>
      <c r="I317">
        <v>42332</v>
      </c>
      <c r="J317">
        <v>4</v>
      </c>
      <c r="K317" t="s">
        <v>1439</v>
      </c>
      <c r="L317">
        <v>0</v>
      </c>
      <c r="M317" t="b">
        <v>0</v>
      </c>
      <c r="N317">
        <v>42325</v>
      </c>
      <c r="O317">
        <v>7</v>
      </c>
      <c r="P317">
        <f t="shared" si="8"/>
        <v>1</v>
      </c>
      <c r="Q317">
        <f>IF(CO_Combined4[[#This Row],[Segment]]="COR",1,0)</f>
        <v>0</v>
      </c>
      <c r="R317">
        <f>IF(CO_Combined4[[#This Row],[Region ]]="E",1,0)</f>
        <v>0</v>
      </c>
      <c r="S317">
        <f>IF(CO_Combined4[[#This Row],[Region ]]="W",1,0)</f>
        <v>0</v>
      </c>
      <c r="T317">
        <f>IF(CO_Combined4[[#This Row],[Region ]]="S",1,0)</f>
        <v>0</v>
      </c>
      <c r="U317">
        <f>IF(CO_Combined4[[#This Row],[Ship Mode]]=1,1,0)</f>
        <v>0</v>
      </c>
      <c r="V317">
        <f>IF(CO_Combined4[[#This Row],[Ship Mode]]=2,1,0)</f>
        <v>0</v>
      </c>
      <c r="W317">
        <f>IF(CO_Combined4[[#This Row],[Ship Mode]]=3,1,0)</f>
        <v>0</v>
      </c>
      <c r="X317">
        <f t="shared" si="9"/>
        <v>1</v>
      </c>
      <c r="Y317">
        <v>12</v>
      </c>
      <c r="Z317">
        <v>0</v>
      </c>
    </row>
    <row r="318" spans="1:26" x14ac:dyDescent="0.2">
      <c r="A318" t="s">
        <v>1440</v>
      </c>
      <c r="B318" t="s">
        <v>449</v>
      </c>
      <c r="C318" t="s">
        <v>202</v>
      </c>
      <c r="D318" t="s">
        <v>9</v>
      </c>
      <c r="E318" t="s">
        <v>176</v>
      </c>
      <c r="F318" t="s">
        <v>79</v>
      </c>
      <c r="G318">
        <v>1841</v>
      </c>
      <c r="H318" t="s">
        <v>27</v>
      </c>
      <c r="I318">
        <v>42269</v>
      </c>
      <c r="J318">
        <v>2</v>
      </c>
      <c r="K318" t="s">
        <v>1441</v>
      </c>
      <c r="L318">
        <v>0</v>
      </c>
      <c r="M318" t="b">
        <v>0</v>
      </c>
      <c r="N318">
        <v>42267</v>
      </c>
      <c r="O318">
        <v>2</v>
      </c>
      <c r="P318">
        <f t="shared" si="8"/>
        <v>1</v>
      </c>
      <c r="Q318">
        <f>IF(CO_Combined4[[#This Row],[Segment]]="COR",1,0)</f>
        <v>0</v>
      </c>
      <c r="R318">
        <f>IF(CO_Combined4[[#This Row],[Region ]]="E",1,0)</f>
        <v>1</v>
      </c>
      <c r="S318">
        <f>IF(CO_Combined4[[#This Row],[Region ]]="W",1,0)</f>
        <v>0</v>
      </c>
      <c r="T318">
        <f>IF(CO_Combined4[[#This Row],[Region ]]="S",1,0)</f>
        <v>0</v>
      </c>
      <c r="U318">
        <f>IF(CO_Combined4[[#This Row],[Ship Mode]]=1,1,0)</f>
        <v>0</v>
      </c>
      <c r="V318">
        <f>IF(CO_Combined4[[#This Row],[Ship Mode]]=2,1,0)</f>
        <v>1</v>
      </c>
      <c r="W318">
        <f>IF(CO_Combined4[[#This Row],[Ship Mode]]=3,1,0)</f>
        <v>0</v>
      </c>
      <c r="X318">
        <f t="shared" si="9"/>
        <v>1</v>
      </c>
      <c r="Y318">
        <v>6</v>
      </c>
      <c r="Z318">
        <v>0</v>
      </c>
    </row>
    <row r="319" spans="1:26" x14ac:dyDescent="0.2">
      <c r="A319" t="s">
        <v>1442</v>
      </c>
      <c r="B319" t="s">
        <v>554</v>
      </c>
      <c r="C319" t="s">
        <v>357</v>
      </c>
      <c r="D319" t="s">
        <v>90</v>
      </c>
      <c r="E319" t="s">
        <v>358</v>
      </c>
      <c r="F319" t="s">
        <v>166</v>
      </c>
      <c r="G319">
        <v>33437</v>
      </c>
      <c r="H319" t="s">
        <v>47</v>
      </c>
      <c r="I319">
        <v>41986</v>
      </c>
      <c r="J319">
        <v>4</v>
      </c>
      <c r="K319" t="s">
        <v>1443</v>
      </c>
      <c r="L319">
        <v>0</v>
      </c>
      <c r="M319" t="b">
        <v>0</v>
      </c>
      <c r="N319">
        <v>41980</v>
      </c>
      <c r="O319">
        <v>6</v>
      </c>
      <c r="P319">
        <f t="shared" si="8"/>
        <v>0</v>
      </c>
      <c r="Q319">
        <f>IF(CO_Combined4[[#This Row],[Segment]]="COR",1,0)</f>
        <v>0</v>
      </c>
      <c r="R319">
        <f>IF(CO_Combined4[[#This Row],[Region ]]="E",1,0)</f>
        <v>0</v>
      </c>
      <c r="S319">
        <f>IF(CO_Combined4[[#This Row],[Region ]]="W",1,0)</f>
        <v>0</v>
      </c>
      <c r="T319">
        <f>IF(CO_Combined4[[#This Row],[Region ]]="S",1,0)</f>
        <v>1</v>
      </c>
      <c r="U319">
        <f>IF(CO_Combined4[[#This Row],[Ship Mode]]=1,1,0)</f>
        <v>0</v>
      </c>
      <c r="V319">
        <f>IF(CO_Combined4[[#This Row],[Ship Mode]]=2,1,0)</f>
        <v>0</v>
      </c>
      <c r="W319">
        <f>IF(CO_Combined4[[#This Row],[Ship Mode]]=3,1,0)</f>
        <v>0</v>
      </c>
      <c r="X319">
        <f t="shared" si="9"/>
        <v>1</v>
      </c>
      <c r="Y319">
        <v>7</v>
      </c>
      <c r="Z319">
        <v>0</v>
      </c>
    </row>
    <row r="320" spans="1:26" x14ac:dyDescent="0.2">
      <c r="A320" t="s">
        <v>1444</v>
      </c>
      <c r="B320" t="s">
        <v>570</v>
      </c>
      <c r="C320" t="s">
        <v>382</v>
      </c>
      <c r="D320" t="s">
        <v>9</v>
      </c>
      <c r="E320" t="s">
        <v>76</v>
      </c>
      <c r="F320" t="s">
        <v>17</v>
      </c>
      <c r="G320">
        <v>92037</v>
      </c>
      <c r="H320" t="s">
        <v>18</v>
      </c>
      <c r="I320">
        <v>42410</v>
      </c>
      <c r="J320">
        <v>4</v>
      </c>
      <c r="K320" t="s">
        <v>1446</v>
      </c>
      <c r="L320">
        <v>0.1</v>
      </c>
      <c r="M320" t="b">
        <v>0</v>
      </c>
      <c r="N320">
        <v>42405</v>
      </c>
      <c r="O320">
        <v>5</v>
      </c>
      <c r="P320">
        <f t="shared" si="8"/>
        <v>1</v>
      </c>
      <c r="Q320">
        <f>IF(CO_Combined4[[#This Row],[Segment]]="COR",1,0)</f>
        <v>0</v>
      </c>
      <c r="R320">
        <f>IF(CO_Combined4[[#This Row],[Region ]]="E",1,0)</f>
        <v>0</v>
      </c>
      <c r="S320">
        <f>IF(CO_Combined4[[#This Row],[Region ]]="W",1,0)</f>
        <v>1</v>
      </c>
      <c r="T320">
        <f>IF(CO_Combined4[[#This Row],[Region ]]="S",1,0)</f>
        <v>0</v>
      </c>
      <c r="U320">
        <f>IF(CO_Combined4[[#This Row],[Ship Mode]]=1,1,0)</f>
        <v>0</v>
      </c>
      <c r="V320">
        <f>IF(CO_Combined4[[#This Row],[Ship Mode]]=2,1,0)</f>
        <v>0</v>
      </c>
      <c r="W320">
        <f>IF(CO_Combined4[[#This Row],[Ship Mode]]=3,1,0)</f>
        <v>0</v>
      </c>
      <c r="X320">
        <f t="shared" si="9"/>
        <v>1</v>
      </c>
      <c r="Y320">
        <v>14</v>
      </c>
      <c r="Z320">
        <v>1</v>
      </c>
    </row>
    <row r="321" spans="1:26" x14ac:dyDescent="0.2">
      <c r="A321" t="s">
        <v>1447</v>
      </c>
      <c r="B321" t="s">
        <v>461</v>
      </c>
      <c r="C321" t="s">
        <v>219</v>
      </c>
      <c r="D321" t="s">
        <v>9</v>
      </c>
      <c r="E321" t="s">
        <v>41</v>
      </c>
      <c r="F321" t="s">
        <v>95</v>
      </c>
      <c r="G321">
        <v>24153</v>
      </c>
      <c r="H321" t="s">
        <v>47</v>
      </c>
      <c r="I321">
        <v>42900</v>
      </c>
      <c r="J321">
        <v>4</v>
      </c>
      <c r="K321" t="s">
        <v>1448</v>
      </c>
      <c r="L321">
        <v>0</v>
      </c>
      <c r="M321" t="b">
        <v>0</v>
      </c>
      <c r="N321">
        <v>42895</v>
      </c>
      <c r="O321">
        <v>5</v>
      </c>
      <c r="P321">
        <f t="shared" si="8"/>
        <v>1</v>
      </c>
      <c r="Q321">
        <f>IF(CO_Combined4[[#This Row],[Segment]]="COR",1,0)</f>
        <v>0</v>
      </c>
      <c r="R321">
        <f>IF(CO_Combined4[[#This Row],[Region ]]="E",1,0)</f>
        <v>0</v>
      </c>
      <c r="S321">
        <f>IF(CO_Combined4[[#This Row],[Region ]]="W",1,0)</f>
        <v>0</v>
      </c>
      <c r="T321">
        <f>IF(CO_Combined4[[#This Row],[Region ]]="S",1,0)</f>
        <v>1</v>
      </c>
      <c r="U321">
        <f>IF(CO_Combined4[[#This Row],[Ship Mode]]=1,1,0)</f>
        <v>0</v>
      </c>
      <c r="V321">
        <f>IF(CO_Combined4[[#This Row],[Ship Mode]]=2,1,0)</f>
        <v>0</v>
      </c>
      <c r="W321">
        <f>IF(CO_Combined4[[#This Row],[Ship Mode]]=3,1,0)</f>
        <v>0</v>
      </c>
      <c r="X321">
        <f t="shared" si="9"/>
        <v>1</v>
      </c>
      <c r="Y321">
        <v>4</v>
      </c>
      <c r="Z321">
        <v>0</v>
      </c>
    </row>
    <row r="322" spans="1:26" x14ac:dyDescent="0.2">
      <c r="A322" t="s">
        <v>1449</v>
      </c>
      <c r="B322" t="s">
        <v>498</v>
      </c>
      <c r="C322" t="s">
        <v>272</v>
      </c>
      <c r="D322" t="s">
        <v>150</v>
      </c>
      <c r="E322" t="s">
        <v>118</v>
      </c>
      <c r="F322" t="s">
        <v>119</v>
      </c>
      <c r="G322">
        <v>48205</v>
      </c>
      <c r="H322" t="s">
        <v>12</v>
      </c>
      <c r="I322">
        <v>42587</v>
      </c>
      <c r="J322">
        <v>4</v>
      </c>
      <c r="K322" t="s">
        <v>1450</v>
      </c>
      <c r="L322">
        <v>0.2</v>
      </c>
      <c r="M322" t="b">
        <v>0</v>
      </c>
      <c r="N322">
        <v>42582</v>
      </c>
      <c r="O322">
        <v>5</v>
      </c>
      <c r="P322">
        <f t="shared" ref="P322:P385" si="10">IF($D322="CON",1,0)</f>
        <v>0</v>
      </c>
      <c r="Q322">
        <f>IF(CO_Combined4[[#This Row],[Segment]]="COR",1,0)</f>
        <v>1</v>
      </c>
      <c r="R322">
        <f>IF(CO_Combined4[[#This Row],[Region ]]="E",1,0)</f>
        <v>0</v>
      </c>
      <c r="S322">
        <f>IF(CO_Combined4[[#This Row],[Region ]]="W",1,0)</f>
        <v>0</v>
      </c>
      <c r="T322">
        <f>IF(CO_Combined4[[#This Row],[Region ]]="S",1,0)</f>
        <v>0</v>
      </c>
      <c r="U322">
        <f>IF(CO_Combined4[[#This Row],[Ship Mode]]=1,1,0)</f>
        <v>0</v>
      </c>
      <c r="V322">
        <f>IF(CO_Combined4[[#This Row],[Ship Mode]]=2,1,0)</f>
        <v>0</v>
      </c>
      <c r="W322">
        <f>IF(CO_Combined4[[#This Row],[Ship Mode]]=3,1,0)</f>
        <v>0</v>
      </c>
      <c r="X322">
        <f t="shared" ref="X322:X385" si="11">IF($M322=$M$2,1,0)</f>
        <v>1</v>
      </c>
      <c r="Y322">
        <v>7</v>
      </c>
      <c r="Z322">
        <v>1</v>
      </c>
    </row>
    <row r="323" spans="1:26" x14ac:dyDescent="0.2">
      <c r="A323" t="s">
        <v>1451</v>
      </c>
      <c r="B323" t="s">
        <v>393</v>
      </c>
      <c r="C323" t="s">
        <v>101</v>
      </c>
      <c r="D323" t="s">
        <v>90</v>
      </c>
      <c r="E323" t="s">
        <v>85</v>
      </c>
      <c r="F323" t="s">
        <v>86</v>
      </c>
      <c r="G323">
        <v>98105</v>
      </c>
      <c r="H323" t="s">
        <v>18</v>
      </c>
      <c r="I323">
        <v>43052</v>
      </c>
      <c r="J323">
        <v>4</v>
      </c>
      <c r="K323" t="s">
        <v>1452</v>
      </c>
      <c r="L323">
        <v>6.6666666666666666E-2</v>
      </c>
      <c r="M323" t="b">
        <v>1</v>
      </c>
      <c r="N323">
        <v>43045</v>
      </c>
      <c r="O323">
        <v>7</v>
      </c>
      <c r="P323">
        <f t="shared" si="10"/>
        <v>0</v>
      </c>
      <c r="Q323">
        <f>IF(CO_Combined4[[#This Row],[Segment]]="COR",1,0)</f>
        <v>0</v>
      </c>
      <c r="R323">
        <f>IF(CO_Combined4[[#This Row],[Region ]]="E",1,0)</f>
        <v>0</v>
      </c>
      <c r="S323">
        <f>IF(CO_Combined4[[#This Row],[Region ]]="W",1,0)</f>
        <v>1</v>
      </c>
      <c r="T323">
        <f>IF(CO_Combined4[[#This Row],[Region ]]="S",1,0)</f>
        <v>0</v>
      </c>
      <c r="U323">
        <f>IF(CO_Combined4[[#This Row],[Ship Mode]]=1,1,0)</f>
        <v>0</v>
      </c>
      <c r="V323">
        <f>IF(CO_Combined4[[#This Row],[Ship Mode]]=2,1,0)</f>
        <v>0</v>
      </c>
      <c r="W323">
        <f>IF(CO_Combined4[[#This Row],[Ship Mode]]=3,1,0)</f>
        <v>0</v>
      </c>
      <c r="X323">
        <f t="shared" si="11"/>
        <v>0</v>
      </c>
      <c r="Y323">
        <v>12</v>
      </c>
      <c r="Z323">
        <v>1</v>
      </c>
    </row>
    <row r="324" spans="1:26" x14ac:dyDescent="0.2">
      <c r="A324" t="s">
        <v>1453</v>
      </c>
      <c r="B324" t="s">
        <v>468</v>
      </c>
      <c r="C324" t="s">
        <v>228</v>
      </c>
      <c r="D324" t="s">
        <v>150</v>
      </c>
      <c r="E324" t="s">
        <v>229</v>
      </c>
      <c r="F324" t="s">
        <v>230</v>
      </c>
      <c r="G324">
        <v>89115</v>
      </c>
      <c r="H324" t="s">
        <v>18</v>
      </c>
      <c r="I324">
        <v>42264</v>
      </c>
      <c r="J324">
        <v>3</v>
      </c>
      <c r="K324" t="s">
        <v>1454</v>
      </c>
      <c r="L324">
        <v>0.25</v>
      </c>
      <c r="M324" t="b">
        <v>0</v>
      </c>
      <c r="N324">
        <v>42260</v>
      </c>
      <c r="O324">
        <v>4</v>
      </c>
      <c r="P324">
        <f t="shared" si="10"/>
        <v>0</v>
      </c>
      <c r="Q324">
        <f>IF(CO_Combined4[[#This Row],[Segment]]="COR",1,0)</f>
        <v>1</v>
      </c>
      <c r="R324">
        <f>IF(CO_Combined4[[#This Row],[Region ]]="E",1,0)</f>
        <v>0</v>
      </c>
      <c r="S324">
        <f>IF(CO_Combined4[[#This Row],[Region ]]="W",1,0)</f>
        <v>1</v>
      </c>
      <c r="T324">
        <f>IF(CO_Combined4[[#This Row],[Region ]]="S",1,0)</f>
        <v>0</v>
      </c>
      <c r="U324">
        <f>IF(CO_Combined4[[#This Row],[Ship Mode]]=1,1,0)</f>
        <v>0</v>
      </c>
      <c r="V324">
        <f>IF(CO_Combined4[[#This Row],[Ship Mode]]=2,1,0)</f>
        <v>0</v>
      </c>
      <c r="W324">
        <f>IF(CO_Combined4[[#This Row],[Ship Mode]]=3,1,0)</f>
        <v>1</v>
      </c>
      <c r="X324">
        <f t="shared" si="11"/>
        <v>1</v>
      </c>
      <c r="Y324">
        <v>5</v>
      </c>
      <c r="Z324">
        <v>1</v>
      </c>
    </row>
    <row r="325" spans="1:26" x14ac:dyDescent="0.2">
      <c r="A325" t="s">
        <v>1455</v>
      </c>
      <c r="B325" t="s">
        <v>445</v>
      </c>
      <c r="C325" t="s">
        <v>196</v>
      </c>
      <c r="D325" t="s">
        <v>9</v>
      </c>
      <c r="E325" t="s">
        <v>153</v>
      </c>
      <c r="F325" t="s">
        <v>124</v>
      </c>
      <c r="G325">
        <v>60610</v>
      </c>
      <c r="H325" t="s">
        <v>12</v>
      </c>
      <c r="I325">
        <v>42855</v>
      </c>
      <c r="J325">
        <v>4</v>
      </c>
      <c r="K325" t="s">
        <v>1456</v>
      </c>
      <c r="L325">
        <v>0.5</v>
      </c>
      <c r="M325" t="b">
        <v>0</v>
      </c>
      <c r="N325">
        <v>42849</v>
      </c>
      <c r="O325">
        <v>6</v>
      </c>
      <c r="P325">
        <f t="shared" si="10"/>
        <v>1</v>
      </c>
      <c r="Q325">
        <f>IF(CO_Combined4[[#This Row],[Segment]]="COR",1,0)</f>
        <v>0</v>
      </c>
      <c r="R325">
        <f>IF(CO_Combined4[[#This Row],[Region ]]="E",1,0)</f>
        <v>0</v>
      </c>
      <c r="S325">
        <f>IF(CO_Combined4[[#This Row],[Region ]]="W",1,0)</f>
        <v>0</v>
      </c>
      <c r="T325">
        <f>IF(CO_Combined4[[#This Row],[Region ]]="S",1,0)</f>
        <v>0</v>
      </c>
      <c r="U325">
        <f>IF(CO_Combined4[[#This Row],[Ship Mode]]=1,1,0)</f>
        <v>0</v>
      </c>
      <c r="V325">
        <f>IF(CO_Combined4[[#This Row],[Ship Mode]]=2,1,0)</f>
        <v>0</v>
      </c>
      <c r="W325">
        <f>IF(CO_Combined4[[#This Row],[Ship Mode]]=3,1,0)</f>
        <v>0</v>
      </c>
      <c r="X325">
        <f t="shared" si="11"/>
        <v>1</v>
      </c>
      <c r="Y325">
        <v>6</v>
      </c>
      <c r="Z325">
        <v>1</v>
      </c>
    </row>
    <row r="326" spans="1:26" x14ac:dyDescent="0.2">
      <c r="A326" t="s">
        <v>1457</v>
      </c>
      <c r="B326" t="s">
        <v>385</v>
      </c>
      <c r="C326" t="s">
        <v>84</v>
      </c>
      <c r="D326" t="s">
        <v>9</v>
      </c>
      <c r="E326" t="s">
        <v>87</v>
      </c>
      <c r="F326" t="s">
        <v>22</v>
      </c>
      <c r="G326">
        <v>76017</v>
      </c>
      <c r="H326" t="s">
        <v>12</v>
      </c>
      <c r="I326">
        <v>41694</v>
      </c>
      <c r="J326">
        <v>4</v>
      </c>
      <c r="K326" t="s">
        <v>1348</v>
      </c>
      <c r="L326">
        <v>0.2</v>
      </c>
      <c r="M326" t="b">
        <v>0</v>
      </c>
      <c r="N326">
        <v>41688</v>
      </c>
      <c r="O326">
        <v>6</v>
      </c>
      <c r="P326">
        <f t="shared" si="10"/>
        <v>1</v>
      </c>
      <c r="Q326">
        <f>IF(CO_Combined4[[#This Row],[Segment]]="COR",1,0)</f>
        <v>0</v>
      </c>
      <c r="R326">
        <f>IF(CO_Combined4[[#This Row],[Region ]]="E",1,0)</f>
        <v>0</v>
      </c>
      <c r="S326">
        <f>IF(CO_Combined4[[#This Row],[Region ]]="W",1,0)</f>
        <v>0</v>
      </c>
      <c r="T326">
        <f>IF(CO_Combined4[[#This Row],[Region ]]="S",1,0)</f>
        <v>0</v>
      </c>
      <c r="U326">
        <f>IF(CO_Combined4[[#This Row],[Ship Mode]]=1,1,0)</f>
        <v>0</v>
      </c>
      <c r="V326">
        <f>IF(CO_Combined4[[#This Row],[Ship Mode]]=2,1,0)</f>
        <v>0</v>
      </c>
      <c r="W326">
        <f>IF(CO_Combined4[[#This Row],[Ship Mode]]=3,1,0)</f>
        <v>0</v>
      </c>
      <c r="X326">
        <f t="shared" si="11"/>
        <v>1</v>
      </c>
      <c r="Y326">
        <v>2</v>
      </c>
      <c r="Z326">
        <v>1</v>
      </c>
    </row>
    <row r="327" spans="1:26" x14ac:dyDescent="0.2">
      <c r="A327" t="s">
        <v>1458</v>
      </c>
      <c r="B327" t="s">
        <v>517</v>
      </c>
      <c r="C327" t="s">
        <v>301</v>
      </c>
      <c r="D327" t="s">
        <v>9</v>
      </c>
      <c r="E327" t="s">
        <v>302</v>
      </c>
      <c r="F327" t="s">
        <v>124</v>
      </c>
      <c r="G327">
        <v>60016</v>
      </c>
      <c r="H327" t="s">
        <v>12</v>
      </c>
      <c r="I327">
        <v>42264</v>
      </c>
      <c r="J327">
        <v>4</v>
      </c>
      <c r="K327" t="s">
        <v>1459</v>
      </c>
      <c r="L327">
        <v>0.7</v>
      </c>
      <c r="M327" t="b">
        <v>0</v>
      </c>
      <c r="N327">
        <v>42260</v>
      </c>
      <c r="O327">
        <v>4</v>
      </c>
      <c r="P327">
        <f t="shared" si="10"/>
        <v>1</v>
      </c>
      <c r="Q327">
        <f>IF(CO_Combined4[[#This Row],[Segment]]="COR",1,0)</f>
        <v>0</v>
      </c>
      <c r="R327">
        <f>IF(CO_Combined4[[#This Row],[Region ]]="E",1,0)</f>
        <v>0</v>
      </c>
      <c r="S327">
        <f>IF(CO_Combined4[[#This Row],[Region ]]="W",1,0)</f>
        <v>0</v>
      </c>
      <c r="T327">
        <f>IF(CO_Combined4[[#This Row],[Region ]]="S",1,0)</f>
        <v>0</v>
      </c>
      <c r="U327">
        <f>IF(CO_Combined4[[#This Row],[Ship Mode]]=1,1,0)</f>
        <v>0</v>
      </c>
      <c r="V327">
        <f>IF(CO_Combined4[[#This Row],[Ship Mode]]=2,1,0)</f>
        <v>0</v>
      </c>
      <c r="W327">
        <f>IF(CO_Combined4[[#This Row],[Ship Mode]]=3,1,0)</f>
        <v>0</v>
      </c>
      <c r="X327">
        <f t="shared" si="11"/>
        <v>1</v>
      </c>
      <c r="Y327">
        <v>4</v>
      </c>
      <c r="Z327">
        <v>1</v>
      </c>
    </row>
    <row r="328" spans="1:26" x14ac:dyDescent="0.2">
      <c r="A328" t="s">
        <v>1460</v>
      </c>
      <c r="B328" t="s">
        <v>512</v>
      </c>
      <c r="C328" t="s">
        <v>292</v>
      </c>
      <c r="D328" t="s">
        <v>9</v>
      </c>
      <c r="E328" t="s">
        <v>293</v>
      </c>
      <c r="F328" t="s">
        <v>26</v>
      </c>
      <c r="G328">
        <v>14609</v>
      </c>
      <c r="H328" t="s">
        <v>27</v>
      </c>
      <c r="I328">
        <v>42008</v>
      </c>
      <c r="J328">
        <v>4</v>
      </c>
      <c r="K328" t="s">
        <v>726</v>
      </c>
      <c r="L328">
        <v>0.1</v>
      </c>
      <c r="M328" t="b">
        <v>1</v>
      </c>
      <c r="N328">
        <v>42003</v>
      </c>
      <c r="O328">
        <v>5</v>
      </c>
      <c r="P328">
        <f t="shared" si="10"/>
        <v>1</v>
      </c>
      <c r="Q328">
        <f>IF(CO_Combined4[[#This Row],[Segment]]="COR",1,0)</f>
        <v>0</v>
      </c>
      <c r="R328">
        <f>IF(CO_Combined4[[#This Row],[Region ]]="E",1,0)</f>
        <v>1</v>
      </c>
      <c r="S328">
        <f>IF(CO_Combined4[[#This Row],[Region ]]="W",1,0)</f>
        <v>0</v>
      </c>
      <c r="T328">
        <f>IF(CO_Combined4[[#This Row],[Region ]]="S",1,0)</f>
        <v>0</v>
      </c>
      <c r="U328">
        <f>IF(CO_Combined4[[#This Row],[Ship Mode]]=1,1,0)</f>
        <v>0</v>
      </c>
      <c r="V328">
        <f>IF(CO_Combined4[[#This Row],[Ship Mode]]=2,1,0)</f>
        <v>0</v>
      </c>
      <c r="W328">
        <f>IF(CO_Combined4[[#This Row],[Ship Mode]]=3,1,0)</f>
        <v>0</v>
      </c>
      <c r="X328">
        <f t="shared" si="11"/>
        <v>0</v>
      </c>
      <c r="Y328">
        <v>10</v>
      </c>
      <c r="Z328">
        <v>1</v>
      </c>
    </row>
    <row r="329" spans="1:26" x14ac:dyDescent="0.2">
      <c r="A329" t="s">
        <v>1462</v>
      </c>
      <c r="B329" t="s">
        <v>432</v>
      </c>
      <c r="C329" t="s">
        <v>174</v>
      </c>
      <c r="D329" t="s">
        <v>9</v>
      </c>
      <c r="E329" t="s">
        <v>16</v>
      </c>
      <c r="F329" t="s">
        <v>17</v>
      </c>
      <c r="G329">
        <v>94109</v>
      </c>
      <c r="H329" t="s">
        <v>18</v>
      </c>
      <c r="I329">
        <v>42448</v>
      </c>
      <c r="J329">
        <v>3</v>
      </c>
      <c r="K329" t="s">
        <v>1463</v>
      </c>
      <c r="L329">
        <v>0.2</v>
      </c>
      <c r="M329" t="b">
        <v>0</v>
      </c>
      <c r="N329">
        <v>42446</v>
      </c>
      <c r="O329">
        <v>2</v>
      </c>
      <c r="P329">
        <f t="shared" si="10"/>
        <v>1</v>
      </c>
      <c r="Q329">
        <f>IF(CO_Combined4[[#This Row],[Segment]]="COR",1,0)</f>
        <v>0</v>
      </c>
      <c r="R329">
        <f>IF(CO_Combined4[[#This Row],[Region ]]="E",1,0)</f>
        <v>0</v>
      </c>
      <c r="S329">
        <f>IF(CO_Combined4[[#This Row],[Region ]]="W",1,0)</f>
        <v>1</v>
      </c>
      <c r="T329">
        <f>IF(CO_Combined4[[#This Row],[Region ]]="S",1,0)</f>
        <v>0</v>
      </c>
      <c r="U329">
        <f>IF(CO_Combined4[[#This Row],[Ship Mode]]=1,1,0)</f>
        <v>0</v>
      </c>
      <c r="V329">
        <f>IF(CO_Combined4[[#This Row],[Ship Mode]]=2,1,0)</f>
        <v>0</v>
      </c>
      <c r="W329">
        <f>IF(CO_Combined4[[#This Row],[Ship Mode]]=3,1,0)</f>
        <v>1</v>
      </c>
      <c r="X329">
        <f t="shared" si="11"/>
        <v>1</v>
      </c>
      <c r="Y329">
        <v>2</v>
      </c>
      <c r="Z329">
        <v>1</v>
      </c>
    </row>
    <row r="330" spans="1:26" x14ac:dyDescent="0.2">
      <c r="A330" t="s">
        <v>1464</v>
      </c>
      <c r="B330" t="s">
        <v>478</v>
      </c>
      <c r="C330" t="s">
        <v>244</v>
      </c>
      <c r="D330" t="s">
        <v>150</v>
      </c>
      <c r="E330" t="s">
        <v>87</v>
      </c>
      <c r="F330" t="s">
        <v>22</v>
      </c>
      <c r="G330">
        <v>76017</v>
      </c>
      <c r="H330" t="s">
        <v>12</v>
      </c>
      <c r="I330">
        <v>42725</v>
      </c>
      <c r="J330">
        <v>4</v>
      </c>
      <c r="K330" t="s">
        <v>1465</v>
      </c>
      <c r="L330">
        <v>0.2</v>
      </c>
      <c r="M330" t="b">
        <v>0</v>
      </c>
      <c r="N330">
        <v>42721</v>
      </c>
      <c r="O330">
        <v>4</v>
      </c>
      <c r="P330">
        <f t="shared" si="10"/>
        <v>0</v>
      </c>
      <c r="Q330">
        <f>IF(CO_Combined4[[#This Row],[Segment]]="COR",1,0)</f>
        <v>1</v>
      </c>
      <c r="R330">
        <f>IF(CO_Combined4[[#This Row],[Region ]]="E",1,0)</f>
        <v>0</v>
      </c>
      <c r="S330">
        <f>IF(CO_Combined4[[#This Row],[Region ]]="W",1,0)</f>
        <v>0</v>
      </c>
      <c r="T330">
        <f>IF(CO_Combined4[[#This Row],[Region ]]="S",1,0)</f>
        <v>0</v>
      </c>
      <c r="U330">
        <f>IF(CO_Combined4[[#This Row],[Ship Mode]]=1,1,0)</f>
        <v>0</v>
      </c>
      <c r="V330">
        <f>IF(CO_Combined4[[#This Row],[Ship Mode]]=2,1,0)</f>
        <v>0</v>
      </c>
      <c r="W330">
        <f>IF(CO_Combined4[[#This Row],[Ship Mode]]=3,1,0)</f>
        <v>0</v>
      </c>
      <c r="X330">
        <f t="shared" si="11"/>
        <v>1</v>
      </c>
      <c r="Y330">
        <v>13</v>
      </c>
      <c r="Z330">
        <v>1</v>
      </c>
    </row>
    <row r="331" spans="1:26" x14ac:dyDescent="0.2">
      <c r="A331" t="s">
        <v>1466</v>
      </c>
      <c r="B331" t="s">
        <v>517</v>
      </c>
      <c r="C331" t="s">
        <v>301</v>
      </c>
      <c r="D331" t="s">
        <v>9</v>
      </c>
      <c r="E331" t="s">
        <v>302</v>
      </c>
      <c r="F331" t="s">
        <v>124</v>
      </c>
      <c r="G331">
        <v>60016</v>
      </c>
      <c r="H331" t="s">
        <v>12</v>
      </c>
      <c r="I331">
        <v>42273</v>
      </c>
      <c r="J331">
        <v>4</v>
      </c>
      <c r="K331" t="s">
        <v>1467</v>
      </c>
      <c r="L331">
        <v>0.2</v>
      </c>
      <c r="M331" t="b">
        <v>0</v>
      </c>
      <c r="N331">
        <v>42267</v>
      </c>
      <c r="O331">
        <v>6</v>
      </c>
      <c r="P331">
        <f t="shared" si="10"/>
        <v>1</v>
      </c>
      <c r="Q331">
        <f>IF(CO_Combined4[[#This Row],[Segment]]="COR",1,0)</f>
        <v>0</v>
      </c>
      <c r="R331">
        <f>IF(CO_Combined4[[#This Row],[Region ]]="E",1,0)</f>
        <v>0</v>
      </c>
      <c r="S331">
        <f>IF(CO_Combined4[[#This Row],[Region ]]="W",1,0)</f>
        <v>0</v>
      </c>
      <c r="T331">
        <f>IF(CO_Combined4[[#This Row],[Region ]]="S",1,0)</f>
        <v>0</v>
      </c>
      <c r="U331">
        <f>IF(CO_Combined4[[#This Row],[Ship Mode]]=1,1,0)</f>
        <v>0</v>
      </c>
      <c r="V331">
        <f>IF(CO_Combined4[[#This Row],[Ship Mode]]=2,1,0)</f>
        <v>0</v>
      </c>
      <c r="W331">
        <f>IF(CO_Combined4[[#This Row],[Ship Mode]]=3,1,0)</f>
        <v>0</v>
      </c>
      <c r="X331">
        <f t="shared" si="11"/>
        <v>1</v>
      </c>
      <c r="Y331">
        <v>11</v>
      </c>
      <c r="Z331">
        <v>1</v>
      </c>
    </row>
    <row r="332" spans="1:26" x14ac:dyDescent="0.2">
      <c r="A332" t="s">
        <v>1468</v>
      </c>
      <c r="B332" t="s">
        <v>501</v>
      </c>
      <c r="C332" t="s">
        <v>275</v>
      </c>
      <c r="D332" t="s">
        <v>9</v>
      </c>
      <c r="E332" t="s">
        <v>276</v>
      </c>
      <c r="F332" t="s">
        <v>31</v>
      </c>
      <c r="G332">
        <v>85301</v>
      </c>
      <c r="H332" t="s">
        <v>18</v>
      </c>
      <c r="I332">
        <v>41759</v>
      </c>
      <c r="J332">
        <v>4</v>
      </c>
      <c r="K332" t="s">
        <v>1469</v>
      </c>
      <c r="L332">
        <v>0.2</v>
      </c>
      <c r="M332" t="b">
        <v>0</v>
      </c>
      <c r="N332">
        <v>41757</v>
      </c>
      <c r="O332">
        <v>2</v>
      </c>
      <c r="P332">
        <f t="shared" si="10"/>
        <v>1</v>
      </c>
      <c r="Q332">
        <f>IF(CO_Combined4[[#This Row],[Segment]]="COR",1,0)</f>
        <v>0</v>
      </c>
      <c r="R332">
        <f>IF(CO_Combined4[[#This Row],[Region ]]="E",1,0)</f>
        <v>0</v>
      </c>
      <c r="S332">
        <f>IF(CO_Combined4[[#This Row],[Region ]]="W",1,0)</f>
        <v>1</v>
      </c>
      <c r="T332">
        <f>IF(CO_Combined4[[#This Row],[Region ]]="S",1,0)</f>
        <v>0</v>
      </c>
      <c r="U332">
        <f>IF(CO_Combined4[[#This Row],[Ship Mode]]=1,1,0)</f>
        <v>0</v>
      </c>
      <c r="V332">
        <f>IF(CO_Combined4[[#This Row],[Ship Mode]]=2,1,0)</f>
        <v>0</v>
      </c>
      <c r="W332">
        <f>IF(CO_Combined4[[#This Row],[Ship Mode]]=3,1,0)</f>
        <v>0</v>
      </c>
      <c r="X332">
        <f t="shared" si="11"/>
        <v>1</v>
      </c>
      <c r="Y332">
        <v>5</v>
      </c>
      <c r="Z332">
        <v>1</v>
      </c>
    </row>
    <row r="333" spans="1:26" x14ac:dyDescent="0.2">
      <c r="A333" t="s">
        <v>1470</v>
      </c>
      <c r="B333" t="s">
        <v>560</v>
      </c>
      <c r="C333" t="s">
        <v>366</v>
      </c>
      <c r="D333" t="s">
        <v>9</v>
      </c>
      <c r="E333" t="s">
        <v>367</v>
      </c>
      <c r="F333" t="s">
        <v>184</v>
      </c>
      <c r="G333">
        <v>6010</v>
      </c>
      <c r="H333" t="s">
        <v>27</v>
      </c>
      <c r="I333">
        <v>41886</v>
      </c>
      <c r="J333">
        <v>1</v>
      </c>
      <c r="K333" t="s">
        <v>801</v>
      </c>
      <c r="L333">
        <v>0</v>
      </c>
      <c r="M333" t="b">
        <v>0</v>
      </c>
      <c r="N333">
        <v>41881</v>
      </c>
      <c r="O333">
        <v>5</v>
      </c>
      <c r="P333">
        <f t="shared" si="10"/>
        <v>1</v>
      </c>
      <c r="Q333">
        <f>IF(CO_Combined4[[#This Row],[Segment]]="COR",1,0)</f>
        <v>0</v>
      </c>
      <c r="R333">
        <f>IF(CO_Combined4[[#This Row],[Region ]]="E",1,0)</f>
        <v>1</v>
      </c>
      <c r="S333">
        <f>IF(CO_Combined4[[#This Row],[Region ]]="W",1,0)</f>
        <v>0</v>
      </c>
      <c r="T333">
        <f>IF(CO_Combined4[[#This Row],[Region ]]="S",1,0)</f>
        <v>0</v>
      </c>
      <c r="U333">
        <f>IF(CO_Combined4[[#This Row],[Ship Mode]]=1,1,0)</f>
        <v>1</v>
      </c>
      <c r="V333">
        <f>IF(CO_Combined4[[#This Row],[Ship Mode]]=2,1,0)</f>
        <v>0</v>
      </c>
      <c r="W333">
        <f>IF(CO_Combined4[[#This Row],[Ship Mode]]=3,1,0)</f>
        <v>0</v>
      </c>
      <c r="X333">
        <f t="shared" si="11"/>
        <v>1</v>
      </c>
      <c r="Y333">
        <v>8</v>
      </c>
      <c r="Z333">
        <v>0</v>
      </c>
    </row>
    <row r="334" spans="1:26" x14ac:dyDescent="0.2">
      <c r="A334" t="s">
        <v>1472</v>
      </c>
      <c r="B334" t="s">
        <v>574</v>
      </c>
      <c r="C334" t="s">
        <v>573</v>
      </c>
      <c r="D334" t="s">
        <v>9</v>
      </c>
      <c r="E334" t="s">
        <v>38</v>
      </c>
      <c r="F334" t="s">
        <v>17</v>
      </c>
      <c r="G334">
        <v>90036</v>
      </c>
      <c r="H334" t="s">
        <v>18</v>
      </c>
      <c r="I334">
        <v>42139</v>
      </c>
      <c r="J334">
        <v>4</v>
      </c>
      <c r="K334" t="s">
        <v>1241</v>
      </c>
      <c r="L334">
        <v>0.2</v>
      </c>
      <c r="M334" t="b">
        <v>0</v>
      </c>
      <c r="N334">
        <v>42134</v>
      </c>
      <c r="O334">
        <v>5</v>
      </c>
      <c r="P334">
        <f t="shared" si="10"/>
        <v>1</v>
      </c>
      <c r="Q334">
        <f>IF(CO_Combined4[[#This Row],[Segment]]="COR",1,0)</f>
        <v>0</v>
      </c>
      <c r="R334">
        <f>IF(CO_Combined4[[#This Row],[Region ]]="E",1,0)</f>
        <v>0</v>
      </c>
      <c r="S334">
        <f>IF(CO_Combined4[[#This Row],[Region ]]="W",1,0)</f>
        <v>1</v>
      </c>
      <c r="T334">
        <f>IF(CO_Combined4[[#This Row],[Region ]]="S",1,0)</f>
        <v>0</v>
      </c>
      <c r="U334">
        <f>IF(CO_Combined4[[#This Row],[Ship Mode]]=1,1,0)</f>
        <v>0</v>
      </c>
      <c r="V334">
        <f>IF(CO_Combined4[[#This Row],[Ship Mode]]=2,1,0)</f>
        <v>0</v>
      </c>
      <c r="W334">
        <f>IF(CO_Combined4[[#This Row],[Ship Mode]]=3,1,0)</f>
        <v>0</v>
      </c>
      <c r="X334">
        <f t="shared" si="11"/>
        <v>1</v>
      </c>
      <c r="Y334">
        <v>4</v>
      </c>
      <c r="Z334">
        <v>1</v>
      </c>
    </row>
    <row r="335" spans="1:26" x14ac:dyDescent="0.2">
      <c r="A335" t="s">
        <v>1473</v>
      </c>
      <c r="B335" t="s">
        <v>552</v>
      </c>
      <c r="C335" t="s">
        <v>353</v>
      </c>
      <c r="D335" t="s">
        <v>150</v>
      </c>
      <c r="E335" t="s">
        <v>354</v>
      </c>
      <c r="F335" t="s">
        <v>104</v>
      </c>
      <c r="G335">
        <v>46060</v>
      </c>
      <c r="H335" t="s">
        <v>12</v>
      </c>
      <c r="I335">
        <v>42691</v>
      </c>
      <c r="J335">
        <v>4</v>
      </c>
      <c r="K335" t="s">
        <v>1474</v>
      </c>
      <c r="L335">
        <v>0</v>
      </c>
      <c r="M335" t="b">
        <v>0</v>
      </c>
      <c r="N335">
        <v>42685</v>
      </c>
      <c r="O335">
        <v>6</v>
      </c>
      <c r="P335">
        <f t="shared" si="10"/>
        <v>0</v>
      </c>
      <c r="Q335">
        <f>IF(CO_Combined4[[#This Row],[Segment]]="COR",1,0)</f>
        <v>1</v>
      </c>
      <c r="R335">
        <f>IF(CO_Combined4[[#This Row],[Region ]]="E",1,0)</f>
        <v>0</v>
      </c>
      <c r="S335">
        <f>IF(CO_Combined4[[#This Row],[Region ]]="W",1,0)</f>
        <v>0</v>
      </c>
      <c r="T335">
        <f>IF(CO_Combined4[[#This Row],[Region ]]="S",1,0)</f>
        <v>0</v>
      </c>
      <c r="U335">
        <f>IF(CO_Combined4[[#This Row],[Ship Mode]]=1,1,0)</f>
        <v>0</v>
      </c>
      <c r="V335">
        <f>IF(CO_Combined4[[#This Row],[Ship Mode]]=2,1,0)</f>
        <v>0</v>
      </c>
      <c r="W335">
        <f>IF(CO_Combined4[[#This Row],[Ship Mode]]=3,1,0)</f>
        <v>0</v>
      </c>
      <c r="X335">
        <f t="shared" si="11"/>
        <v>1</v>
      </c>
      <c r="Y335">
        <v>6</v>
      </c>
      <c r="Z335">
        <v>0</v>
      </c>
    </row>
    <row r="336" spans="1:26" x14ac:dyDescent="0.2">
      <c r="A336" t="s">
        <v>1475</v>
      </c>
      <c r="B336" t="s">
        <v>559</v>
      </c>
      <c r="C336" t="s">
        <v>364</v>
      </c>
      <c r="D336" t="s">
        <v>90</v>
      </c>
      <c r="E336" t="s">
        <v>365</v>
      </c>
      <c r="F336" t="s">
        <v>191</v>
      </c>
      <c r="G336">
        <v>7960</v>
      </c>
      <c r="H336" t="s">
        <v>27</v>
      </c>
      <c r="I336">
        <v>42927</v>
      </c>
      <c r="J336">
        <v>3</v>
      </c>
      <c r="K336" t="s">
        <v>1476</v>
      </c>
      <c r="L336">
        <v>0</v>
      </c>
      <c r="M336" t="b">
        <v>0</v>
      </c>
      <c r="N336">
        <v>42923</v>
      </c>
      <c r="O336">
        <v>4</v>
      </c>
      <c r="P336">
        <f t="shared" si="10"/>
        <v>0</v>
      </c>
      <c r="Q336">
        <f>IF(CO_Combined4[[#This Row],[Segment]]="COR",1,0)</f>
        <v>0</v>
      </c>
      <c r="R336">
        <f>IF(CO_Combined4[[#This Row],[Region ]]="E",1,0)</f>
        <v>1</v>
      </c>
      <c r="S336">
        <f>IF(CO_Combined4[[#This Row],[Region ]]="W",1,0)</f>
        <v>0</v>
      </c>
      <c r="T336">
        <f>IF(CO_Combined4[[#This Row],[Region ]]="S",1,0)</f>
        <v>0</v>
      </c>
      <c r="U336">
        <f>IF(CO_Combined4[[#This Row],[Ship Mode]]=1,1,0)</f>
        <v>0</v>
      </c>
      <c r="V336">
        <f>IF(CO_Combined4[[#This Row],[Ship Mode]]=2,1,0)</f>
        <v>0</v>
      </c>
      <c r="W336">
        <f>IF(CO_Combined4[[#This Row],[Ship Mode]]=3,1,0)</f>
        <v>1</v>
      </c>
      <c r="X336">
        <f t="shared" si="11"/>
        <v>1</v>
      </c>
      <c r="Y336">
        <v>3</v>
      </c>
      <c r="Z336">
        <v>0</v>
      </c>
    </row>
    <row r="337" spans="1:26" x14ac:dyDescent="0.2">
      <c r="A337" t="s">
        <v>1477</v>
      </c>
      <c r="B337" t="s">
        <v>546</v>
      </c>
      <c r="C337" t="s">
        <v>342</v>
      </c>
      <c r="D337" t="s">
        <v>150</v>
      </c>
      <c r="E337" t="s">
        <v>343</v>
      </c>
      <c r="F337" t="s">
        <v>299</v>
      </c>
      <c r="G337">
        <v>36116</v>
      </c>
      <c r="H337" t="s">
        <v>47</v>
      </c>
      <c r="I337">
        <v>42712</v>
      </c>
      <c r="J337">
        <v>3</v>
      </c>
      <c r="K337" t="s">
        <v>1465</v>
      </c>
      <c r="L337">
        <v>0.2</v>
      </c>
      <c r="M337" t="b">
        <v>0</v>
      </c>
      <c r="N337">
        <v>42706</v>
      </c>
      <c r="O337">
        <v>6</v>
      </c>
      <c r="P337">
        <f t="shared" si="10"/>
        <v>0</v>
      </c>
      <c r="Q337">
        <f>IF(CO_Combined4[[#This Row],[Segment]]="COR",1,0)</f>
        <v>1</v>
      </c>
      <c r="R337">
        <f>IF(CO_Combined4[[#This Row],[Region ]]="E",1,0)</f>
        <v>0</v>
      </c>
      <c r="S337">
        <f>IF(CO_Combined4[[#This Row],[Region ]]="W",1,0)</f>
        <v>0</v>
      </c>
      <c r="T337">
        <f>IF(CO_Combined4[[#This Row],[Region ]]="S",1,0)</f>
        <v>1</v>
      </c>
      <c r="U337">
        <f>IF(CO_Combined4[[#This Row],[Ship Mode]]=1,1,0)</f>
        <v>0</v>
      </c>
      <c r="V337">
        <f>IF(CO_Combined4[[#This Row],[Ship Mode]]=2,1,0)</f>
        <v>0</v>
      </c>
      <c r="W337">
        <f>IF(CO_Combined4[[#This Row],[Ship Mode]]=3,1,0)</f>
        <v>1</v>
      </c>
      <c r="X337">
        <f t="shared" si="11"/>
        <v>1</v>
      </c>
      <c r="Y337">
        <v>3</v>
      </c>
      <c r="Z337">
        <v>1</v>
      </c>
    </row>
    <row r="338" spans="1:26" x14ac:dyDescent="0.2">
      <c r="A338" t="s">
        <v>1478</v>
      </c>
      <c r="B338" t="s">
        <v>409</v>
      </c>
      <c r="C338" t="s">
        <v>133</v>
      </c>
      <c r="D338" t="s">
        <v>9</v>
      </c>
      <c r="E338" t="s">
        <v>134</v>
      </c>
      <c r="F338" t="s">
        <v>26</v>
      </c>
      <c r="G338">
        <v>10701</v>
      </c>
      <c r="H338" t="s">
        <v>27</v>
      </c>
      <c r="I338">
        <v>41706</v>
      </c>
      <c r="J338">
        <v>3</v>
      </c>
      <c r="K338" t="s">
        <v>1480</v>
      </c>
      <c r="L338">
        <v>0.04</v>
      </c>
      <c r="M338" t="b">
        <v>0</v>
      </c>
      <c r="N338">
        <v>41703</v>
      </c>
      <c r="O338">
        <v>3</v>
      </c>
      <c r="P338">
        <f t="shared" si="10"/>
        <v>1</v>
      </c>
      <c r="Q338">
        <f>IF(CO_Combined4[[#This Row],[Segment]]="COR",1,0)</f>
        <v>0</v>
      </c>
      <c r="R338">
        <f>IF(CO_Combined4[[#This Row],[Region ]]="E",1,0)</f>
        <v>1</v>
      </c>
      <c r="S338">
        <f>IF(CO_Combined4[[#This Row],[Region ]]="W",1,0)</f>
        <v>0</v>
      </c>
      <c r="T338">
        <f>IF(CO_Combined4[[#This Row],[Region ]]="S",1,0)</f>
        <v>0</v>
      </c>
      <c r="U338">
        <f>IF(CO_Combined4[[#This Row],[Ship Mode]]=1,1,0)</f>
        <v>0</v>
      </c>
      <c r="V338">
        <f>IF(CO_Combined4[[#This Row],[Ship Mode]]=2,1,0)</f>
        <v>0</v>
      </c>
      <c r="W338">
        <f>IF(CO_Combined4[[#This Row],[Ship Mode]]=3,1,0)</f>
        <v>1</v>
      </c>
      <c r="X338">
        <f t="shared" si="11"/>
        <v>1</v>
      </c>
      <c r="Y338">
        <v>16</v>
      </c>
      <c r="Z338">
        <v>1</v>
      </c>
    </row>
    <row r="339" spans="1:26" x14ac:dyDescent="0.2">
      <c r="A339" t="s">
        <v>1481</v>
      </c>
      <c r="B339" t="s">
        <v>572</v>
      </c>
      <c r="C339" t="s">
        <v>571</v>
      </c>
      <c r="D339" t="s">
        <v>150</v>
      </c>
      <c r="E339" t="s">
        <v>212</v>
      </c>
      <c r="F339" t="s">
        <v>22</v>
      </c>
      <c r="G339">
        <v>77095</v>
      </c>
      <c r="H339" t="s">
        <v>47</v>
      </c>
      <c r="I339">
        <v>42259</v>
      </c>
      <c r="J339">
        <v>4</v>
      </c>
      <c r="K339" t="s">
        <v>1483</v>
      </c>
      <c r="L339">
        <v>0.12000000000000002</v>
      </c>
      <c r="M339" t="b">
        <v>0</v>
      </c>
      <c r="N339">
        <v>42254</v>
      </c>
      <c r="O339">
        <v>5</v>
      </c>
      <c r="P339">
        <f t="shared" si="10"/>
        <v>0</v>
      </c>
      <c r="Q339">
        <f>IF(CO_Combined4[[#This Row],[Segment]]="COR",1,0)</f>
        <v>1</v>
      </c>
      <c r="R339">
        <f>IF(CO_Combined4[[#This Row],[Region ]]="E",1,0)</f>
        <v>0</v>
      </c>
      <c r="S339">
        <f>IF(CO_Combined4[[#This Row],[Region ]]="W",1,0)</f>
        <v>0</v>
      </c>
      <c r="T339">
        <f>IF(CO_Combined4[[#This Row],[Region ]]="S",1,0)</f>
        <v>1</v>
      </c>
      <c r="U339">
        <f>IF(CO_Combined4[[#This Row],[Ship Mode]]=1,1,0)</f>
        <v>0</v>
      </c>
      <c r="V339">
        <f>IF(CO_Combined4[[#This Row],[Ship Mode]]=2,1,0)</f>
        <v>0</v>
      </c>
      <c r="W339">
        <f>IF(CO_Combined4[[#This Row],[Ship Mode]]=3,1,0)</f>
        <v>0</v>
      </c>
      <c r="X339">
        <f t="shared" si="11"/>
        <v>1</v>
      </c>
      <c r="Y339">
        <v>32</v>
      </c>
      <c r="Z339">
        <v>1</v>
      </c>
    </row>
    <row r="340" spans="1:26" x14ac:dyDescent="0.2">
      <c r="A340" t="s">
        <v>1487</v>
      </c>
      <c r="B340" t="s">
        <v>574</v>
      </c>
      <c r="C340" t="s">
        <v>573</v>
      </c>
      <c r="D340" t="s">
        <v>9</v>
      </c>
      <c r="E340" t="s">
        <v>38</v>
      </c>
      <c r="F340" t="s">
        <v>17</v>
      </c>
      <c r="G340">
        <v>90036</v>
      </c>
      <c r="H340" t="s">
        <v>18</v>
      </c>
      <c r="I340">
        <v>42826</v>
      </c>
      <c r="J340">
        <v>3</v>
      </c>
      <c r="K340" t="s">
        <v>1488</v>
      </c>
      <c r="L340">
        <v>0</v>
      </c>
      <c r="M340" t="b">
        <v>0</v>
      </c>
      <c r="N340">
        <v>42824</v>
      </c>
      <c r="O340">
        <v>2</v>
      </c>
      <c r="P340">
        <f t="shared" si="10"/>
        <v>1</v>
      </c>
      <c r="Q340">
        <f>IF(CO_Combined4[[#This Row],[Segment]]="COR",1,0)</f>
        <v>0</v>
      </c>
      <c r="R340">
        <f>IF(CO_Combined4[[#This Row],[Region ]]="E",1,0)</f>
        <v>0</v>
      </c>
      <c r="S340">
        <f>IF(CO_Combined4[[#This Row],[Region ]]="W",1,0)</f>
        <v>1</v>
      </c>
      <c r="T340">
        <f>IF(CO_Combined4[[#This Row],[Region ]]="S",1,0)</f>
        <v>0</v>
      </c>
      <c r="U340">
        <f>IF(CO_Combined4[[#This Row],[Ship Mode]]=1,1,0)</f>
        <v>0</v>
      </c>
      <c r="V340">
        <f>IF(CO_Combined4[[#This Row],[Ship Mode]]=2,1,0)</f>
        <v>0</v>
      </c>
      <c r="W340">
        <f>IF(CO_Combined4[[#This Row],[Ship Mode]]=3,1,0)</f>
        <v>1</v>
      </c>
      <c r="X340">
        <f t="shared" si="11"/>
        <v>1</v>
      </c>
      <c r="Y340">
        <v>5</v>
      </c>
      <c r="Z340">
        <v>0</v>
      </c>
    </row>
    <row r="341" spans="1:26" x14ac:dyDescent="0.2">
      <c r="A341" t="s">
        <v>1489</v>
      </c>
      <c r="B341" t="s">
        <v>501</v>
      </c>
      <c r="C341" t="s">
        <v>275</v>
      </c>
      <c r="D341" t="s">
        <v>9</v>
      </c>
      <c r="E341" t="s">
        <v>276</v>
      </c>
      <c r="F341" t="s">
        <v>31</v>
      </c>
      <c r="G341">
        <v>85301</v>
      </c>
      <c r="H341" t="s">
        <v>18</v>
      </c>
      <c r="I341">
        <v>42363</v>
      </c>
      <c r="J341">
        <v>4</v>
      </c>
      <c r="K341" t="s">
        <v>1490</v>
      </c>
      <c r="L341">
        <v>0</v>
      </c>
      <c r="M341" t="b">
        <v>0</v>
      </c>
      <c r="N341">
        <v>42358</v>
      </c>
      <c r="O341">
        <v>5</v>
      </c>
      <c r="P341">
        <f t="shared" si="10"/>
        <v>1</v>
      </c>
      <c r="Q341">
        <f>IF(CO_Combined4[[#This Row],[Segment]]="COR",1,0)</f>
        <v>0</v>
      </c>
      <c r="R341">
        <f>IF(CO_Combined4[[#This Row],[Region ]]="E",1,0)</f>
        <v>0</v>
      </c>
      <c r="S341">
        <f>IF(CO_Combined4[[#This Row],[Region ]]="W",1,0)</f>
        <v>1</v>
      </c>
      <c r="T341">
        <f>IF(CO_Combined4[[#This Row],[Region ]]="S",1,0)</f>
        <v>0</v>
      </c>
      <c r="U341">
        <f>IF(CO_Combined4[[#This Row],[Ship Mode]]=1,1,0)</f>
        <v>0</v>
      </c>
      <c r="V341">
        <f>IF(CO_Combined4[[#This Row],[Ship Mode]]=2,1,0)</f>
        <v>0</v>
      </c>
      <c r="W341">
        <f>IF(CO_Combined4[[#This Row],[Ship Mode]]=3,1,0)</f>
        <v>0</v>
      </c>
      <c r="X341">
        <f t="shared" si="11"/>
        <v>1</v>
      </c>
      <c r="Y341">
        <v>4</v>
      </c>
      <c r="Z341">
        <v>0</v>
      </c>
    </row>
    <row r="342" spans="1:26" x14ac:dyDescent="0.2">
      <c r="A342" t="s">
        <v>1491</v>
      </c>
      <c r="B342" t="s">
        <v>475</v>
      </c>
      <c r="C342" t="s">
        <v>240</v>
      </c>
      <c r="D342" t="s">
        <v>150</v>
      </c>
      <c r="E342" t="s">
        <v>108</v>
      </c>
      <c r="F342" t="s">
        <v>230</v>
      </c>
      <c r="G342">
        <v>89015</v>
      </c>
      <c r="H342" t="s">
        <v>18</v>
      </c>
      <c r="I342">
        <v>42547</v>
      </c>
      <c r="J342">
        <v>2</v>
      </c>
      <c r="K342" t="s">
        <v>1327</v>
      </c>
      <c r="L342">
        <v>0</v>
      </c>
      <c r="M342" t="b">
        <v>0</v>
      </c>
      <c r="N342">
        <v>42547</v>
      </c>
      <c r="O342">
        <v>0</v>
      </c>
      <c r="P342">
        <f t="shared" si="10"/>
        <v>0</v>
      </c>
      <c r="Q342">
        <f>IF(CO_Combined4[[#This Row],[Segment]]="COR",1,0)</f>
        <v>1</v>
      </c>
      <c r="R342">
        <f>IF(CO_Combined4[[#This Row],[Region ]]="E",1,0)</f>
        <v>0</v>
      </c>
      <c r="S342">
        <f>IF(CO_Combined4[[#This Row],[Region ]]="W",1,0)</f>
        <v>1</v>
      </c>
      <c r="T342">
        <f>IF(CO_Combined4[[#This Row],[Region ]]="S",1,0)</f>
        <v>0</v>
      </c>
      <c r="U342">
        <f>IF(CO_Combined4[[#This Row],[Ship Mode]]=1,1,0)</f>
        <v>0</v>
      </c>
      <c r="V342">
        <f>IF(CO_Combined4[[#This Row],[Ship Mode]]=2,1,0)</f>
        <v>1</v>
      </c>
      <c r="W342">
        <f>IF(CO_Combined4[[#This Row],[Ship Mode]]=3,1,0)</f>
        <v>0</v>
      </c>
      <c r="X342">
        <f t="shared" si="11"/>
        <v>1</v>
      </c>
      <c r="Y342">
        <v>9</v>
      </c>
      <c r="Z342">
        <v>0</v>
      </c>
    </row>
    <row r="343" spans="1:26" x14ac:dyDescent="0.2">
      <c r="A343" t="s">
        <v>1494</v>
      </c>
      <c r="B343" t="s">
        <v>567</v>
      </c>
      <c r="C343" t="s">
        <v>378</v>
      </c>
      <c r="D343" t="s">
        <v>150</v>
      </c>
      <c r="E343" t="s">
        <v>97</v>
      </c>
      <c r="F343" t="s">
        <v>67</v>
      </c>
      <c r="G343">
        <v>19140</v>
      </c>
      <c r="H343" t="s">
        <v>27</v>
      </c>
      <c r="I343">
        <v>42003</v>
      </c>
      <c r="J343">
        <v>2</v>
      </c>
      <c r="K343" t="s">
        <v>1495</v>
      </c>
      <c r="L343">
        <v>0.2</v>
      </c>
      <c r="M343" t="b">
        <v>0</v>
      </c>
      <c r="N343">
        <v>41999</v>
      </c>
      <c r="O343">
        <v>4</v>
      </c>
      <c r="P343">
        <f t="shared" si="10"/>
        <v>0</v>
      </c>
      <c r="Q343">
        <f>IF(CO_Combined4[[#This Row],[Segment]]="COR",1,0)</f>
        <v>1</v>
      </c>
      <c r="R343">
        <f>IF(CO_Combined4[[#This Row],[Region ]]="E",1,0)</f>
        <v>1</v>
      </c>
      <c r="S343">
        <f>IF(CO_Combined4[[#This Row],[Region ]]="W",1,0)</f>
        <v>0</v>
      </c>
      <c r="T343">
        <f>IF(CO_Combined4[[#This Row],[Region ]]="S",1,0)</f>
        <v>0</v>
      </c>
      <c r="U343">
        <f>IF(CO_Combined4[[#This Row],[Ship Mode]]=1,1,0)</f>
        <v>0</v>
      </c>
      <c r="V343">
        <f>IF(CO_Combined4[[#This Row],[Ship Mode]]=2,1,0)</f>
        <v>1</v>
      </c>
      <c r="W343">
        <f>IF(CO_Combined4[[#This Row],[Ship Mode]]=3,1,0)</f>
        <v>0</v>
      </c>
      <c r="X343">
        <f t="shared" si="11"/>
        <v>1</v>
      </c>
      <c r="Y343">
        <v>3</v>
      </c>
      <c r="Z343">
        <v>1</v>
      </c>
    </row>
    <row r="344" spans="1:26" x14ac:dyDescent="0.2">
      <c r="A344" t="s">
        <v>1496</v>
      </c>
      <c r="B344" t="s">
        <v>565</v>
      </c>
      <c r="C344" t="s">
        <v>375</v>
      </c>
      <c r="D344" t="s">
        <v>90</v>
      </c>
      <c r="E344" t="s">
        <v>121</v>
      </c>
      <c r="F344" t="s">
        <v>22</v>
      </c>
      <c r="G344">
        <v>77070</v>
      </c>
      <c r="H344" t="s">
        <v>12</v>
      </c>
      <c r="I344">
        <v>42537</v>
      </c>
      <c r="J344">
        <v>3</v>
      </c>
      <c r="K344" t="s">
        <v>1501</v>
      </c>
      <c r="L344">
        <v>0.44285714285714284</v>
      </c>
      <c r="M344" t="b">
        <v>1</v>
      </c>
      <c r="N344">
        <v>42533</v>
      </c>
      <c r="O344">
        <v>4</v>
      </c>
      <c r="P344">
        <f t="shared" si="10"/>
        <v>0</v>
      </c>
      <c r="Q344">
        <f>IF(CO_Combined4[[#This Row],[Segment]]="COR",1,0)</f>
        <v>0</v>
      </c>
      <c r="R344">
        <f>IF(CO_Combined4[[#This Row],[Region ]]="E",1,0)</f>
        <v>0</v>
      </c>
      <c r="S344">
        <f>IF(CO_Combined4[[#This Row],[Region ]]="W",1,0)</f>
        <v>0</v>
      </c>
      <c r="T344">
        <f>IF(CO_Combined4[[#This Row],[Region ]]="S",1,0)</f>
        <v>0</v>
      </c>
      <c r="U344">
        <f>IF(CO_Combined4[[#This Row],[Ship Mode]]=1,1,0)</f>
        <v>0</v>
      </c>
      <c r="V344">
        <f>IF(CO_Combined4[[#This Row],[Ship Mode]]=2,1,0)</f>
        <v>0</v>
      </c>
      <c r="W344">
        <f>IF(CO_Combined4[[#This Row],[Ship Mode]]=3,1,0)</f>
        <v>1</v>
      </c>
      <c r="X344">
        <f t="shared" si="11"/>
        <v>0</v>
      </c>
      <c r="Y344">
        <v>30</v>
      </c>
      <c r="Z344">
        <v>1</v>
      </c>
    </row>
    <row r="345" spans="1:26" x14ac:dyDescent="0.2">
      <c r="A345" t="s">
        <v>1502</v>
      </c>
      <c r="B345" t="s">
        <v>464</v>
      </c>
      <c r="C345" t="s">
        <v>223</v>
      </c>
      <c r="D345" t="s">
        <v>90</v>
      </c>
      <c r="E345" t="s">
        <v>153</v>
      </c>
      <c r="F345" t="s">
        <v>124</v>
      </c>
      <c r="G345">
        <v>60623</v>
      </c>
      <c r="H345" t="s">
        <v>12</v>
      </c>
      <c r="I345">
        <v>42317</v>
      </c>
      <c r="J345">
        <v>1</v>
      </c>
      <c r="K345" t="s">
        <v>1503</v>
      </c>
      <c r="L345">
        <v>0</v>
      </c>
      <c r="M345" t="b">
        <v>0</v>
      </c>
      <c r="N345">
        <v>42317</v>
      </c>
      <c r="O345">
        <v>0</v>
      </c>
      <c r="P345">
        <f t="shared" si="10"/>
        <v>0</v>
      </c>
      <c r="Q345">
        <f>IF(CO_Combined4[[#This Row],[Segment]]="COR",1,0)</f>
        <v>0</v>
      </c>
      <c r="R345">
        <f>IF(CO_Combined4[[#This Row],[Region ]]="E",1,0)</f>
        <v>0</v>
      </c>
      <c r="S345">
        <f>IF(CO_Combined4[[#This Row],[Region ]]="W",1,0)</f>
        <v>0</v>
      </c>
      <c r="T345">
        <f>IF(CO_Combined4[[#This Row],[Region ]]="S",1,0)</f>
        <v>0</v>
      </c>
      <c r="U345">
        <f>IF(CO_Combined4[[#This Row],[Ship Mode]]=1,1,0)</f>
        <v>1</v>
      </c>
      <c r="V345">
        <f>IF(CO_Combined4[[#This Row],[Ship Mode]]=2,1,0)</f>
        <v>0</v>
      </c>
      <c r="W345">
        <f>IF(CO_Combined4[[#This Row],[Ship Mode]]=3,1,0)</f>
        <v>0</v>
      </c>
      <c r="X345">
        <f t="shared" si="11"/>
        <v>1</v>
      </c>
      <c r="Y345">
        <v>3</v>
      </c>
      <c r="Z345">
        <v>0</v>
      </c>
    </row>
    <row r="346" spans="1:26" x14ac:dyDescent="0.2">
      <c r="A346" t="s">
        <v>1504</v>
      </c>
      <c r="B346" t="s">
        <v>555</v>
      </c>
      <c r="C346" t="s">
        <v>359</v>
      </c>
      <c r="D346" t="s">
        <v>90</v>
      </c>
      <c r="E346" t="s">
        <v>242</v>
      </c>
      <c r="F346" t="s">
        <v>53</v>
      </c>
      <c r="G346">
        <v>37918</v>
      </c>
      <c r="H346" t="s">
        <v>47</v>
      </c>
      <c r="I346">
        <v>42817</v>
      </c>
      <c r="J346">
        <v>4</v>
      </c>
      <c r="K346" t="s">
        <v>810</v>
      </c>
      <c r="L346">
        <v>0.2</v>
      </c>
      <c r="M346" t="b">
        <v>0</v>
      </c>
      <c r="N346">
        <v>42811</v>
      </c>
      <c r="O346">
        <v>6</v>
      </c>
      <c r="P346">
        <f t="shared" si="10"/>
        <v>0</v>
      </c>
      <c r="Q346">
        <f>IF(CO_Combined4[[#This Row],[Segment]]="COR",1,0)</f>
        <v>0</v>
      </c>
      <c r="R346">
        <f>IF(CO_Combined4[[#This Row],[Region ]]="E",1,0)</f>
        <v>0</v>
      </c>
      <c r="S346">
        <f>IF(CO_Combined4[[#This Row],[Region ]]="W",1,0)</f>
        <v>0</v>
      </c>
      <c r="T346">
        <f>IF(CO_Combined4[[#This Row],[Region ]]="S",1,0)</f>
        <v>1</v>
      </c>
      <c r="U346">
        <f>IF(CO_Combined4[[#This Row],[Ship Mode]]=1,1,0)</f>
        <v>0</v>
      </c>
      <c r="V346">
        <f>IF(CO_Combined4[[#This Row],[Ship Mode]]=2,1,0)</f>
        <v>0</v>
      </c>
      <c r="W346">
        <f>IF(CO_Combined4[[#This Row],[Ship Mode]]=3,1,0)</f>
        <v>0</v>
      </c>
      <c r="X346">
        <f t="shared" si="11"/>
        <v>1</v>
      </c>
      <c r="Y346">
        <v>2</v>
      </c>
      <c r="Z346">
        <v>1</v>
      </c>
    </row>
    <row r="347" spans="1:26" x14ac:dyDescent="0.2">
      <c r="A347" t="s">
        <v>1505</v>
      </c>
      <c r="B347" t="s">
        <v>572</v>
      </c>
      <c r="C347" t="s">
        <v>571</v>
      </c>
      <c r="D347" t="s">
        <v>150</v>
      </c>
      <c r="E347" t="s">
        <v>212</v>
      </c>
      <c r="F347" t="s">
        <v>22</v>
      </c>
      <c r="G347">
        <v>77095</v>
      </c>
      <c r="H347" t="s">
        <v>47</v>
      </c>
      <c r="I347">
        <v>42259</v>
      </c>
      <c r="J347">
        <v>4</v>
      </c>
      <c r="K347" t="s">
        <v>997</v>
      </c>
      <c r="L347">
        <v>0</v>
      </c>
      <c r="M347" t="b">
        <v>0</v>
      </c>
      <c r="N347">
        <v>42253</v>
      </c>
      <c r="O347">
        <v>6</v>
      </c>
      <c r="P347">
        <f t="shared" si="10"/>
        <v>0</v>
      </c>
      <c r="Q347">
        <f>IF(CO_Combined4[[#This Row],[Segment]]="COR",1,0)</f>
        <v>1</v>
      </c>
      <c r="R347">
        <f>IF(CO_Combined4[[#This Row],[Region ]]="E",1,0)</f>
        <v>0</v>
      </c>
      <c r="S347">
        <f>IF(CO_Combined4[[#This Row],[Region ]]="W",1,0)</f>
        <v>0</v>
      </c>
      <c r="T347">
        <f>IF(CO_Combined4[[#This Row],[Region ]]="S",1,0)</f>
        <v>1</v>
      </c>
      <c r="U347">
        <f>IF(CO_Combined4[[#This Row],[Ship Mode]]=1,1,0)</f>
        <v>0</v>
      </c>
      <c r="V347">
        <f>IF(CO_Combined4[[#This Row],[Ship Mode]]=2,1,0)</f>
        <v>0</v>
      </c>
      <c r="W347">
        <f>IF(CO_Combined4[[#This Row],[Ship Mode]]=3,1,0)</f>
        <v>0</v>
      </c>
      <c r="X347">
        <f t="shared" si="11"/>
        <v>1</v>
      </c>
      <c r="Y347">
        <v>18</v>
      </c>
      <c r="Z347">
        <v>0</v>
      </c>
    </row>
    <row r="348" spans="1:26" x14ac:dyDescent="0.2">
      <c r="A348" t="s">
        <v>1506</v>
      </c>
      <c r="B348" t="s">
        <v>386</v>
      </c>
      <c r="C348" t="s">
        <v>88</v>
      </c>
      <c r="D348" t="s">
        <v>9</v>
      </c>
      <c r="E348" t="s">
        <v>82</v>
      </c>
      <c r="F348" t="s">
        <v>83</v>
      </c>
      <c r="G348">
        <v>73120</v>
      </c>
      <c r="H348" t="s">
        <v>12</v>
      </c>
      <c r="I348">
        <v>42686</v>
      </c>
      <c r="J348">
        <v>2</v>
      </c>
      <c r="K348" t="s">
        <v>1507</v>
      </c>
      <c r="L348">
        <v>0</v>
      </c>
      <c r="M348" t="b">
        <v>0</v>
      </c>
      <c r="N348">
        <v>42684</v>
      </c>
      <c r="O348">
        <v>2</v>
      </c>
      <c r="P348">
        <f t="shared" si="10"/>
        <v>1</v>
      </c>
      <c r="Q348">
        <f>IF(CO_Combined4[[#This Row],[Segment]]="COR",1,0)</f>
        <v>0</v>
      </c>
      <c r="R348">
        <f>IF(CO_Combined4[[#This Row],[Region ]]="E",1,0)</f>
        <v>0</v>
      </c>
      <c r="S348">
        <f>IF(CO_Combined4[[#This Row],[Region ]]="W",1,0)</f>
        <v>0</v>
      </c>
      <c r="T348">
        <f>IF(CO_Combined4[[#This Row],[Region ]]="S",1,0)</f>
        <v>0</v>
      </c>
      <c r="U348">
        <f>IF(CO_Combined4[[#This Row],[Ship Mode]]=1,1,0)</f>
        <v>0</v>
      </c>
      <c r="V348">
        <f>IF(CO_Combined4[[#This Row],[Ship Mode]]=2,1,0)</f>
        <v>1</v>
      </c>
      <c r="W348">
        <f>IF(CO_Combined4[[#This Row],[Ship Mode]]=3,1,0)</f>
        <v>0</v>
      </c>
      <c r="X348">
        <f t="shared" si="11"/>
        <v>1</v>
      </c>
      <c r="Y348">
        <v>4</v>
      </c>
      <c r="Z348">
        <v>0</v>
      </c>
    </row>
    <row r="349" spans="1:26" x14ac:dyDescent="0.2">
      <c r="A349" t="s">
        <v>1509</v>
      </c>
      <c r="B349" t="s">
        <v>473</v>
      </c>
      <c r="C349" t="s">
        <v>238</v>
      </c>
      <c r="D349" t="s">
        <v>150</v>
      </c>
      <c r="E349" t="s">
        <v>25</v>
      </c>
      <c r="F349" t="s">
        <v>26</v>
      </c>
      <c r="G349">
        <v>10035</v>
      </c>
      <c r="H349" t="s">
        <v>27</v>
      </c>
      <c r="I349">
        <v>42005</v>
      </c>
      <c r="J349">
        <v>2</v>
      </c>
      <c r="K349" t="s">
        <v>1510</v>
      </c>
      <c r="L349">
        <v>0</v>
      </c>
      <c r="M349" t="b">
        <v>1</v>
      </c>
      <c r="N349">
        <v>42004</v>
      </c>
      <c r="O349">
        <v>1</v>
      </c>
      <c r="P349">
        <f t="shared" si="10"/>
        <v>0</v>
      </c>
      <c r="Q349">
        <f>IF(CO_Combined4[[#This Row],[Segment]]="COR",1,0)</f>
        <v>1</v>
      </c>
      <c r="R349">
        <f>IF(CO_Combined4[[#This Row],[Region ]]="E",1,0)</f>
        <v>1</v>
      </c>
      <c r="S349">
        <f>IF(CO_Combined4[[#This Row],[Region ]]="W",1,0)</f>
        <v>0</v>
      </c>
      <c r="T349">
        <f>IF(CO_Combined4[[#This Row],[Region ]]="S",1,0)</f>
        <v>0</v>
      </c>
      <c r="U349">
        <f>IF(CO_Combined4[[#This Row],[Ship Mode]]=1,1,0)</f>
        <v>0</v>
      </c>
      <c r="V349">
        <f>IF(CO_Combined4[[#This Row],[Ship Mode]]=2,1,0)</f>
        <v>1</v>
      </c>
      <c r="W349">
        <f>IF(CO_Combined4[[#This Row],[Ship Mode]]=3,1,0)</f>
        <v>0</v>
      </c>
      <c r="X349">
        <f t="shared" si="11"/>
        <v>0</v>
      </c>
      <c r="Y349">
        <v>6</v>
      </c>
      <c r="Z349">
        <v>0</v>
      </c>
    </row>
    <row r="350" spans="1:26" x14ac:dyDescent="0.2">
      <c r="A350" t="s">
        <v>1512</v>
      </c>
      <c r="B350" t="s">
        <v>468</v>
      </c>
      <c r="C350" t="s">
        <v>228</v>
      </c>
      <c r="D350" t="s">
        <v>150</v>
      </c>
      <c r="E350" t="s">
        <v>229</v>
      </c>
      <c r="F350" t="s">
        <v>230</v>
      </c>
      <c r="G350">
        <v>89115</v>
      </c>
      <c r="H350" t="s">
        <v>18</v>
      </c>
      <c r="I350">
        <v>42360</v>
      </c>
      <c r="J350">
        <v>2</v>
      </c>
      <c r="K350" t="s">
        <v>810</v>
      </c>
      <c r="L350">
        <v>0.2</v>
      </c>
      <c r="M350" t="b">
        <v>0</v>
      </c>
      <c r="N350">
        <v>42357</v>
      </c>
      <c r="O350">
        <v>3</v>
      </c>
      <c r="P350">
        <f t="shared" si="10"/>
        <v>0</v>
      </c>
      <c r="Q350">
        <f>IF(CO_Combined4[[#This Row],[Segment]]="COR",1,0)</f>
        <v>1</v>
      </c>
      <c r="R350">
        <f>IF(CO_Combined4[[#This Row],[Region ]]="E",1,0)</f>
        <v>0</v>
      </c>
      <c r="S350">
        <f>IF(CO_Combined4[[#This Row],[Region ]]="W",1,0)</f>
        <v>1</v>
      </c>
      <c r="T350">
        <f>IF(CO_Combined4[[#This Row],[Region ]]="S",1,0)</f>
        <v>0</v>
      </c>
      <c r="U350">
        <f>IF(CO_Combined4[[#This Row],[Ship Mode]]=1,1,0)</f>
        <v>0</v>
      </c>
      <c r="V350">
        <f>IF(CO_Combined4[[#This Row],[Ship Mode]]=2,1,0)</f>
        <v>1</v>
      </c>
      <c r="W350">
        <f>IF(CO_Combined4[[#This Row],[Ship Mode]]=3,1,0)</f>
        <v>0</v>
      </c>
      <c r="X350">
        <f t="shared" si="11"/>
        <v>1</v>
      </c>
      <c r="Y350">
        <v>3</v>
      </c>
      <c r="Z350">
        <v>1</v>
      </c>
    </row>
    <row r="351" spans="1:26" x14ac:dyDescent="0.2">
      <c r="A351" t="s">
        <v>1513</v>
      </c>
      <c r="B351" t="s">
        <v>514</v>
      </c>
      <c r="C351" t="s">
        <v>296</v>
      </c>
      <c r="D351" t="s">
        <v>150</v>
      </c>
      <c r="E351" t="s">
        <v>38</v>
      </c>
      <c r="F351" t="s">
        <v>17</v>
      </c>
      <c r="G351">
        <v>90032</v>
      </c>
      <c r="H351" t="s">
        <v>18</v>
      </c>
      <c r="I351">
        <v>42088</v>
      </c>
      <c r="J351">
        <v>1</v>
      </c>
      <c r="K351" t="s">
        <v>1134</v>
      </c>
      <c r="L351">
        <v>0</v>
      </c>
      <c r="M351" t="b">
        <v>0</v>
      </c>
      <c r="N351">
        <v>42086</v>
      </c>
      <c r="O351">
        <v>2</v>
      </c>
      <c r="P351">
        <f t="shared" si="10"/>
        <v>0</v>
      </c>
      <c r="Q351">
        <f>IF(CO_Combined4[[#This Row],[Segment]]="COR",1,0)</f>
        <v>1</v>
      </c>
      <c r="R351">
        <f>IF(CO_Combined4[[#This Row],[Region ]]="E",1,0)</f>
        <v>0</v>
      </c>
      <c r="S351">
        <f>IF(CO_Combined4[[#This Row],[Region ]]="W",1,0)</f>
        <v>1</v>
      </c>
      <c r="T351">
        <f>IF(CO_Combined4[[#This Row],[Region ]]="S",1,0)</f>
        <v>0</v>
      </c>
      <c r="U351">
        <f>IF(CO_Combined4[[#This Row],[Ship Mode]]=1,1,0)</f>
        <v>1</v>
      </c>
      <c r="V351">
        <f>IF(CO_Combined4[[#This Row],[Ship Mode]]=2,1,0)</f>
        <v>0</v>
      </c>
      <c r="W351">
        <f>IF(CO_Combined4[[#This Row],[Ship Mode]]=3,1,0)</f>
        <v>0</v>
      </c>
      <c r="X351">
        <f t="shared" si="11"/>
        <v>1</v>
      </c>
      <c r="Y351">
        <v>14</v>
      </c>
      <c r="Z351">
        <v>0</v>
      </c>
    </row>
    <row r="352" spans="1:26" x14ac:dyDescent="0.2">
      <c r="A352" t="s">
        <v>1515</v>
      </c>
      <c r="B352" t="s">
        <v>483</v>
      </c>
      <c r="C352" t="s">
        <v>250</v>
      </c>
      <c r="D352" t="s">
        <v>90</v>
      </c>
      <c r="E352" t="s">
        <v>251</v>
      </c>
      <c r="F352" t="s">
        <v>73</v>
      </c>
      <c r="G352">
        <v>40214</v>
      </c>
      <c r="H352" t="s">
        <v>47</v>
      </c>
      <c r="I352">
        <v>42554</v>
      </c>
      <c r="J352">
        <v>4</v>
      </c>
      <c r="K352" t="s">
        <v>766</v>
      </c>
      <c r="L352">
        <v>0.2</v>
      </c>
      <c r="M352" t="b">
        <v>1</v>
      </c>
      <c r="N352">
        <v>42551</v>
      </c>
      <c r="O352">
        <v>3</v>
      </c>
      <c r="P352">
        <f t="shared" si="10"/>
        <v>0</v>
      </c>
      <c r="Q352">
        <f>IF(CO_Combined4[[#This Row],[Segment]]="COR",1,0)</f>
        <v>0</v>
      </c>
      <c r="R352">
        <f>IF(CO_Combined4[[#This Row],[Region ]]="E",1,0)</f>
        <v>0</v>
      </c>
      <c r="S352">
        <f>IF(CO_Combined4[[#This Row],[Region ]]="W",1,0)</f>
        <v>0</v>
      </c>
      <c r="T352">
        <f>IF(CO_Combined4[[#This Row],[Region ]]="S",1,0)</f>
        <v>1</v>
      </c>
      <c r="U352">
        <f>IF(CO_Combined4[[#This Row],[Ship Mode]]=1,1,0)</f>
        <v>0</v>
      </c>
      <c r="V352">
        <f>IF(CO_Combined4[[#This Row],[Ship Mode]]=2,1,0)</f>
        <v>0</v>
      </c>
      <c r="W352">
        <f>IF(CO_Combined4[[#This Row],[Ship Mode]]=3,1,0)</f>
        <v>0</v>
      </c>
      <c r="X352">
        <f t="shared" si="11"/>
        <v>0</v>
      </c>
      <c r="Y352">
        <v>7</v>
      </c>
      <c r="Z352">
        <v>1</v>
      </c>
    </row>
    <row r="353" spans="1:26" x14ac:dyDescent="0.2">
      <c r="A353" t="s">
        <v>1516</v>
      </c>
      <c r="B353" t="s">
        <v>567</v>
      </c>
      <c r="C353" t="s">
        <v>378</v>
      </c>
      <c r="D353" t="s">
        <v>150</v>
      </c>
      <c r="E353" t="s">
        <v>97</v>
      </c>
      <c r="F353" t="s">
        <v>67</v>
      </c>
      <c r="G353">
        <v>19140</v>
      </c>
      <c r="H353" t="s">
        <v>27</v>
      </c>
      <c r="I353">
        <v>42724</v>
      </c>
      <c r="J353">
        <v>2</v>
      </c>
      <c r="K353" t="s">
        <v>688</v>
      </c>
      <c r="L353">
        <v>0.2</v>
      </c>
      <c r="M353" t="b">
        <v>0</v>
      </c>
      <c r="N353">
        <v>42722</v>
      </c>
      <c r="O353">
        <v>2</v>
      </c>
      <c r="P353">
        <f t="shared" si="10"/>
        <v>0</v>
      </c>
      <c r="Q353">
        <f>IF(CO_Combined4[[#This Row],[Segment]]="COR",1,0)</f>
        <v>1</v>
      </c>
      <c r="R353">
        <f>IF(CO_Combined4[[#This Row],[Region ]]="E",1,0)</f>
        <v>1</v>
      </c>
      <c r="S353">
        <f>IF(CO_Combined4[[#This Row],[Region ]]="W",1,0)</f>
        <v>0</v>
      </c>
      <c r="T353">
        <f>IF(CO_Combined4[[#This Row],[Region ]]="S",1,0)</f>
        <v>0</v>
      </c>
      <c r="U353">
        <f>IF(CO_Combined4[[#This Row],[Ship Mode]]=1,1,0)</f>
        <v>0</v>
      </c>
      <c r="V353">
        <f>IF(CO_Combined4[[#This Row],[Ship Mode]]=2,1,0)</f>
        <v>1</v>
      </c>
      <c r="W353">
        <f>IF(CO_Combined4[[#This Row],[Ship Mode]]=3,1,0)</f>
        <v>0</v>
      </c>
      <c r="X353">
        <f t="shared" si="11"/>
        <v>1</v>
      </c>
      <c r="Y353">
        <v>7</v>
      </c>
      <c r="Z353">
        <v>1</v>
      </c>
    </row>
    <row r="354" spans="1:26" x14ac:dyDescent="0.2">
      <c r="A354" t="s">
        <v>1517</v>
      </c>
      <c r="B354" t="s">
        <v>494</v>
      </c>
      <c r="C354" t="s">
        <v>266</v>
      </c>
      <c r="D354" t="s">
        <v>150</v>
      </c>
      <c r="E354" t="s">
        <v>267</v>
      </c>
      <c r="F354" t="s">
        <v>166</v>
      </c>
      <c r="G354">
        <v>33317</v>
      </c>
      <c r="H354" t="s">
        <v>47</v>
      </c>
      <c r="I354">
        <v>41737</v>
      </c>
      <c r="J354">
        <v>4</v>
      </c>
      <c r="K354" t="s">
        <v>1518</v>
      </c>
      <c r="L354">
        <v>0</v>
      </c>
      <c r="M354" t="b">
        <v>0</v>
      </c>
      <c r="N354">
        <v>41731</v>
      </c>
      <c r="O354">
        <v>6</v>
      </c>
      <c r="P354">
        <f t="shared" si="10"/>
        <v>0</v>
      </c>
      <c r="Q354">
        <f>IF(CO_Combined4[[#This Row],[Segment]]="COR",1,0)</f>
        <v>1</v>
      </c>
      <c r="R354">
        <f>IF(CO_Combined4[[#This Row],[Region ]]="E",1,0)</f>
        <v>0</v>
      </c>
      <c r="S354">
        <f>IF(CO_Combined4[[#This Row],[Region ]]="W",1,0)</f>
        <v>0</v>
      </c>
      <c r="T354">
        <f>IF(CO_Combined4[[#This Row],[Region ]]="S",1,0)</f>
        <v>1</v>
      </c>
      <c r="U354">
        <f>IF(CO_Combined4[[#This Row],[Ship Mode]]=1,1,0)</f>
        <v>0</v>
      </c>
      <c r="V354">
        <f>IF(CO_Combined4[[#This Row],[Ship Mode]]=2,1,0)</f>
        <v>0</v>
      </c>
      <c r="W354">
        <f>IF(CO_Combined4[[#This Row],[Ship Mode]]=3,1,0)</f>
        <v>0</v>
      </c>
      <c r="X354">
        <f t="shared" si="11"/>
        <v>1</v>
      </c>
      <c r="Y354">
        <v>2</v>
      </c>
      <c r="Z354">
        <v>0</v>
      </c>
    </row>
    <row r="355" spans="1:26" x14ac:dyDescent="0.2">
      <c r="A355" t="s">
        <v>1519</v>
      </c>
      <c r="B355" t="s">
        <v>494</v>
      </c>
      <c r="C355" t="s">
        <v>266</v>
      </c>
      <c r="D355" t="s">
        <v>150</v>
      </c>
      <c r="E355" t="s">
        <v>267</v>
      </c>
      <c r="F355" t="s">
        <v>166</v>
      </c>
      <c r="G355">
        <v>33317</v>
      </c>
      <c r="H355" t="s">
        <v>47</v>
      </c>
      <c r="I355">
        <v>42651</v>
      </c>
      <c r="J355">
        <v>4</v>
      </c>
      <c r="K355" t="s">
        <v>1520</v>
      </c>
      <c r="L355">
        <v>0.2</v>
      </c>
      <c r="M355" t="b">
        <v>0</v>
      </c>
      <c r="N355">
        <v>42647</v>
      </c>
      <c r="O355">
        <v>4</v>
      </c>
      <c r="P355">
        <f t="shared" si="10"/>
        <v>0</v>
      </c>
      <c r="Q355">
        <f>IF(CO_Combined4[[#This Row],[Segment]]="COR",1,0)</f>
        <v>1</v>
      </c>
      <c r="R355">
        <f>IF(CO_Combined4[[#This Row],[Region ]]="E",1,0)</f>
        <v>0</v>
      </c>
      <c r="S355">
        <f>IF(CO_Combined4[[#This Row],[Region ]]="W",1,0)</f>
        <v>0</v>
      </c>
      <c r="T355">
        <f>IF(CO_Combined4[[#This Row],[Region ]]="S",1,0)</f>
        <v>1</v>
      </c>
      <c r="U355">
        <f>IF(CO_Combined4[[#This Row],[Ship Mode]]=1,1,0)</f>
        <v>0</v>
      </c>
      <c r="V355">
        <f>IF(CO_Combined4[[#This Row],[Ship Mode]]=2,1,0)</f>
        <v>0</v>
      </c>
      <c r="W355">
        <f>IF(CO_Combined4[[#This Row],[Ship Mode]]=3,1,0)</f>
        <v>0</v>
      </c>
      <c r="X355">
        <f t="shared" si="11"/>
        <v>1</v>
      </c>
      <c r="Y355">
        <v>6</v>
      </c>
      <c r="Z355">
        <v>1</v>
      </c>
    </row>
    <row r="356" spans="1:26" x14ac:dyDescent="0.2">
      <c r="A356" t="s">
        <v>1521</v>
      </c>
      <c r="B356" t="s">
        <v>540</v>
      </c>
      <c r="C356" t="s">
        <v>335</v>
      </c>
      <c r="D356" t="s">
        <v>9</v>
      </c>
      <c r="E356" t="s">
        <v>97</v>
      </c>
      <c r="F356" t="s">
        <v>67</v>
      </c>
      <c r="G356">
        <v>19143</v>
      </c>
      <c r="H356" t="s">
        <v>27</v>
      </c>
      <c r="I356">
        <v>41999</v>
      </c>
      <c r="J356">
        <v>2</v>
      </c>
      <c r="K356" t="s">
        <v>1522</v>
      </c>
      <c r="L356">
        <v>0</v>
      </c>
      <c r="M356" t="b">
        <v>0</v>
      </c>
      <c r="N356">
        <v>41997</v>
      </c>
      <c r="O356">
        <v>2</v>
      </c>
      <c r="P356">
        <f t="shared" si="10"/>
        <v>1</v>
      </c>
      <c r="Q356">
        <f>IF(CO_Combined4[[#This Row],[Segment]]="COR",1,0)</f>
        <v>0</v>
      </c>
      <c r="R356">
        <f>IF(CO_Combined4[[#This Row],[Region ]]="E",1,0)</f>
        <v>1</v>
      </c>
      <c r="S356">
        <f>IF(CO_Combined4[[#This Row],[Region ]]="W",1,0)</f>
        <v>0</v>
      </c>
      <c r="T356">
        <f>IF(CO_Combined4[[#This Row],[Region ]]="S",1,0)</f>
        <v>0</v>
      </c>
      <c r="U356">
        <f>IF(CO_Combined4[[#This Row],[Ship Mode]]=1,1,0)</f>
        <v>0</v>
      </c>
      <c r="V356">
        <f>IF(CO_Combined4[[#This Row],[Ship Mode]]=2,1,0)</f>
        <v>1</v>
      </c>
      <c r="W356">
        <f>IF(CO_Combined4[[#This Row],[Ship Mode]]=3,1,0)</f>
        <v>0</v>
      </c>
      <c r="X356">
        <f t="shared" si="11"/>
        <v>1</v>
      </c>
      <c r="Y356">
        <v>1</v>
      </c>
      <c r="Z356">
        <v>0</v>
      </c>
    </row>
    <row r="357" spans="1:26" x14ac:dyDescent="0.2">
      <c r="A357" t="s">
        <v>1523</v>
      </c>
      <c r="B357" t="s">
        <v>402</v>
      </c>
      <c r="C357" t="s">
        <v>117</v>
      </c>
      <c r="D357" t="s">
        <v>9</v>
      </c>
      <c r="E357" t="s">
        <v>118</v>
      </c>
      <c r="F357" t="s">
        <v>119</v>
      </c>
      <c r="G357">
        <v>48205</v>
      </c>
      <c r="H357" t="s">
        <v>12</v>
      </c>
      <c r="I357">
        <v>42725</v>
      </c>
      <c r="J357">
        <v>4</v>
      </c>
      <c r="K357" t="s">
        <v>1524</v>
      </c>
      <c r="L357">
        <v>0</v>
      </c>
      <c r="M357" t="b">
        <v>1</v>
      </c>
      <c r="N357">
        <v>42721</v>
      </c>
      <c r="O357">
        <v>4</v>
      </c>
      <c r="P357">
        <f t="shared" si="10"/>
        <v>1</v>
      </c>
      <c r="Q357">
        <f>IF(CO_Combined4[[#This Row],[Segment]]="COR",1,0)</f>
        <v>0</v>
      </c>
      <c r="R357">
        <f>IF(CO_Combined4[[#This Row],[Region ]]="E",1,0)</f>
        <v>0</v>
      </c>
      <c r="S357">
        <f>IF(CO_Combined4[[#This Row],[Region ]]="W",1,0)</f>
        <v>0</v>
      </c>
      <c r="T357">
        <f>IF(CO_Combined4[[#This Row],[Region ]]="S",1,0)</f>
        <v>0</v>
      </c>
      <c r="U357">
        <f>IF(CO_Combined4[[#This Row],[Ship Mode]]=1,1,0)</f>
        <v>0</v>
      </c>
      <c r="V357">
        <f>IF(CO_Combined4[[#This Row],[Ship Mode]]=2,1,0)</f>
        <v>0</v>
      </c>
      <c r="W357">
        <f>IF(CO_Combined4[[#This Row],[Ship Mode]]=3,1,0)</f>
        <v>0</v>
      </c>
      <c r="X357">
        <f t="shared" si="11"/>
        <v>0</v>
      </c>
      <c r="Y357">
        <v>13</v>
      </c>
      <c r="Z357">
        <v>0</v>
      </c>
    </row>
    <row r="358" spans="1:26" x14ac:dyDescent="0.2">
      <c r="A358" t="s">
        <v>1525</v>
      </c>
      <c r="B358" t="s">
        <v>503</v>
      </c>
      <c r="C358" t="s">
        <v>278</v>
      </c>
      <c r="D358" t="s">
        <v>150</v>
      </c>
      <c r="E358" t="s">
        <v>270</v>
      </c>
      <c r="F358" t="s">
        <v>95</v>
      </c>
      <c r="G358">
        <v>22153</v>
      </c>
      <c r="H358" t="s">
        <v>47</v>
      </c>
      <c r="I358">
        <v>42146</v>
      </c>
      <c r="J358">
        <v>4</v>
      </c>
      <c r="K358" t="s">
        <v>869</v>
      </c>
      <c r="L358">
        <v>0</v>
      </c>
      <c r="M358" t="b">
        <v>0</v>
      </c>
      <c r="N358">
        <v>42142</v>
      </c>
      <c r="O358">
        <v>4</v>
      </c>
      <c r="P358">
        <f t="shared" si="10"/>
        <v>0</v>
      </c>
      <c r="Q358">
        <f>IF(CO_Combined4[[#This Row],[Segment]]="COR",1,0)</f>
        <v>1</v>
      </c>
      <c r="R358">
        <f>IF(CO_Combined4[[#This Row],[Region ]]="E",1,0)</f>
        <v>0</v>
      </c>
      <c r="S358">
        <f>IF(CO_Combined4[[#This Row],[Region ]]="W",1,0)</f>
        <v>0</v>
      </c>
      <c r="T358">
        <f>IF(CO_Combined4[[#This Row],[Region ]]="S",1,0)</f>
        <v>1</v>
      </c>
      <c r="U358">
        <f>IF(CO_Combined4[[#This Row],[Ship Mode]]=1,1,0)</f>
        <v>0</v>
      </c>
      <c r="V358">
        <f>IF(CO_Combined4[[#This Row],[Ship Mode]]=2,1,0)</f>
        <v>0</v>
      </c>
      <c r="W358">
        <f>IF(CO_Combined4[[#This Row],[Ship Mode]]=3,1,0)</f>
        <v>0</v>
      </c>
      <c r="X358">
        <f t="shared" si="11"/>
        <v>1</v>
      </c>
      <c r="Y358">
        <v>2</v>
      </c>
      <c r="Z358">
        <v>0</v>
      </c>
    </row>
    <row r="359" spans="1:26" x14ac:dyDescent="0.2">
      <c r="A359" t="s">
        <v>1526</v>
      </c>
      <c r="B359" t="s">
        <v>535</v>
      </c>
      <c r="C359" t="s">
        <v>326</v>
      </c>
      <c r="D359" t="s">
        <v>150</v>
      </c>
      <c r="E359" t="s">
        <v>327</v>
      </c>
      <c r="F359" t="s">
        <v>86</v>
      </c>
      <c r="G359">
        <v>98661</v>
      </c>
      <c r="H359" t="s">
        <v>18</v>
      </c>
      <c r="I359">
        <v>42539</v>
      </c>
      <c r="J359">
        <v>3</v>
      </c>
      <c r="K359" t="s">
        <v>1527</v>
      </c>
      <c r="L359">
        <v>0</v>
      </c>
      <c r="M359" t="b">
        <v>0</v>
      </c>
      <c r="N359">
        <v>42535</v>
      </c>
      <c r="O359">
        <v>4</v>
      </c>
      <c r="P359">
        <f t="shared" si="10"/>
        <v>0</v>
      </c>
      <c r="Q359">
        <f>IF(CO_Combined4[[#This Row],[Segment]]="COR",1,0)</f>
        <v>1</v>
      </c>
      <c r="R359">
        <f>IF(CO_Combined4[[#This Row],[Region ]]="E",1,0)</f>
        <v>0</v>
      </c>
      <c r="S359">
        <f>IF(CO_Combined4[[#This Row],[Region ]]="W",1,0)</f>
        <v>1</v>
      </c>
      <c r="T359">
        <f>IF(CO_Combined4[[#This Row],[Region ]]="S",1,0)</f>
        <v>0</v>
      </c>
      <c r="U359">
        <f>IF(CO_Combined4[[#This Row],[Ship Mode]]=1,1,0)</f>
        <v>0</v>
      </c>
      <c r="V359">
        <f>IF(CO_Combined4[[#This Row],[Ship Mode]]=2,1,0)</f>
        <v>0</v>
      </c>
      <c r="W359">
        <f>IF(CO_Combined4[[#This Row],[Ship Mode]]=3,1,0)</f>
        <v>1</v>
      </c>
      <c r="X359">
        <f t="shared" si="11"/>
        <v>1</v>
      </c>
      <c r="Y359">
        <v>7</v>
      </c>
      <c r="Z359">
        <v>0</v>
      </c>
    </row>
    <row r="360" spans="1:26" x14ac:dyDescent="0.2">
      <c r="A360" t="s">
        <v>1528</v>
      </c>
      <c r="B360" t="s">
        <v>489</v>
      </c>
      <c r="C360" t="s">
        <v>261</v>
      </c>
      <c r="D360" t="s">
        <v>9</v>
      </c>
      <c r="E360" t="s">
        <v>85</v>
      </c>
      <c r="F360" t="s">
        <v>86</v>
      </c>
      <c r="G360">
        <v>98105</v>
      </c>
      <c r="H360" t="s">
        <v>18</v>
      </c>
      <c r="I360">
        <v>43023</v>
      </c>
      <c r="J360">
        <v>2</v>
      </c>
      <c r="K360" t="s">
        <v>1529</v>
      </c>
      <c r="L360">
        <v>0</v>
      </c>
      <c r="M360" t="b">
        <v>0</v>
      </c>
      <c r="N360">
        <v>43021</v>
      </c>
      <c r="O360">
        <v>2</v>
      </c>
      <c r="P360">
        <f t="shared" si="10"/>
        <v>1</v>
      </c>
      <c r="Q360">
        <f>IF(CO_Combined4[[#This Row],[Segment]]="COR",1,0)</f>
        <v>0</v>
      </c>
      <c r="R360">
        <f>IF(CO_Combined4[[#This Row],[Region ]]="E",1,0)</f>
        <v>0</v>
      </c>
      <c r="S360">
        <f>IF(CO_Combined4[[#This Row],[Region ]]="W",1,0)</f>
        <v>1</v>
      </c>
      <c r="T360">
        <f>IF(CO_Combined4[[#This Row],[Region ]]="S",1,0)</f>
        <v>0</v>
      </c>
      <c r="U360">
        <f>IF(CO_Combined4[[#This Row],[Ship Mode]]=1,1,0)</f>
        <v>0</v>
      </c>
      <c r="V360">
        <f>IF(CO_Combined4[[#This Row],[Ship Mode]]=2,1,0)</f>
        <v>1</v>
      </c>
      <c r="W360">
        <f>IF(CO_Combined4[[#This Row],[Ship Mode]]=3,1,0)</f>
        <v>0</v>
      </c>
      <c r="X360">
        <f t="shared" si="11"/>
        <v>1</v>
      </c>
      <c r="Y360">
        <v>8</v>
      </c>
      <c r="Z360">
        <v>0</v>
      </c>
    </row>
    <row r="361" spans="1:26" x14ac:dyDescent="0.2">
      <c r="A361" t="s">
        <v>1530</v>
      </c>
      <c r="B361" t="s">
        <v>511</v>
      </c>
      <c r="C361" t="s">
        <v>291</v>
      </c>
      <c r="D361" t="s">
        <v>9</v>
      </c>
      <c r="E361" t="s">
        <v>118</v>
      </c>
      <c r="F361" t="s">
        <v>119</v>
      </c>
      <c r="G361">
        <v>48227</v>
      </c>
      <c r="H361" t="s">
        <v>12</v>
      </c>
      <c r="I361">
        <v>42160</v>
      </c>
      <c r="J361">
        <v>4</v>
      </c>
      <c r="K361" t="s">
        <v>757</v>
      </c>
      <c r="L361">
        <v>0</v>
      </c>
      <c r="M361" t="b">
        <v>0</v>
      </c>
      <c r="N361">
        <v>42156</v>
      </c>
      <c r="O361">
        <v>4</v>
      </c>
      <c r="P361">
        <f t="shared" si="10"/>
        <v>1</v>
      </c>
      <c r="Q361">
        <f>IF(CO_Combined4[[#This Row],[Segment]]="COR",1,0)</f>
        <v>0</v>
      </c>
      <c r="R361">
        <f>IF(CO_Combined4[[#This Row],[Region ]]="E",1,0)</f>
        <v>0</v>
      </c>
      <c r="S361">
        <f>IF(CO_Combined4[[#This Row],[Region ]]="W",1,0)</f>
        <v>0</v>
      </c>
      <c r="T361">
        <f>IF(CO_Combined4[[#This Row],[Region ]]="S",1,0)</f>
        <v>0</v>
      </c>
      <c r="U361">
        <f>IF(CO_Combined4[[#This Row],[Ship Mode]]=1,1,0)</f>
        <v>0</v>
      </c>
      <c r="V361">
        <f>IF(CO_Combined4[[#This Row],[Ship Mode]]=2,1,0)</f>
        <v>0</v>
      </c>
      <c r="W361">
        <f>IF(CO_Combined4[[#This Row],[Ship Mode]]=3,1,0)</f>
        <v>0</v>
      </c>
      <c r="X361">
        <f t="shared" si="11"/>
        <v>1</v>
      </c>
      <c r="Y361">
        <v>17</v>
      </c>
      <c r="Z361">
        <v>0</v>
      </c>
    </row>
    <row r="362" spans="1:26" x14ac:dyDescent="0.2">
      <c r="A362" t="s">
        <v>1533</v>
      </c>
      <c r="B362" t="s">
        <v>403</v>
      </c>
      <c r="C362" t="s">
        <v>120</v>
      </c>
      <c r="D362" t="s">
        <v>9</v>
      </c>
      <c r="E362" t="s">
        <v>121</v>
      </c>
      <c r="F362" t="s">
        <v>22</v>
      </c>
      <c r="G362">
        <v>77041</v>
      </c>
      <c r="H362" t="s">
        <v>12</v>
      </c>
      <c r="I362">
        <v>42320</v>
      </c>
      <c r="J362">
        <v>4</v>
      </c>
      <c r="K362" t="s">
        <v>1537</v>
      </c>
      <c r="L362">
        <v>0.4</v>
      </c>
      <c r="M362" t="b">
        <v>0</v>
      </c>
      <c r="N362">
        <v>42315</v>
      </c>
      <c r="O362">
        <v>5</v>
      </c>
      <c r="P362">
        <f t="shared" si="10"/>
        <v>1</v>
      </c>
      <c r="Q362">
        <f>IF(CO_Combined4[[#This Row],[Segment]]="COR",1,0)</f>
        <v>0</v>
      </c>
      <c r="R362">
        <f>IF(CO_Combined4[[#This Row],[Region ]]="E",1,0)</f>
        <v>0</v>
      </c>
      <c r="S362">
        <f>IF(CO_Combined4[[#This Row],[Region ]]="W",1,0)</f>
        <v>0</v>
      </c>
      <c r="T362">
        <f>IF(CO_Combined4[[#This Row],[Region ]]="S",1,0)</f>
        <v>0</v>
      </c>
      <c r="U362">
        <f>IF(CO_Combined4[[#This Row],[Ship Mode]]=1,1,0)</f>
        <v>0</v>
      </c>
      <c r="V362">
        <f>IF(CO_Combined4[[#This Row],[Ship Mode]]=2,1,0)</f>
        <v>0</v>
      </c>
      <c r="W362">
        <f>IF(CO_Combined4[[#This Row],[Ship Mode]]=3,1,0)</f>
        <v>0</v>
      </c>
      <c r="X362">
        <f t="shared" si="11"/>
        <v>1</v>
      </c>
      <c r="Y362">
        <v>25</v>
      </c>
      <c r="Z362">
        <v>1</v>
      </c>
    </row>
    <row r="363" spans="1:26" x14ac:dyDescent="0.2">
      <c r="A363" t="s">
        <v>1538</v>
      </c>
      <c r="B363" t="s">
        <v>538</v>
      </c>
      <c r="C363" t="s">
        <v>331</v>
      </c>
      <c r="D363" t="s">
        <v>150</v>
      </c>
      <c r="E363" t="s">
        <v>332</v>
      </c>
      <c r="F363" t="s">
        <v>42</v>
      </c>
      <c r="G363">
        <v>97756</v>
      </c>
      <c r="H363" t="s">
        <v>18</v>
      </c>
      <c r="I363">
        <v>42983</v>
      </c>
      <c r="J363">
        <v>2</v>
      </c>
      <c r="K363" t="s">
        <v>1539</v>
      </c>
      <c r="L363">
        <v>0.7</v>
      </c>
      <c r="M363" t="b">
        <v>0</v>
      </c>
      <c r="N363">
        <v>42982</v>
      </c>
      <c r="O363">
        <v>1</v>
      </c>
      <c r="P363">
        <f t="shared" si="10"/>
        <v>0</v>
      </c>
      <c r="Q363">
        <f>IF(CO_Combined4[[#This Row],[Segment]]="COR",1,0)</f>
        <v>1</v>
      </c>
      <c r="R363">
        <f>IF(CO_Combined4[[#This Row],[Region ]]="E",1,0)</f>
        <v>0</v>
      </c>
      <c r="S363">
        <f>IF(CO_Combined4[[#This Row],[Region ]]="W",1,0)</f>
        <v>1</v>
      </c>
      <c r="T363">
        <f>IF(CO_Combined4[[#This Row],[Region ]]="S",1,0)</f>
        <v>0</v>
      </c>
      <c r="U363">
        <f>IF(CO_Combined4[[#This Row],[Ship Mode]]=1,1,0)</f>
        <v>0</v>
      </c>
      <c r="V363">
        <f>IF(CO_Combined4[[#This Row],[Ship Mode]]=2,1,0)</f>
        <v>1</v>
      </c>
      <c r="W363">
        <f>IF(CO_Combined4[[#This Row],[Ship Mode]]=3,1,0)</f>
        <v>0</v>
      </c>
      <c r="X363">
        <f t="shared" si="11"/>
        <v>1</v>
      </c>
      <c r="Y363">
        <v>7</v>
      </c>
      <c r="Z363">
        <v>1</v>
      </c>
    </row>
    <row r="364" spans="1:26" x14ac:dyDescent="0.2">
      <c r="A364" t="s">
        <v>1540</v>
      </c>
      <c r="B364" t="s">
        <v>469</v>
      </c>
      <c r="C364" t="s">
        <v>231</v>
      </c>
      <c r="D364" t="s">
        <v>9</v>
      </c>
      <c r="E364" t="s">
        <v>232</v>
      </c>
      <c r="F364" t="s">
        <v>233</v>
      </c>
      <c r="G364">
        <v>54703</v>
      </c>
      <c r="H364" t="s">
        <v>12</v>
      </c>
      <c r="I364">
        <v>42716</v>
      </c>
      <c r="J364">
        <v>4</v>
      </c>
      <c r="K364" t="s">
        <v>1541</v>
      </c>
      <c r="L364">
        <v>0</v>
      </c>
      <c r="M364" t="b">
        <v>0</v>
      </c>
      <c r="N364">
        <v>42712</v>
      </c>
      <c r="O364">
        <v>4</v>
      </c>
      <c r="P364">
        <f t="shared" si="10"/>
        <v>1</v>
      </c>
      <c r="Q364">
        <f>IF(CO_Combined4[[#This Row],[Segment]]="COR",1,0)</f>
        <v>0</v>
      </c>
      <c r="R364">
        <f>IF(CO_Combined4[[#This Row],[Region ]]="E",1,0)</f>
        <v>0</v>
      </c>
      <c r="S364">
        <f>IF(CO_Combined4[[#This Row],[Region ]]="W",1,0)</f>
        <v>0</v>
      </c>
      <c r="T364">
        <f>IF(CO_Combined4[[#This Row],[Region ]]="S",1,0)</f>
        <v>0</v>
      </c>
      <c r="U364">
        <f>IF(CO_Combined4[[#This Row],[Ship Mode]]=1,1,0)</f>
        <v>0</v>
      </c>
      <c r="V364">
        <f>IF(CO_Combined4[[#This Row],[Ship Mode]]=2,1,0)</f>
        <v>0</v>
      </c>
      <c r="W364">
        <f>IF(CO_Combined4[[#This Row],[Ship Mode]]=3,1,0)</f>
        <v>0</v>
      </c>
      <c r="X364">
        <f t="shared" si="11"/>
        <v>1</v>
      </c>
      <c r="Y364">
        <v>10</v>
      </c>
      <c r="Z364">
        <v>0</v>
      </c>
    </row>
    <row r="365" spans="1:26" x14ac:dyDescent="0.2">
      <c r="A365" t="s">
        <v>1542</v>
      </c>
      <c r="B365" t="s">
        <v>404</v>
      </c>
      <c r="C365" t="s">
        <v>122</v>
      </c>
      <c r="D365" t="s">
        <v>9</v>
      </c>
      <c r="E365" t="s">
        <v>123</v>
      </c>
      <c r="F365" t="s">
        <v>124</v>
      </c>
      <c r="G365">
        <v>61701</v>
      </c>
      <c r="H365" t="s">
        <v>12</v>
      </c>
      <c r="I365">
        <v>42954</v>
      </c>
      <c r="J365">
        <v>4</v>
      </c>
      <c r="K365" t="s">
        <v>1543</v>
      </c>
      <c r="L365">
        <v>0.2</v>
      </c>
      <c r="M365" t="b">
        <v>0</v>
      </c>
      <c r="N365">
        <v>42950</v>
      </c>
      <c r="O365">
        <v>4</v>
      </c>
      <c r="P365">
        <f t="shared" si="10"/>
        <v>1</v>
      </c>
      <c r="Q365">
        <f>IF(CO_Combined4[[#This Row],[Segment]]="COR",1,0)</f>
        <v>0</v>
      </c>
      <c r="R365">
        <f>IF(CO_Combined4[[#This Row],[Region ]]="E",1,0)</f>
        <v>0</v>
      </c>
      <c r="S365">
        <f>IF(CO_Combined4[[#This Row],[Region ]]="W",1,0)</f>
        <v>0</v>
      </c>
      <c r="T365">
        <f>IF(CO_Combined4[[#This Row],[Region ]]="S",1,0)</f>
        <v>0</v>
      </c>
      <c r="U365">
        <f>IF(CO_Combined4[[#This Row],[Ship Mode]]=1,1,0)</f>
        <v>0</v>
      </c>
      <c r="V365">
        <f>IF(CO_Combined4[[#This Row],[Ship Mode]]=2,1,0)</f>
        <v>0</v>
      </c>
      <c r="W365">
        <f>IF(CO_Combined4[[#This Row],[Ship Mode]]=3,1,0)</f>
        <v>0</v>
      </c>
      <c r="X365">
        <f t="shared" si="11"/>
        <v>1</v>
      </c>
      <c r="Y365">
        <v>3</v>
      </c>
      <c r="Z365">
        <v>1</v>
      </c>
    </row>
    <row r="366" spans="1:26" x14ac:dyDescent="0.2">
      <c r="A366" t="s">
        <v>1544</v>
      </c>
      <c r="B366" t="s">
        <v>502</v>
      </c>
      <c r="C366" t="s">
        <v>277</v>
      </c>
      <c r="D366" t="s">
        <v>9</v>
      </c>
      <c r="E366" t="s">
        <v>258</v>
      </c>
      <c r="F366" t="s">
        <v>17</v>
      </c>
      <c r="G366">
        <v>94513</v>
      </c>
      <c r="H366" t="s">
        <v>18</v>
      </c>
      <c r="I366">
        <v>42082</v>
      </c>
      <c r="J366">
        <v>1</v>
      </c>
      <c r="K366" t="s">
        <v>717</v>
      </c>
      <c r="L366">
        <v>0</v>
      </c>
      <c r="M366" t="b">
        <v>0</v>
      </c>
      <c r="N366">
        <v>42077</v>
      </c>
      <c r="O366">
        <v>5</v>
      </c>
      <c r="P366">
        <f t="shared" si="10"/>
        <v>1</v>
      </c>
      <c r="Q366">
        <f>IF(CO_Combined4[[#This Row],[Segment]]="COR",1,0)</f>
        <v>0</v>
      </c>
      <c r="R366">
        <f>IF(CO_Combined4[[#This Row],[Region ]]="E",1,0)</f>
        <v>0</v>
      </c>
      <c r="S366">
        <f>IF(CO_Combined4[[#This Row],[Region ]]="W",1,0)</f>
        <v>1</v>
      </c>
      <c r="T366">
        <f>IF(CO_Combined4[[#This Row],[Region ]]="S",1,0)</f>
        <v>0</v>
      </c>
      <c r="U366">
        <f>IF(CO_Combined4[[#This Row],[Ship Mode]]=1,1,0)</f>
        <v>1</v>
      </c>
      <c r="V366">
        <f>IF(CO_Combined4[[#This Row],[Ship Mode]]=2,1,0)</f>
        <v>0</v>
      </c>
      <c r="W366">
        <f>IF(CO_Combined4[[#This Row],[Ship Mode]]=3,1,0)</f>
        <v>0</v>
      </c>
      <c r="X366">
        <f t="shared" si="11"/>
        <v>1</v>
      </c>
      <c r="Y366">
        <v>3</v>
      </c>
      <c r="Z366">
        <v>0</v>
      </c>
    </row>
    <row r="367" spans="1:26" x14ac:dyDescent="0.2">
      <c r="A367" t="s">
        <v>1545</v>
      </c>
      <c r="B367" t="s">
        <v>564</v>
      </c>
      <c r="C367" t="s">
        <v>373</v>
      </c>
      <c r="D367" t="s">
        <v>90</v>
      </c>
      <c r="E367" t="s">
        <v>374</v>
      </c>
      <c r="F367" t="s">
        <v>179</v>
      </c>
      <c r="G367">
        <v>59601</v>
      </c>
      <c r="H367" t="s">
        <v>18</v>
      </c>
      <c r="I367">
        <v>43056</v>
      </c>
      <c r="J367">
        <v>4</v>
      </c>
      <c r="K367" t="s">
        <v>1546</v>
      </c>
      <c r="L367">
        <v>0</v>
      </c>
      <c r="M367" t="b">
        <v>0</v>
      </c>
      <c r="N367">
        <v>43053</v>
      </c>
      <c r="O367">
        <v>3</v>
      </c>
      <c r="P367">
        <f t="shared" si="10"/>
        <v>0</v>
      </c>
      <c r="Q367">
        <f>IF(CO_Combined4[[#This Row],[Segment]]="COR",1,0)</f>
        <v>0</v>
      </c>
      <c r="R367">
        <f>IF(CO_Combined4[[#This Row],[Region ]]="E",1,0)</f>
        <v>0</v>
      </c>
      <c r="S367">
        <f>IF(CO_Combined4[[#This Row],[Region ]]="W",1,0)</f>
        <v>1</v>
      </c>
      <c r="T367">
        <f>IF(CO_Combined4[[#This Row],[Region ]]="S",1,0)</f>
        <v>0</v>
      </c>
      <c r="U367">
        <f>IF(CO_Combined4[[#This Row],[Ship Mode]]=1,1,0)</f>
        <v>0</v>
      </c>
      <c r="V367">
        <f>IF(CO_Combined4[[#This Row],[Ship Mode]]=2,1,0)</f>
        <v>0</v>
      </c>
      <c r="W367">
        <f>IF(CO_Combined4[[#This Row],[Ship Mode]]=3,1,0)</f>
        <v>0</v>
      </c>
      <c r="X367">
        <f t="shared" si="11"/>
        <v>1</v>
      </c>
      <c r="Y367">
        <v>2</v>
      </c>
      <c r="Z367">
        <v>0</v>
      </c>
    </row>
    <row r="368" spans="1:26" x14ac:dyDescent="0.2">
      <c r="A368" t="s">
        <v>1547</v>
      </c>
      <c r="B368" t="s">
        <v>489</v>
      </c>
      <c r="C368" t="s">
        <v>261</v>
      </c>
      <c r="D368" t="s">
        <v>9</v>
      </c>
      <c r="E368" t="s">
        <v>85</v>
      </c>
      <c r="F368" t="s">
        <v>86</v>
      </c>
      <c r="G368">
        <v>98105</v>
      </c>
      <c r="H368" t="s">
        <v>18</v>
      </c>
      <c r="I368">
        <v>42984</v>
      </c>
      <c r="J368">
        <v>2</v>
      </c>
      <c r="K368" t="s">
        <v>700</v>
      </c>
      <c r="L368">
        <v>0</v>
      </c>
      <c r="M368" t="b">
        <v>0</v>
      </c>
      <c r="N368">
        <v>42980</v>
      </c>
      <c r="O368">
        <v>4</v>
      </c>
      <c r="P368">
        <f t="shared" si="10"/>
        <v>1</v>
      </c>
      <c r="Q368">
        <f>IF(CO_Combined4[[#This Row],[Segment]]="COR",1,0)</f>
        <v>0</v>
      </c>
      <c r="R368">
        <f>IF(CO_Combined4[[#This Row],[Region ]]="E",1,0)</f>
        <v>0</v>
      </c>
      <c r="S368">
        <f>IF(CO_Combined4[[#This Row],[Region ]]="W",1,0)</f>
        <v>1</v>
      </c>
      <c r="T368">
        <f>IF(CO_Combined4[[#This Row],[Region ]]="S",1,0)</f>
        <v>0</v>
      </c>
      <c r="U368">
        <f>IF(CO_Combined4[[#This Row],[Ship Mode]]=1,1,0)</f>
        <v>0</v>
      </c>
      <c r="V368">
        <f>IF(CO_Combined4[[#This Row],[Ship Mode]]=2,1,0)</f>
        <v>1</v>
      </c>
      <c r="W368">
        <f>IF(CO_Combined4[[#This Row],[Ship Mode]]=3,1,0)</f>
        <v>0</v>
      </c>
      <c r="X368">
        <f t="shared" si="11"/>
        <v>1</v>
      </c>
      <c r="Y368">
        <v>3</v>
      </c>
      <c r="Z368">
        <v>0</v>
      </c>
    </row>
    <row r="369" spans="1:26" x14ac:dyDescent="0.2">
      <c r="A369" t="s">
        <v>1548</v>
      </c>
      <c r="B369" t="s">
        <v>513</v>
      </c>
      <c r="C369" t="s">
        <v>294</v>
      </c>
      <c r="D369" t="s">
        <v>150</v>
      </c>
      <c r="E369" t="s">
        <v>295</v>
      </c>
      <c r="F369" t="s">
        <v>22</v>
      </c>
      <c r="G369">
        <v>75051</v>
      </c>
      <c r="H369" t="s">
        <v>12</v>
      </c>
      <c r="I369">
        <v>42887</v>
      </c>
      <c r="J369">
        <v>4</v>
      </c>
      <c r="K369" t="s">
        <v>1549</v>
      </c>
      <c r="L369">
        <v>0.35</v>
      </c>
      <c r="M369" t="b">
        <v>0</v>
      </c>
      <c r="N369">
        <v>42883</v>
      </c>
      <c r="O369">
        <v>4</v>
      </c>
      <c r="P369">
        <f t="shared" si="10"/>
        <v>0</v>
      </c>
      <c r="Q369">
        <f>IF(CO_Combined4[[#This Row],[Segment]]="COR",1,0)</f>
        <v>1</v>
      </c>
      <c r="R369">
        <f>IF(CO_Combined4[[#This Row],[Region ]]="E",1,0)</f>
        <v>0</v>
      </c>
      <c r="S369">
        <f>IF(CO_Combined4[[#This Row],[Region ]]="W",1,0)</f>
        <v>0</v>
      </c>
      <c r="T369">
        <f>IF(CO_Combined4[[#This Row],[Region ]]="S",1,0)</f>
        <v>0</v>
      </c>
      <c r="U369">
        <f>IF(CO_Combined4[[#This Row],[Ship Mode]]=1,1,0)</f>
        <v>0</v>
      </c>
      <c r="V369">
        <f>IF(CO_Combined4[[#This Row],[Ship Mode]]=2,1,0)</f>
        <v>0</v>
      </c>
      <c r="W369">
        <f>IF(CO_Combined4[[#This Row],[Ship Mode]]=3,1,0)</f>
        <v>0</v>
      </c>
      <c r="X369">
        <f t="shared" si="11"/>
        <v>1</v>
      </c>
      <c r="Y369">
        <v>7</v>
      </c>
      <c r="Z369">
        <v>1</v>
      </c>
    </row>
    <row r="370" spans="1:26" x14ac:dyDescent="0.2">
      <c r="A370" t="s">
        <v>1551</v>
      </c>
      <c r="B370" t="s">
        <v>455</v>
      </c>
      <c r="C370" t="s">
        <v>210</v>
      </c>
      <c r="D370" t="s">
        <v>150</v>
      </c>
      <c r="E370" t="s">
        <v>118</v>
      </c>
      <c r="F370" t="s">
        <v>119</v>
      </c>
      <c r="G370">
        <v>48234</v>
      </c>
      <c r="H370" t="s">
        <v>12</v>
      </c>
      <c r="I370">
        <v>42319</v>
      </c>
      <c r="J370">
        <v>1</v>
      </c>
      <c r="K370" t="s">
        <v>1552</v>
      </c>
      <c r="L370">
        <v>0.05</v>
      </c>
      <c r="M370" t="b">
        <v>0</v>
      </c>
      <c r="N370">
        <v>42319</v>
      </c>
      <c r="O370">
        <v>0</v>
      </c>
      <c r="P370">
        <f t="shared" si="10"/>
        <v>0</v>
      </c>
      <c r="Q370">
        <f>IF(CO_Combined4[[#This Row],[Segment]]="COR",1,0)</f>
        <v>1</v>
      </c>
      <c r="R370">
        <f>IF(CO_Combined4[[#This Row],[Region ]]="E",1,0)</f>
        <v>0</v>
      </c>
      <c r="S370">
        <f>IF(CO_Combined4[[#This Row],[Region ]]="W",1,0)</f>
        <v>0</v>
      </c>
      <c r="T370">
        <f>IF(CO_Combined4[[#This Row],[Region ]]="S",1,0)</f>
        <v>0</v>
      </c>
      <c r="U370">
        <f>IF(CO_Combined4[[#This Row],[Ship Mode]]=1,1,0)</f>
        <v>1</v>
      </c>
      <c r="V370">
        <f>IF(CO_Combined4[[#This Row],[Ship Mode]]=2,1,0)</f>
        <v>0</v>
      </c>
      <c r="W370">
        <f>IF(CO_Combined4[[#This Row],[Ship Mode]]=3,1,0)</f>
        <v>0</v>
      </c>
      <c r="X370">
        <f t="shared" si="11"/>
        <v>1</v>
      </c>
      <c r="Y370">
        <v>9</v>
      </c>
      <c r="Z370">
        <v>1</v>
      </c>
    </row>
    <row r="371" spans="1:26" x14ac:dyDescent="0.2">
      <c r="A371" t="s">
        <v>1554</v>
      </c>
      <c r="B371" t="s">
        <v>536</v>
      </c>
      <c r="C371" t="s">
        <v>328</v>
      </c>
      <c r="D371" t="s">
        <v>150</v>
      </c>
      <c r="E371" t="s">
        <v>329</v>
      </c>
      <c r="F371" t="s">
        <v>22</v>
      </c>
      <c r="G371">
        <v>78745</v>
      </c>
      <c r="H371" t="s">
        <v>12</v>
      </c>
      <c r="I371">
        <v>42941</v>
      </c>
      <c r="J371">
        <v>4</v>
      </c>
      <c r="K371" t="s">
        <v>675</v>
      </c>
      <c r="L371">
        <v>3.3333333333333333E-2</v>
      </c>
      <c r="M371" t="b">
        <v>0</v>
      </c>
      <c r="N371">
        <v>42936</v>
      </c>
      <c r="O371">
        <v>5</v>
      </c>
      <c r="P371">
        <f t="shared" si="10"/>
        <v>0</v>
      </c>
      <c r="Q371">
        <f>IF(CO_Combined4[[#This Row],[Segment]]="COR",1,0)</f>
        <v>1</v>
      </c>
      <c r="R371">
        <f>IF(CO_Combined4[[#This Row],[Region ]]="E",1,0)</f>
        <v>0</v>
      </c>
      <c r="S371">
        <f>IF(CO_Combined4[[#This Row],[Region ]]="W",1,0)</f>
        <v>0</v>
      </c>
      <c r="T371">
        <f>IF(CO_Combined4[[#This Row],[Region ]]="S",1,0)</f>
        <v>0</v>
      </c>
      <c r="U371">
        <f>IF(CO_Combined4[[#This Row],[Ship Mode]]=1,1,0)</f>
        <v>0</v>
      </c>
      <c r="V371">
        <f>IF(CO_Combined4[[#This Row],[Ship Mode]]=2,1,0)</f>
        <v>0</v>
      </c>
      <c r="W371">
        <f>IF(CO_Combined4[[#This Row],[Ship Mode]]=3,1,0)</f>
        <v>0</v>
      </c>
      <c r="X371">
        <f t="shared" si="11"/>
        <v>1</v>
      </c>
      <c r="Y371">
        <v>8</v>
      </c>
      <c r="Z371">
        <v>1</v>
      </c>
    </row>
    <row r="372" spans="1:26" x14ac:dyDescent="0.2">
      <c r="A372" t="s">
        <v>1556</v>
      </c>
      <c r="B372" t="s">
        <v>510</v>
      </c>
      <c r="C372" t="s">
        <v>289</v>
      </c>
      <c r="D372" t="s">
        <v>9</v>
      </c>
      <c r="E372" t="s">
        <v>290</v>
      </c>
      <c r="F372" t="s">
        <v>63</v>
      </c>
      <c r="G372">
        <v>28403</v>
      </c>
      <c r="H372" t="s">
        <v>47</v>
      </c>
      <c r="I372">
        <v>42338</v>
      </c>
      <c r="J372">
        <v>3</v>
      </c>
      <c r="K372" t="s">
        <v>1557</v>
      </c>
      <c r="L372">
        <v>0</v>
      </c>
      <c r="M372" t="b">
        <v>0</v>
      </c>
      <c r="N372">
        <v>42336</v>
      </c>
      <c r="O372">
        <v>2</v>
      </c>
      <c r="P372">
        <f t="shared" si="10"/>
        <v>1</v>
      </c>
      <c r="Q372">
        <f>IF(CO_Combined4[[#This Row],[Segment]]="COR",1,0)</f>
        <v>0</v>
      </c>
      <c r="R372">
        <f>IF(CO_Combined4[[#This Row],[Region ]]="E",1,0)</f>
        <v>0</v>
      </c>
      <c r="S372">
        <f>IF(CO_Combined4[[#This Row],[Region ]]="W",1,0)</f>
        <v>0</v>
      </c>
      <c r="T372">
        <f>IF(CO_Combined4[[#This Row],[Region ]]="S",1,0)</f>
        <v>1</v>
      </c>
      <c r="U372">
        <f>IF(CO_Combined4[[#This Row],[Ship Mode]]=1,1,0)</f>
        <v>0</v>
      </c>
      <c r="V372">
        <f>IF(CO_Combined4[[#This Row],[Ship Mode]]=2,1,0)</f>
        <v>0</v>
      </c>
      <c r="W372">
        <f>IF(CO_Combined4[[#This Row],[Ship Mode]]=3,1,0)</f>
        <v>1</v>
      </c>
      <c r="X372">
        <f t="shared" si="11"/>
        <v>1</v>
      </c>
      <c r="Y372">
        <v>4</v>
      </c>
      <c r="Z372">
        <v>0</v>
      </c>
    </row>
    <row r="373" spans="1:26" x14ac:dyDescent="0.2">
      <c r="A373" t="s">
        <v>1558</v>
      </c>
      <c r="B373" t="s">
        <v>469</v>
      </c>
      <c r="C373" t="s">
        <v>231</v>
      </c>
      <c r="D373" t="s">
        <v>9</v>
      </c>
      <c r="E373" t="s">
        <v>232</v>
      </c>
      <c r="F373" t="s">
        <v>233</v>
      </c>
      <c r="G373">
        <v>54703</v>
      </c>
      <c r="H373" t="s">
        <v>12</v>
      </c>
      <c r="I373">
        <v>42857</v>
      </c>
      <c r="J373">
        <v>2</v>
      </c>
      <c r="K373" t="s">
        <v>1560</v>
      </c>
      <c r="L373">
        <v>0.2</v>
      </c>
      <c r="M373" t="b">
        <v>1</v>
      </c>
      <c r="N373">
        <v>42856</v>
      </c>
      <c r="O373">
        <v>1</v>
      </c>
      <c r="P373">
        <f t="shared" si="10"/>
        <v>1</v>
      </c>
      <c r="Q373">
        <f>IF(CO_Combined4[[#This Row],[Segment]]="COR",1,0)</f>
        <v>0</v>
      </c>
      <c r="R373">
        <f>IF(CO_Combined4[[#This Row],[Region ]]="E",1,0)</f>
        <v>0</v>
      </c>
      <c r="S373">
        <f>IF(CO_Combined4[[#This Row],[Region ]]="W",1,0)</f>
        <v>0</v>
      </c>
      <c r="T373">
        <f>IF(CO_Combined4[[#This Row],[Region ]]="S",1,0)</f>
        <v>0</v>
      </c>
      <c r="U373">
        <f>IF(CO_Combined4[[#This Row],[Ship Mode]]=1,1,0)</f>
        <v>0</v>
      </c>
      <c r="V373">
        <f>IF(CO_Combined4[[#This Row],[Ship Mode]]=2,1,0)</f>
        <v>1</v>
      </c>
      <c r="W373">
        <f>IF(CO_Combined4[[#This Row],[Ship Mode]]=3,1,0)</f>
        <v>0</v>
      </c>
      <c r="X373">
        <f t="shared" si="11"/>
        <v>0</v>
      </c>
      <c r="Y373">
        <v>5</v>
      </c>
      <c r="Z373">
        <v>1</v>
      </c>
    </row>
    <row r="374" spans="1:26" x14ac:dyDescent="0.2">
      <c r="A374" t="s">
        <v>1561</v>
      </c>
      <c r="B374" t="s">
        <v>510</v>
      </c>
      <c r="C374" t="s">
        <v>289</v>
      </c>
      <c r="D374" t="s">
        <v>9</v>
      </c>
      <c r="E374" t="s">
        <v>290</v>
      </c>
      <c r="F374" t="s">
        <v>63</v>
      </c>
      <c r="G374">
        <v>28403</v>
      </c>
      <c r="H374" t="s">
        <v>47</v>
      </c>
      <c r="I374">
        <v>42357</v>
      </c>
      <c r="J374">
        <v>3</v>
      </c>
      <c r="K374" t="s">
        <v>1562</v>
      </c>
      <c r="L374">
        <v>0</v>
      </c>
      <c r="M374" t="b">
        <v>0</v>
      </c>
      <c r="N374">
        <v>42352</v>
      </c>
      <c r="O374">
        <v>5</v>
      </c>
      <c r="P374">
        <f t="shared" si="10"/>
        <v>1</v>
      </c>
      <c r="Q374">
        <f>IF(CO_Combined4[[#This Row],[Segment]]="COR",1,0)</f>
        <v>0</v>
      </c>
      <c r="R374">
        <f>IF(CO_Combined4[[#This Row],[Region ]]="E",1,0)</f>
        <v>0</v>
      </c>
      <c r="S374">
        <f>IF(CO_Combined4[[#This Row],[Region ]]="W",1,0)</f>
        <v>0</v>
      </c>
      <c r="T374">
        <f>IF(CO_Combined4[[#This Row],[Region ]]="S",1,0)</f>
        <v>1</v>
      </c>
      <c r="U374">
        <f>IF(CO_Combined4[[#This Row],[Ship Mode]]=1,1,0)</f>
        <v>0</v>
      </c>
      <c r="V374">
        <f>IF(CO_Combined4[[#This Row],[Ship Mode]]=2,1,0)</f>
        <v>0</v>
      </c>
      <c r="W374">
        <f>IF(CO_Combined4[[#This Row],[Ship Mode]]=3,1,0)</f>
        <v>1</v>
      </c>
      <c r="X374">
        <f t="shared" si="11"/>
        <v>1</v>
      </c>
      <c r="Y374">
        <v>2</v>
      </c>
      <c r="Z374">
        <v>0</v>
      </c>
    </row>
    <row r="375" spans="1:26" x14ac:dyDescent="0.2">
      <c r="A375" t="s">
        <v>1563</v>
      </c>
      <c r="B375" t="s">
        <v>492</v>
      </c>
      <c r="C375" t="s">
        <v>264</v>
      </c>
      <c r="D375" t="s">
        <v>9</v>
      </c>
      <c r="E375" t="s">
        <v>153</v>
      </c>
      <c r="F375" t="s">
        <v>124</v>
      </c>
      <c r="G375">
        <v>60623</v>
      </c>
      <c r="H375" t="s">
        <v>12</v>
      </c>
      <c r="I375">
        <v>42633</v>
      </c>
      <c r="J375">
        <v>4</v>
      </c>
      <c r="K375" t="s">
        <v>1564</v>
      </c>
      <c r="L375">
        <v>0</v>
      </c>
      <c r="M375" t="b">
        <v>0</v>
      </c>
      <c r="N375">
        <v>42628</v>
      </c>
      <c r="O375">
        <v>5</v>
      </c>
      <c r="P375">
        <f t="shared" si="10"/>
        <v>1</v>
      </c>
      <c r="Q375">
        <f>IF(CO_Combined4[[#This Row],[Segment]]="COR",1,0)</f>
        <v>0</v>
      </c>
      <c r="R375">
        <f>IF(CO_Combined4[[#This Row],[Region ]]="E",1,0)</f>
        <v>0</v>
      </c>
      <c r="S375">
        <f>IF(CO_Combined4[[#This Row],[Region ]]="W",1,0)</f>
        <v>0</v>
      </c>
      <c r="T375">
        <f>IF(CO_Combined4[[#This Row],[Region ]]="S",1,0)</f>
        <v>0</v>
      </c>
      <c r="U375">
        <f>IF(CO_Combined4[[#This Row],[Ship Mode]]=1,1,0)</f>
        <v>0</v>
      </c>
      <c r="V375">
        <f>IF(CO_Combined4[[#This Row],[Ship Mode]]=2,1,0)</f>
        <v>0</v>
      </c>
      <c r="W375">
        <f>IF(CO_Combined4[[#This Row],[Ship Mode]]=3,1,0)</f>
        <v>0</v>
      </c>
      <c r="X375">
        <f t="shared" si="11"/>
        <v>1</v>
      </c>
      <c r="Y375">
        <v>5</v>
      </c>
      <c r="Z375">
        <v>0</v>
      </c>
    </row>
    <row r="376" spans="1:26" x14ac:dyDescent="0.2">
      <c r="A376" t="s">
        <v>1565</v>
      </c>
      <c r="B376" t="s">
        <v>433</v>
      </c>
      <c r="C376" t="s">
        <v>175</v>
      </c>
      <c r="D376" t="s">
        <v>9</v>
      </c>
      <c r="E376" t="s">
        <v>176</v>
      </c>
      <c r="F376" t="s">
        <v>104</v>
      </c>
      <c r="G376">
        <v>46226</v>
      </c>
      <c r="H376" t="s">
        <v>12</v>
      </c>
      <c r="I376">
        <v>42641</v>
      </c>
      <c r="J376">
        <v>4</v>
      </c>
      <c r="K376" t="s">
        <v>1334</v>
      </c>
      <c r="L376">
        <v>0</v>
      </c>
      <c r="M376" t="b">
        <v>0</v>
      </c>
      <c r="N376">
        <v>42635</v>
      </c>
      <c r="O376">
        <v>6</v>
      </c>
      <c r="P376">
        <f t="shared" si="10"/>
        <v>1</v>
      </c>
      <c r="Q376">
        <f>IF(CO_Combined4[[#This Row],[Segment]]="COR",1,0)</f>
        <v>0</v>
      </c>
      <c r="R376">
        <f>IF(CO_Combined4[[#This Row],[Region ]]="E",1,0)</f>
        <v>0</v>
      </c>
      <c r="S376">
        <f>IF(CO_Combined4[[#This Row],[Region ]]="W",1,0)</f>
        <v>0</v>
      </c>
      <c r="T376">
        <f>IF(CO_Combined4[[#This Row],[Region ]]="S",1,0)</f>
        <v>0</v>
      </c>
      <c r="U376">
        <f>IF(CO_Combined4[[#This Row],[Ship Mode]]=1,1,0)</f>
        <v>0</v>
      </c>
      <c r="V376">
        <f>IF(CO_Combined4[[#This Row],[Ship Mode]]=2,1,0)</f>
        <v>0</v>
      </c>
      <c r="W376">
        <f>IF(CO_Combined4[[#This Row],[Ship Mode]]=3,1,0)</f>
        <v>0</v>
      </c>
      <c r="X376">
        <f t="shared" si="11"/>
        <v>1</v>
      </c>
      <c r="Y376">
        <v>6</v>
      </c>
      <c r="Z376">
        <v>0</v>
      </c>
    </row>
    <row r="377" spans="1:26" x14ac:dyDescent="0.2">
      <c r="A377" t="s">
        <v>1566</v>
      </c>
      <c r="B377" t="s">
        <v>416</v>
      </c>
      <c r="C377" t="s">
        <v>148</v>
      </c>
      <c r="D377" t="s">
        <v>90</v>
      </c>
      <c r="E377" t="s">
        <v>85</v>
      </c>
      <c r="F377" t="s">
        <v>86</v>
      </c>
      <c r="G377">
        <v>98103</v>
      </c>
      <c r="H377" t="s">
        <v>18</v>
      </c>
      <c r="I377">
        <v>41848</v>
      </c>
      <c r="J377">
        <v>4</v>
      </c>
      <c r="K377" t="s">
        <v>1567</v>
      </c>
      <c r="L377">
        <v>0</v>
      </c>
      <c r="M377" t="b">
        <v>0</v>
      </c>
      <c r="N377">
        <v>41842</v>
      </c>
      <c r="O377">
        <v>6</v>
      </c>
      <c r="P377">
        <f t="shared" si="10"/>
        <v>0</v>
      </c>
      <c r="Q377">
        <f>IF(CO_Combined4[[#This Row],[Segment]]="COR",1,0)</f>
        <v>0</v>
      </c>
      <c r="R377">
        <f>IF(CO_Combined4[[#This Row],[Region ]]="E",1,0)</f>
        <v>0</v>
      </c>
      <c r="S377">
        <f>IF(CO_Combined4[[#This Row],[Region ]]="W",1,0)</f>
        <v>1</v>
      </c>
      <c r="T377">
        <f>IF(CO_Combined4[[#This Row],[Region ]]="S",1,0)</f>
        <v>0</v>
      </c>
      <c r="U377">
        <f>IF(CO_Combined4[[#This Row],[Ship Mode]]=1,1,0)</f>
        <v>0</v>
      </c>
      <c r="V377">
        <f>IF(CO_Combined4[[#This Row],[Ship Mode]]=2,1,0)</f>
        <v>0</v>
      </c>
      <c r="W377">
        <f>IF(CO_Combined4[[#This Row],[Ship Mode]]=3,1,0)</f>
        <v>0</v>
      </c>
      <c r="X377">
        <f t="shared" si="11"/>
        <v>1</v>
      </c>
      <c r="Y377">
        <v>6</v>
      </c>
      <c r="Z377">
        <v>0</v>
      </c>
    </row>
    <row r="378" spans="1:26" x14ac:dyDescent="0.2">
      <c r="A378" t="s">
        <v>1568</v>
      </c>
      <c r="B378" t="s">
        <v>394</v>
      </c>
      <c r="C378" t="s">
        <v>102</v>
      </c>
      <c r="D378" t="s">
        <v>90</v>
      </c>
      <c r="E378" t="s">
        <v>103</v>
      </c>
      <c r="F378" t="s">
        <v>104</v>
      </c>
      <c r="G378">
        <v>46142</v>
      </c>
      <c r="H378" t="s">
        <v>12</v>
      </c>
      <c r="I378">
        <v>43046</v>
      </c>
      <c r="J378">
        <v>2</v>
      </c>
      <c r="K378" t="s">
        <v>1571</v>
      </c>
      <c r="L378">
        <v>0</v>
      </c>
      <c r="M378" t="b">
        <v>0</v>
      </c>
      <c r="N378">
        <v>43044</v>
      </c>
      <c r="O378">
        <v>2</v>
      </c>
      <c r="P378">
        <f t="shared" si="10"/>
        <v>0</v>
      </c>
      <c r="Q378">
        <f>IF(CO_Combined4[[#This Row],[Segment]]="COR",1,0)</f>
        <v>0</v>
      </c>
      <c r="R378">
        <f>IF(CO_Combined4[[#This Row],[Region ]]="E",1,0)</f>
        <v>0</v>
      </c>
      <c r="S378">
        <f>IF(CO_Combined4[[#This Row],[Region ]]="W",1,0)</f>
        <v>0</v>
      </c>
      <c r="T378">
        <f>IF(CO_Combined4[[#This Row],[Region ]]="S",1,0)</f>
        <v>0</v>
      </c>
      <c r="U378">
        <f>IF(CO_Combined4[[#This Row],[Ship Mode]]=1,1,0)</f>
        <v>0</v>
      </c>
      <c r="V378">
        <f>IF(CO_Combined4[[#This Row],[Ship Mode]]=2,1,0)</f>
        <v>1</v>
      </c>
      <c r="W378">
        <f>IF(CO_Combined4[[#This Row],[Ship Mode]]=3,1,0)</f>
        <v>0</v>
      </c>
      <c r="X378">
        <f t="shared" si="11"/>
        <v>1</v>
      </c>
      <c r="Y378">
        <v>14</v>
      </c>
      <c r="Z378">
        <v>0</v>
      </c>
    </row>
    <row r="379" spans="1:26" x14ac:dyDescent="0.2">
      <c r="A379" t="s">
        <v>1572</v>
      </c>
      <c r="B379" t="s">
        <v>430</v>
      </c>
      <c r="C379" t="s">
        <v>170</v>
      </c>
      <c r="D379" t="s">
        <v>150</v>
      </c>
      <c r="E379" t="s">
        <v>171</v>
      </c>
      <c r="F379" t="s">
        <v>22</v>
      </c>
      <c r="G379">
        <v>77705</v>
      </c>
      <c r="H379" t="s">
        <v>12</v>
      </c>
      <c r="I379">
        <v>42819</v>
      </c>
      <c r="J379">
        <v>1</v>
      </c>
      <c r="K379" t="s">
        <v>1573</v>
      </c>
      <c r="L379">
        <v>0.2</v>
      </c>
      <c r="M379" t="b">
        <v>0</v>
      </c>
      <c r="N379">
        <v>42818</v>
      </c>
      <c r="O379">
        <v>1</v>
      </c>
      <c r="P379">
        <f t="shared" si="10"/>
        <v>0</v>
      </c>
      <c r="Q379">
        <f>IF(CO_Combined4[[#This Row],[Segment]]="COR",1,0)</f>
        <v>1</v>
      </c>
      <c r="R379">
        <f>IF(CO_Combined4[[#This Row],[Region ]]="E",1,0)</f>
        <v>0</v>
      </c>
      <c r="S379">
        <f>IF(CO_Combined4[[#This Row],[Region ]]="W",1,0)</f>
        <v>0</v>
      </c>
      <c r="T379">
        <f>IF(CO_Combined4[[#This Row],[Region ]]="S",1,0)</f>
        <v>0</v>
      </c>
      <c r="U379">
        <f>IF(CO_Combined4[[#This Row],[Ship Mode]]=1,1,0)</f>
        <v>1</v>
      </c>
      <c r="V379">
        <f>IF(CO_Combined4[[#This Row],[Ship Mode]]=2,1,0)</f>
        <v>0</v>
      </c>
      <c r="W379">
        <f>IF(CO_Combined4[[#This Row],[Ship Mode]]=3,1,0)</f>
        <v>0</v>
      </c>
      <c r="X379">
        <f t="shared" si="11"/>
        <v>1</v>
      </c>
      <c r="Y379">
        <v>2</v>
      </c>
      <c r="Z379">
        <v>1</v>
      </c>
    </row>
    <row r="380" spans="1:26" x14ac:dyDescent="0.2">
      <c r="A380" t="s">
        <v>1574</v>
      </c>
      <c r="B380" t="s">
        <v>537</v>
      </c>
      <c r="C380" t="s">
        <v>330</v>
      </c>
      <c r="D380" t="s">
        <v>150</v>
      </c>
      <c r="E380" t="s">
        <v>156</v>
      </c>
      <c r="F380" t="s">
        <v>63</v>
      </c>
      <c r="G380">
        <v>28540</v>
      </c>
      <c r="H380" t="s">
        <v>47</v>
      </c>
      <c r="I380">
        <v>42640</v>
      </c>
      <c r="J380">
        <v>2</v>
      </c>
      <c r="K380" t="s">
        <v>1217</v>
      </c>
      <c r="L380">
        <v>0.15</v>
      </c>
      <c r="M380" t="b">
        <v>0</v>
      </c>
      <c r="N380">
        <v>42638</v>
      </c>
      <c r="O380">
        <v>2</v>
      </c>
      <c r="P380">
        <f t="shared" si="10"/>
        <v>0</v>
      </c>
      <c r="Q380">
        <f>IF(CO_Combined4[[#This Row],[Segment]]="COR",1,0)</f>
        <v>1</v>
      </c>
      <c r="R380">
        <f>IF(CO_Combined4[[#This Row],[Region ]]="E",1,0)</f>
        <v>0</v>
      </c>
      <c r="S380">
        <f>IF(CO_Combined4[[#This Row],[Region ]]="W",1,0)</f>
        <v>0</v>
      </c>
      <c r="T380">
        <f>IF(CO_Combined4[[#This Row],[Region ]]="S",1,0)</f>
        <v>1</v>
      </c>
      <c r="U380">
        <f>IF(CO_Combined4[[#This Row],[Ship Mode]]=1,1,0)</f>
        <v>0</v>
      </c>
      <c r="V380">
        <f>IF(CO_Combined4[[#This Row],[Ship Mode]]=2,1,0)</f>
        <v>1</v>
      </c>
      <c r="W380">
        <f>IF(CO_Combined4[[#This Row],[Ship Mode]]=3,1,0)</f>
        <v>0</v>
      </c>
      <c r="X380">
        <f t="shared" si="11"/>
        <v>1</v>
      </c>
      <c r="Y380">
        <v>2</v>
      </c>
      <c r="Z380">
        <v>1</v>
      </c>
    </row>
    <row r="381" spans="1:26" x14ac:dyDescent="0.2">
      <c r="A381" t="s">
        <v>1575</v>
      </c>
      <c r="B381" t="s">
        <v>56</v>
      </c>
      <c r="C381" t="s">
        <v>57</v>
      </c>
      <c r="D381" t="s">
        <v>9</v>
      </c>
      <c r="E381" t="s">
        <v>58</v>
      </c>
      <c r="F381" t="s">
        <v>59</v>
      </c>
      <c r="G381">
        <v>2908</v>
      </c>
      <c r="H381" t="s">
        <v>27</v>
      </c>
      <c r="I381">
        <v>42987</v>
      </c>
      <c r="J381">
        <v>2</v>
      </c>
      <c r="K381" t="s">
        <v>1576</v>
      </c>
      <c r="L381">
        <v>0</v>
      </c>
      <c r="M381" t="b">
        <v>1</v>
      </c>
      <c r="N381">
        <v>42985</v>
      </c>
      <c r="O381">
        <v>2</v>
      </c>
      <c r="P381">
        <f t="shared" si="10"/>
        <v>1</v>
      </c>
      <c r="Q381">
        <f>IF(CO_Combined4[[#This Row],[Segment]]="COR",1,0)</f>
        <v>0</v>
      </c>
      <c r="R381">
        <f>IF(CO_Combined4[[#This Row],[Region ]]="E",1,0)</f>
        <v>1</v>
      </c>
      <c r="S381">
        <f>IF(CO_Combined4[[#This Row],[Region ]]="W",1,0)</f>
        <v>0</v>
      </c>
      <c r="T381">
        <f>IF(CO_Combined4[[#This Row],[Region ]]="S",1,0)</f>
        <v>0</v>
      </c>
      <c r="U381">
        <f>IF(CO_Combined4[[#This Row],[Ship Mode]]=1,1,0)</f>
        <v>0</v>
      </c>
      <c r="V381">
        <f>IF(CO_Combined4[[#This Row],[Ship Mode]]=2,1,0)</f>
        <v>1</v>
      </c>
      <c r="W381">
        <f>IF(CO_Combined4[[#This Row],[Ship Mode]]=3,1,0)</f>
        <v>0</v>
      </c>
      <c r="X381">
        <f t="shared" si="11"/>
        <v>0</v>
      </c>
      <c r="Y381">
        <v>7</v>
      </c>
      <c r="Z381">
        <v>0</v>
      </c>
    </row>
    <row r="382" spans="1:26" x14ac:dyDescent="0.2">
      <c r="A382" t="s">
        <v>1578</v>
      </c>
      <c r="B382" t="s">
        <v>570</v>
      </c>
      <c r="C382" t="s">
        <v>382</v>
      </c>
      <c r="D382" t="s">
        <v>9</v>
      </c>
      <c r="E382" t="s">
        <v>76</v>
      </c>
      <c r="F382" t="s">
        <v>17</v>
      </c>
      <c r="G382">
        <v>92037</v>
      </c>
      <c r="H382" t="s">
        <v>18</v>
      </c>
      <c r="I382">
        <v>42944</v>
      </c>
      <c r="J382">
        <v>4</v>
      </c>
      <c r="K382" t="s">
        <v>1579</v>
      </c>
      <c r="L382">
        <v>0.2</v>
      </c>
      <c r="M382" t="b">
        <v>0</v>
      </c>
      <c r="N382">
        <v>42939</v>
      </c>
      <c r="O382">
        <v>5</v>
      </c>
      <c r="P382">
        <f t="shared" si="10"/>
        <v>1</v>
      </c>
      <c r="Q382">
        <f>IF(CO_Combined4[[#This Row],[Segment]]="COR",1,0)</f>
        <v>0</v>
      </c>
      <c r="R382">
        <f>IF(CO_Combined4[[#This Row],[Region ]]="E",1,0)</f>
        <v>0</v>
      </c>
      <c r="S382">
        <f>IF(CO_Combined4[[#This Row],[Region ]]="W",1,0)</f>
        <v>1</v>
      </c>
      <c r="T382">
        <f>IF(CO_Combined4[[#This Row],[Region ]]="S",1,0)</f>
        <v>0</v>
      </c>
      <c r="U382">
        <f>IF(CO_Combined4[[#This Row],[Ship Mode]]=1,1,0)</f>
        <v>0</v>
      </c>
      <c r="V382">
        <f>IF(CO_Combined4[[#This Row],[Ship Mode]]=2,1,0)</f>
        <v>0</v>
      </c>
      <c r="W382">
        <f>IF(CO_Combined4[[#This Row],[Ship Mode]]=3,1,0)</f>
        <v>0</v>
      </c>
      <c r="X382">
        <f t="shared" si="11"/>
        <v>1</v>
      </c>
      <c r="Y382">
        <v>4</v>
      </c>
      <c r="Z382">
        <v>1</v>
      </c>
    </row>
    <row r="383" spans="1:26" x14ac:dyDescent="0.2">
      <c r="A383" t="s">
        <v>1580</v>
      </c>
      <c r="B383" t="s">
        <v>544</v>
      </c>
      <c r="C383" t="s">
        <v>340</v>
      </c>
      <c r="D383" t="s">
        <v>9</v>
      </c>
      <c r="E383" t="s">
        <v>25</v>
      </c>
      <c r="F383" t="s">
        <v>26</v>
      </c>
      <c r="G383">
        <v>10035</v>
      </c>
      <c r="H383" t="s">
        <v>27</v>
      </c>
      <c r="I383">
        <v>41911</v>
      </c>
      <c r="J383">
        <v>4</v>
      </c>
      <c r="K383" t="s">
        <v>1326</v>
      </c>
      <c r="L383">
        <v>7.5000000000000011E-2</v>
      </c>
      <c r="M383" t="b">
        <v>1</v>
      </c>
      <c r="N383">
        <v>41904</v>
      </c>
      <c r="O383">
        <v>7</v>
      </c>
      <c r="P383">
        <f t="shared" si="10"/>
        <v>1</v>
      </c>
      <c r="Q383">
        <f>IF(CO_Combined4[[#This Row],[Segment]]="COR",1,0)</f>
        <v>0</v>
      </c>
      <c r="R383">
        <f>IF(CO_Combined4[[#This Row],[Region ]]="E",1,0)</f>
        <v>1</v>
      </c>
      <c r="S383">
        <f>IF(CO_Combined4[[#This Row],[Region ]]="W",1,0)</f>
        <v>0</v>
      </c>
      <c r="T383">
        <f>IF(CO_Combined4[[#This Row],[Region ]]="S",1,0)</f>
        <v>0</v>
      </c>
      <c r="U383">
        <f>IF(CO_Combined4[[#This Row],[Ship Mode]]=1,1,0)</f>
        <v>0</v>
      </c>
      <c r="V383">
        <f>IF(CO_Combined4[[#This Row],[Ship Mode]]=2,1,0)</f>
        <v>0</v>
      </c>
      <c r="W383">
        <f>IF(CO_Combined4[[#This Row],[Ship Mode]]=3,1,0)</f>
        <v>0</v>
      </c>
      <c r="X383">
        <f t="shared" si="11"/>
        <v>0</v>
      </c>
      <c r="Y383">
        <v>12</v>
      </c>
      <c r="Z383">
        <v>1</v>
      </c>
    </row>
    <row r="384" spans="1:26" x14ac:dyDescent="0.2">
      <c r="A384" t="s">
        <v>1584</v>
      </c>
      <c r="B384" t="s">
        <v>445</v>
      </c>
      <c r="C384" t="s">
        <v>196</v>
      </c>
      <c r="D384" t="s">
        <v>9</v>
      </c>
      <c r="E384" t="s">
        <v>153</v>
      </c>
      <c r="F384" t="s">
        <v>124</v>
      </c>
      <c r="G384">
        <v>60610</v>
      </c>
      <c r="H384" t="s">
        <v>12</v>
      </c>
      <c r="I384">
        <v>42487</v>
      </c>
      <c r="J384">
        <v>4</v>
      </c>
      <c r="K384" t="s">
        <v>1284</v>
      </c>
      <c r="L384">
        <v>0.1</v>
      </c>
      <c r="M384" t="b">
        <v>0</v>
      </c>
      <c r="N384">
        <v>42483</v>
      </c>
      <c r="O384">
        <v>4</v>
      </c>
      <c r="P384">
        <f t="shared" si="10"/>
        <v>1</v>
      </c>
      <c r="Q384">
        <f>IF(CO_Combined4[[#This Row],[Segment]]="COR",1,0)</f>
        <v>0</v>
      </c>
      <c r="R384">
        <f>IF(CO_Combined4[[#This Row],[Region ]]="E",1,0)</f>
        <v>0</v>
      </c>
      <c r="S384">
        <f>IF(CO_Combined4[[#This Row],[Region ]]="W",1,0)</f>
        <v>0</v>
      </c>
      <c r="T384">
        <f>IF(CO_Combined4[[#This Row],[Region ]]="S",1,0)</f>
        <v>0</v>
      </c>
      <c r="U384">
        <f>IF(CO_Combined4[[#This Row],[Ship Mode]]=1,1,0)</f>
        <v>0</v>
      </c>
      <c r="V384">
        <f>IF(CO_Combined4[[#This Row],[Ship Mode]]=2,1,0)</f>
        <v>0</v>
      </c>
      <c r="W384">
        <f>IF(CO_Combined4[[#This Row],[Ship Mode]]=3,1,0)</f>
        <v>0</v>
      </c>
      <c r="X384">
        <f t="shared" si="11"/>
        <v>1</v>
      </c>
      <c r="Y384">
        <v>10</v>
      </c>
      <c r="Z384">
        <v>1</v>
      </c>
    </row>
    <row r="385" spans="1:26" x14ac:dyDescent="0.2">
      <c r="A385" t="s">
        <v>1586</v>
      </c>
      <c r="B385" t="s">
        <v>490</v>
      </c>
      <c r="C385" t="s">
        <v>262</v>
      </c>
      <c r="D385" t="s">
        <v>9</v>
      </c>
      <c r="E385" t="s">
        <v>25</v>
      </c>
      <c r="F385" t="s">
        <v>26</v>
      </c>
      <c r="G385">
        <v>10035</v>
      </c>
      <c r="H385" t="s">
        <v>27</v>
      </c>
      <c r="I385">
        <v>42831</v>
      </c>
      <c r="J385">
        <v>4</v>
      </c>
      <c r="K385" t="s">
        <v>705</v>
      </c>
      <c r="L385">
        <v>0</v>
      </c>
      <c r="M385" t="b">
        <v>0</v>
      </c>
      <c r="N385">
        <v>42827</v>
      </c>
      <c r="O385">
        <v>4</v>
      </c>
      <c r="P385">
        <f t="shared" si="10"/>
        <v>1</v>
      </c>
      <c r="Q385">
        <f>IF(CO_Combined4[[#This Row],[Segment]]="COR",1,0)</f>
        <v>0</v>
      </c>
      <c r="R385">
        <f>IF(CO_Combined4[[#This Row],[Region ]]="E",1,0)</f>
        <v>1</v>
      </c>
      <c r="S385">
        <f>IF(CO_Combined4[[#This Row],[Region ]]="W",1,0)</f>
        <v>0</v>
      </c>
      <c r="T385">
        <f>IF(CO_Combined4[[#This Row],[Region ]]="S",1,0)</f>
        <v>0</v>
      </c>
      <c r="U385">
        <f>IF(CO_Combined4[[#This Row],[Ship Mode]]=1,1,0)</f>
        <v>0</v>
      </c>
      <c r="V385">
        <f>IF(CO_Combined4[[#This Row],[Ship Mode]]=2,1,0)</f>
        <v>0</v>
      </c>
      <c r="W385">
        <f>IF(CO_Combined4[[#This Row],[Ship Mode]]=3,1,0)</f>
        <v>0</v>
      </c>
      <c r="X385">
        <f t="shared" si="11"/>
        <v>1</v>
      </c>
      <c r="Y385">
        <v>3</v>
      </c>
      <c r="Z385">
        <v>0</v>
      </c>
    </row>
    <row r="386" spans="1:26" x14ac:dyDescent="0.2">
      <c r="A386" t="s">
        <v>1587</v>
      </c>
      <c r="B386" t="s">
        <v>473</v>
      </c>
      <c r="C386" t="s">
        <v>238</v>
      </c>
      <c r="D386" t="s">
        <v>150</v>
      </c>
      <c r="E386" t="s">
        <v>25</v>
      </c>
      <c r="F386" t="s">
        <v>26</v>
      </c>
      <c r="G386">
        <v>10035</v>
      </c>
      <c r="H386" t="s">
        <v>27</v>
      </c>
      <c r="I386">
        <v>42369</v>
      </c>
      <c r="J386">
        <v>2</v>
      </c>
      <c r="K386" t="s">
        <v>1589</v>
      </c>
      <c r="L386">
        <v>0.1</v>
      </c>
      <c r="M386" t="b">
        <v>0</v>
      </c>
      <c r="N386">
        <v>42365</v>
      </c>
      <c r="O386">
        <v>4</v>
      </c>
      <c r="P386">
        <f t="shared" ref="P386:P395" si="12">IF($D386="CON",1,0)</f>
        <v>0</v>
      </c>
      <c r="Q386">
        <f>IF(CO_Combined4[[#This Row],[Segment]]="COR",1,0)</f>
        <v>1</v>
      </c>
      <c r="R386">
        <f>IF(CO_Combined4[[#This Row],[Region ]]="E",1,0)</f>
        <v>1</v>
      </c>
      <c r="S386">
        <f>IF(CO_Combined4[[#This Row],[Region ]]="W",1,0)</f>
        <v>0</v>
      </c>
      <c r="T386">
        <f>IF(CO_Combined4[[#This Row],[Region ]]="S",1,0)</f>
        <v>0</v>
      </c>
      <c r="U386">
        <f>IF(CO_Combined4[[#This Row],[Ship Mode]]=1,1,0)</f>
        <v>0</v>
      </c>
      <c r="V386">
        <f>IF(CO_Combined4[[#This Row],[Ship Mode]]=2,1,0)</f>
        <v>1</v>
      </c>
      <c r="W386">
        <f>IF(CO_Combined4[[#This Row],[Ship Mode]]=3,1,0)</f>
        <v>0</v>
      </c>
      <c r="X386">
        <f t="shared" ref="X386:X395" si="13">IF($M386=$M$2,1,0)</f>
        <v>1</v>
      </c>
      <c r="Y386">
        <v>11</v>
      </c>
      <c r="Z386">
        <v>1</v>
      </c>
    </row>
    <row r="387" spans="1:26" x14ac:dyDescent="0.2">
      <c r="A387" t="s">
        <v>1590</v>
      </c>
      <c r="B387" t="s">
        <v>559</v>
      </c>
      <c r="C387" t="s">
        <v>364</v>
      </c>
      <c r="D387" t="s">
        <v>90</v>
      </c>
      <c r="E387" t="s">
        <v>365</v>
      </c>
      <c r="F387" t="s">
        <v>191</v>
      </c>
      <c r="G387">
        <v>7960</v>
      </c>
      <c r="H387" t="s">
        <v>27</v>
      </c>
      <c r="I387">
        <v>42521</v>
      </c>
      <c r="J387">
        <v>3</v>
      </c>
      <c r="K387" t="s">
        <v>1591</v>
      </c>
      <c r="L387">
        <v>0.2</v>
      </c>
      <c r="M387" t="b">
        <v>1</v>
      </c>
      <c r="N387">
        <v>42520</v>
      </c>
      <c r="O387">
        <v>1</v>
      </c>
      <c r="P387">
        <f t="shared" si="12"/>
        <v>0</v>
      </c>
      <c r="Q387">
        <f>IF(CO_Combined4[[#This Row],[Segment]]="COR",1,0)</f>
        <v>0</v>
      </c>
      <c r="R387">
        <f>IF(CO_Combined4[[#This Row],[Region ]]="E",1,0)</f>
        <v>1</v>
      </c>
      <c r="S387">
        <f>IF(CO_Combined4[[#This Row],[Region ]]="W",1,0)</f>
        <v>0</v>
      </c>
      <c r="T387">
        <f>IF(CO_Combined4[[#This Row],[Region ]]="S",1,0)</f>
        <v>0</v>
      </c>
      <c r="U387">
        <f>IF(CO_Combined4[[#This Row],[Ship Mode]]=1,1,0)</f>
        <v>0</v>
      </c>
      <c r="V387">
        <f>IF(CO_Combined4[[#This Row],[Ship Mode]]=2,1,0)</f>
        <v>0</v>
      </c>
      <c r="W387">
        <f>IF(CO_Combined4[[#This Row],[Ship Mode]]=3,1,0)</f>
        <v>1</v>
      </c>
      <c r="X387">
        <f t="shared" si="13"/>
        <v>0</v>
      </c>
      <c r="Y387">
        <v>10</v>
      </c>
      <c r="Z387">
        <v>1</v>
      </c>
    </row>
    <row r="388" spans="1:26" x14ac:dyDescent="0.2">
      <c r="A388" t="s">
        <v>1592</v>
      </c>
      <c r="B388" t="s">
        <v>439</v>
      </c>
      <c r="C388" t="s">
        <v>186</v>
      </c>
      <c r="D388" t="s">
        <v>90</v>
      </c>
      <c r="E388" t="s">
        <v>97</v>
      </c>
      <c r="F388" t="s">
        <v>67</v>
      </c>
      <c r="G388">
        <v>19134</v>
      </c>
      <c r="H388" t="s">
        <v>27</v>
      </c>
      <c r="I388">
        <v>41965</v>
      </c>
      <c r="J388">
        <v>3</v>
      </c>
      <c r="K388" t="s">
        <v>1593</v>
      </c>
      <c r="L388">
        <v>0.2</v>
      </c>
      <c r="M388" t="b">
        <v>0</v>
      </c>
      <c r="N388">
        <v>41962</v>
      </c>
      <c r="O388">
        <v>3</v>
      </c>
      <c r="P388">
        <f t="shared" si="12"/>
        <v>0</v>
      </c>
      <c r="Q388">
        <f>IF(CO_Combined4[[#This Row],[Segment]]="COR",1,0)</f>
        <v>0</v>
      </c>
      <c r="R388">
        <f>IF(CO_Combined4[[#This Row],[Region ]]="E",1,0)</f>
        <v>1</v>
      </c>
      <c r="S388">
        <f>IF(CO_Combined4[[#This Row],[Region ]]="W",1,0)</f>
        <v>0</v>
      </c>
      <c r="T388">
        <f>IF(CO_Combined4[[#This Row],[Region ]]="S",1,0)</f>
        <v>0</v>
      </c>
      <c r="U388">
        <f>IF(CO_Combined4[[#This Row],[Ship Mode]]=1,1,0)</f>
        <v>0</v>
      </c>
      <c r="V388">
        <f>IF(CO_Combined4[[#This Row],[Ship Mode]]=2,1,0)</f>
        <v>0</v>
      </c>
      <c r="W388">
        <f>IF(CO_Combined4[[#This Row],[Ship Mode]]=3,1,0)</f>
        <v>1</v>
      </c>
      <c r="X388">
        <f t="shared" si="13"/>
        <v>1</v>
      </c>
      <c r="Y388">
        <v>1</v>
      </c>
      <c r="Z388">
        <v>1</v>
      </c>
    </row>
    <row r="389" spans="1:26" x14ac:dyDescent="0.2">
      <c r="A389" t="s">
        <v>1594</v>
      </c>
      <c r="B389" t="s">
        <v>522</v>
      </c>
      <c r="C389" t="s">
        <v>308</v>
      </c>
      <c r="D389" t="s">
        <v>90</v>
      </c>
      <c r="E389" t="s">
        <v>309</v>
      </c>
      <c r="F389" t="s">
        <v>166</v>
      </c>
      <c r="G389">
        <v>33311</v>
      </c>
      <c r="H389" t="s">
        <v>47</v>
      </c>
      <c r="I389">
        <v>42669</v>
      </c>
      <c r="J389">
        <v>1</v>
      </c>
      <c r="K389" t="s">
        <v>1596</v>
      </c>
      <c r="L389">
        <v>0.44999999999999996</v>
      </c>
      <c r="M389" t="b">
        <v>0</v>
      </c>
      <c r="N389">
        <v>42664</v>
      </c>
      <c r="O389">
        <v>5</v>
      </c>
      <c r="P389">
        <f t="shared" si="12"/>
        <v>0</v>
      </c>
      <c r="Q389">
        <f>IF(CO_Combined4[[#This Row],[Segment]]="COR",1,0)</f>
        <v>0</v>
      </c>
      <c r="R389">
        <f>IF(CO_Combined4[[#This Row],[Region ]]="E",1,0)</f>
        <v>0</v>
      </c>
      <c r="S389">
        <f>IF(CO_Combined4[[#This Row],[Region ]]="W",1,0)</f>
        <v>0</v>
      </c>
      <c r="T389">
        <f>IF(CO_Combined4[[#This Row],[Region ]]="S",1,0)</f>
        <v>1</v>
      </c>
      <c r="U389">
        <f>IF(CO_Combined4[[#This Row],[Ship Mode]]=1,1,0)</f>
        <v>1</v>
      </c>
      <c r="V389">
        <f>IF(CO_Combined4[[#This Row],[Ship Mode]]=2,1,0)</f>
        <v>0</v>
      </c>
      <c r="W389">
        <f>IF(CO_Combined4[[#This Row],[Ship Mode]]=3,1,0)</f>
        <v>0</v>
      </c>
      <c r="X389">
        <f t="shared" si="13"/>
        <v>1</v>
      </c>
      <c r="Y389">
        <v>10</v>
      </c>
      <c r="Z389">
        <v>1</v>
      </c>
    </row>
    <row r="390" spans="1:26" x14ac:dyDescent="0.2">
      <c r="A390" t="s">
        <v>1597</v>
      </c>
      <c r="B390" t="s">
        <v>456</v>
      </c>
      <c r="C390" t="s">
        <v>211</v>
      </c>
      <c r="D390" t="s">
        <v>150</v>
      </c>
      <c r="E390" t="s">
        <v>212</v>
      </c>
      <c r="F390" t="s">
        <v>166</v>
      </c>
      <c r="G390">
        <v>33710</v>
      </c>
      <c r="H390" t="s">
        <v>47</v>
      </c>
      <c r="I390">
        <v>42167</v>
      </c>
      <c r="J390">
        <v>4</v>
      </c>
      <c r="K390" t="s">
        <v>1588</v>
      </c>
      <c r="L390">
        <v>0.27142857142857146</v>
      </c>
      <c r="M390" t="b">
        <v>0</v>
      </c>
      <c r="N390">
        <v>42163</v>
      </c>
      <c r="O390">
        <v>4</v>
      </c>
      <c r="P390">
        <f t="shared" si="12"/>
        <v>0</v>
      </c>
      <c r="Q390">
        <f>IF(CO_Combined4[[#This Row],[Segment]]="COR",1,0)</f>
        <v>1</v>
      </c>
      <c r="R390">
        <f>IF(CO_Combined4[[#This Row],[Region ]]="E",1,0)</f>
        <v>0</v>
      </c>
      <c r="S390">
        <f>IF(CO_Combined4[[#This Row],[Region ]]="W",1,0)</f>
        <v>0</v>
      </c>
      <c r="T390">
        <f>IF(CO_Combined4[[#This Row],[Region ]]="S",1,0)</f>
        <v>1</v>
      </c>
      <c r="U390">
        <f>IF(CO_Combined4[[#This Row],[Ship Mode]]=1,1,0)</f>
        <v>0</v>
      </c>
      <c r="V390">
        <f>IF(CO_Combined4[[#This Row],[Ship Mode]]=2,1,0)</f>
        <v>0</v>
      </c>
      <c r="W390">
        <f>IF(CO_Combined4[[#This Row],[Ship Mode]]=3,1,0)</f>
        <v>0</v>
      </c>
      <c r="X390">
        <f t="shared" si="13"/>
        <v>1</v>
      </c>
      <c r="Y390">
        <v>35</v>
      </c>
      <c r="Z390">
        <v>1</v>
      </c>
    </row>
    <row r="391" spans="1:26" x14ac:dyDescent="0.2">
      <c r="A391" t="s">
        <v>1602</v>
      </c>
      <c r="B391" t="s">
        <v>556</v>
      </c>
      <c r="C391" t="s">
        <v>360</v>
      </c>
      <c r="D391" t="s">
        <v>90</v>
      </c>
      <c r="E391" t="s">
        <v>38</v>
      </c>
      <c r="F391" t="s">
        <v>17</v>
      </c>
      <c r="G391">
        <v>90004</v>
      </c>
      <c r="H391" t="s">
        <v>18</v>
      </c>
      <c r="I391">
        <v>41973</v>
      </c>
      <c r="J391">
        <v>3</v>
      </c>
      <c r="K391" t="s">
        <v>1603</v>
      </c>
      <c r="L391">
        <v>0.7</v>
      </c>
      <c r="M391" t="b">
        <v>0</v>
      </c>
      <c r="N391">
        <v>41967</v>
      </c>
      <c r="O391">
        <v>6</v>
      </c>
      <c r="P391">
        <f t="shared" si="12"/>
        <v>0</v>
      </c>
      <c r="Q391">
        <f>IF(CO_Combined4[[#This Row],[Segment]]="COR",1,0)</f>
        <v>0</v>
      </c>
      <c r="R391">
        <f>IF(CO_Combined4[[#This Row],[Region ]]="E",1,0)</f>
        <v>0</v>
      </c>
      <c r="S391">
        <f>IF(CO_Combined4[[#This Row],[Region ]]="W",1,0)</f>
        <v>1</v>
      </c>
      <c r="T391">
        <f>IF(CO_Combined4[[#This Row],[Region ]]="S",1,0)</f>
        <v>0</v>
      </c>
      <c r="U391">
        <f>IF(CO_Combined4[[#This Row],[Ship Mode]]=1,1,0)</f>
        <v>0</v>
      </c>
      <c r="V391">
        <f>IF(CO_Combined4[[#This Row],[Ship Mode]]=2,1,0)</f>
        <v>0</v>
      </c>
      <c r="W391">
        <f>IF(CO_Combined4[[#This Row],[Ship Mode]]=3,1,0)</f>
        <v>1</v>
      </c>
      <c r="X391">
        <f t="shared" si="13"/>
        <v>1</v>
      </c>
      <c r="Y391">
        <v>3</v>
      </c>
      <c r="Z391">
        <v>1</v>
      </c>
    </row>
    <row r="392" spans="1:26" x14ac:dyDescent="0.2">
      <c r="A392" t="s">
        <v>1604</v>
      </c>
      <c r="B392" t="s">
        <v>550</v>
      </c>
      <c r="C392" t="s">
        <v>350</v>
      </c>
      <c r="D392" t="s">
        <v>9</v>
      </c>
      <c r="E392" t="s">
        <v>97</v>
      </c>
      <c r="F392" t="s">
        <v>67</v>
      </c>
      <c r="G392">
        <v>19120</v>
      </c>
      <c r="H392" t="s">
        <v>27</v>
      </c>
      <c r="I392">
        <v>42472</v>
      </c>
      <c r="J392">
        <v>4</v>
      </c>
      <c r="K392" t="s">
        <v>1605</v>
      </c>
      <c r="L392">
        <v>0.2</v>
      </c>
      <c r="M392" t="b">
        <v>0</v>
      </c>
      <c r="N392">
        <v>42467</v>
      </c>
      <c r="O392">
        <v>5</v>
      </c>
      <c r="P392">
        <f t="shared" si="12"/>
        <v>1</v>
      </c>
      <c r="Q392">
        <f>IF(CO_Combined4[[#This Row],[Segment]]="COR",1,0)</f>
        <v>0</v>
      </c>
      <c r="R392">
        <f>IF(CO_Combined4[[#This Row],[Region ]]="E",1,0)</f>
        <v>1</v>
      </c>
      <c r="S392">
        <f>IF(CO_Combined4[[#This Row],[Region ]]="W",1,0)</f>
        <v>0</v>
      </c>
      <c r="T392">
        <f>IF(CO_Combined4[[#This Row],[Region ]]="S",1,0)</f>
        <v>0</v>
      </c>
      <c r="U392">
        <f>IF(CO_Combined4[[#This Row],[Ship Mode]]=1,1,0)</f>
        <v>0</v>
      </c>
      <c r="V392">
        <f>IF(CO_Combined4[[#This Row],[Ship Mode]]=2,1,0)</f>
        <v>0</v>
      </c>
      <c r="W392">
        <f>IF(CO_Combined4[[#This Row],[Ship Mode]]=3,1,0)</f>
        <v>0</v>
      </c>
      <c r="X392">
        <f t="shared" si="13"/>
        <v>1</v>
      </c>
      <c r="Y392">
        <v>6</v>
      </c>
      <c r="Z392">
        <v>1</v>
      </c>
    </row>
    <row r="393" spans="1:26" x14ac:dyDescent="0.2">
      <c r="A393" t="s">
        <v>1606</v>
      </c>
      <c r="B393" t="s">
        <v>510</v>
      </c>
      <c r="C393" t="s">
        <v>289</v>
      </c>
      <c r="D393" t="s">
        <v>9</v>
      </c>
      <c r="E393" t="s">
        <v>290</v>
      </c>
      <c r="F393" t="s">
        <v>63</v>
      </c>
      <c r="G393">
        <v>28403</v>
      </c>
      <c r="H393" t="s">
        <v>47</v>
      </c>
      <c r="I393">
        <v>43019</v>
      </c>
      <c r="J393">
        <v>3</v>
      </c>
      <c r="K393" t="s">
        <v>1607</v>
      </c>
      <c r="L393">
        <v>0.2</v>
      </c>
      <c r="M393" t="b">
        <v>0</v>
      </c>
      <c r="N393">
        <v>43014</v>
      </c>
      <c r="O393">
        <v>5</v>
      </c>
      <c r="P393">
        <f t="shared" si="12"/>
        <v>1</v>
      </c>
      <c r="Q393">
        <f>IF(CO_Combined4[[#This Row],[Segment]]="COR",1,0)</f>
        <v>0</v>
      </c>
      <c r="R393">
        <f>IF(CO_Combined4[[#This Row],[Region ]]="E",1,0)</f>
        <v>0</v>
      </c>
      <c r="S393">
        <f>IF(CO_Combined4[[#This Row],[Region ]]="W",1,0)</f>
        <v>0</v>
      </c>
      <c r="T393">
        <f>IF(CO_Combined4[[#This Row],[Region ]]="S",1,0)</f>
        <v>1</v>
      </c>
      <c r="U393">
        <f>IF(CO_Combined4[[#This Row],[Ship Mode]]=1,1,0)</f>
        <v>0</v>
      </c>
      <c r="V393">
        <f>IF(CO_Combined4[[#This Row],[Ship Mode]]=2,1,0)</f>
        <v>0</v>
      </c>
      <c r="W393">
        <f>IF(CO_Combined4[[#This Row],[Ship Mode]]=3,1,0)</f>
        <v>1</v>
      </c>
      <c r="X393">
        <f t="shared" si="13"/>
        <v>1</v>
      </c>
      <c r="Y393">
        <v>2</v>
      </c>
      <c r="Z393">
        <v>1</v>
      </c>
    </row>
    <row r="394" spans="1:26" x14ac:dyDescent="0.2">
      <c r="A394" t="s">
        <v>1608</v>
      </c>
      <c r="B394" t="s">
        <v>550</v>
      </c>
      <c r="C394" t="s">
        <v>350</v>
      </c>
      <c r="D394" t="s">
        <v>9</v>
      </c>
      <c r="E394" t="s">
        <v>97</v>
      </c>
      <c r="F394" t="s">
        <v>67</v>
      </c>
      <c r="G394">
        <v>19120</v>
      </c>
      <c r="H394" t="s">
        <v>27</v>
      </c>
      <c r="I394">
        <v>42211</v>
      </c>
      <c r="J394">
        <v>1</v>
      </c>
      <c r="K394" t="s">
        <v>1609</v>
      </c>
      <c r="L394">
        <v>0.2</v>
      </c>
      <c r="M394" t="b">
        <v>0</v>
      </c>
      <c r="N394">
        <v>42211</v>
      </c>
      <c r="O394">
        <v>0</v>
      </c>
      <c r="P394">
        <f t="shared" si="12"/>
        <v>1</v>
      </c>
      <c r="Q394">
        <f>IF(CO_Combined4[[#This Row],[Segment]]="COR",1,0)</f>
        <v>0</v>
      </c>
      <c r="R394">
        <f>IF(CO_Combined4[[#This Row],[Region ]]="E",1,0)</f>
        <v>1</v>
      </c>
      <c r="S394">
        <f>IF(CO_Combined4[[#This Row],[Region ]]="W",1,0)</f>
        <v>0</v>
      </c>
      <c r="T394">
        <f>IF(CO_Combined4[[#This Row],[Region ]]="S",1,0)</f>
        <v>0</v>
      </c>
      <c r="U394">
        <f>IF(CO_Combined4[[#This Row],[Ship Mode]]=1,1,0)</f>
        <v>1</v>
      </c>
      <c r="V394">
        <f>IF(CO_Combined4[[#This Row],[Ship Mode]]=2,1,0)</f>
        <v>0</v>
      </c>
      <c r="W394">
        <f>IF(CO_Combined4[[#This Row],[Ship Mode]]=3,1,0)</f>
        <v>0</v>
      </c>
      <c r="X394">
        <f t="shared" si="13"/>
        <v>1</v>
      </c>
      <c r="Y394">
        <v>2</v>
      </c>
      <c r="Z394">
        <v>1</v>
      </c>
    </row>
    <row r="395" spans="1:26" x14ac:dyDescent="0.2">
      <c r="A395" t="s">
        <v>1610</v>
      </c>
      <c r="B395" t="s">
        <v>523</v>
      </c>
      <c r="C395" t="s">
        <v>310</v>
      </c>
      <c r="D395" t="s">
        <v>90</v>
      </c>
      <c r="E395" t="s">
        <v>38</v>
      </c>
      <c r="F395" t="s">
        <v>17</v>
      </c>
      <c r="G395">
        <v>90032</v>
      </c>
      <c r="H395" t="s">
        <v>18</v>
      </c>
      <c r="I395">
        <v>42714</v>
      </c>
      <c r="J395">
        <v>4</v>
      </c>
      <c r="K395" t="s">
        <v>1611</v>
      </c>
      <c r="L395">
        <v>0.11428571428571428</v>
      </c>
      <c r="M395" t="b">
        <v>0</v>
      </c>
      <c r="N395">
        <v>42710</v>
      </c>
      <c r="O395">
        <v>4</v>
      </c>
      <c r="P395">
        <f t="shared" si="12"/>
        <v>0</v>
      </c>
      <c r="Q395">
        <f>IF(CO_Combined4[[#This Row],[Segment]]="COR",1,0)</f>
        <v>0</v>
      </c>
      <c r="R395">
        <f>IF(CO_Combined4[[#This Row],[Region ]]="E",1,0)</f>
        <v>0</v>
      </c>
      <c r="S395">
        <f>IF(CO_Combined4[[#This Row],[Region ]]="W",1,0)</f>
        <v>1</v>
      </c>
      <c r="T395">
        <f>IF(CO_Combined4[[#This Row],[Region ]]="S",1,0)</f>
        <v>0</v>
      </c>
      <c r="U395">
        <f>IF(CO_Combined4[[#This Row],[Ship Mode]]=1,1,0)</f>
        <v>0</v>
      </c>
      <c r="V395">
        <f>IF(CO_Combined4[[#This Row],[Ship Mode]]=2,1,0)</f>
        <v>0</v>
      </c>
      <c r="W395">
        <f>IF(CO_Combined4[[#This Row],[Ship Mode]]=3,1,0)</f>
        <v>0</v>
      </c>
      <c r="X395">
        <f t="shared" si="13"/>
        <v>1</v>
      </c>
      <c r="Y395">
        <v>41</v>
      </c>
      <c r="Z395">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7379-8B33-B545-9C04-4620F1735ACC}">
  <dimension ref="A1:N428"/>
  <sheetViews>
    <sheetView workbookViewId="0">
      <selection activeCell="H12" sqref="H12"/>
    </sheetView>
  </sheetViews>
  <sheetFormatPr baseColWidth="10" defaultRowHeight="15" x14ac:dyDescent="0.2"/>
  <cols>
    <col min="5" max="5" width="11.83203125" bestFit="1" customWidth="1"/>
  </cols>
  <sheetData>
    <row r="1" spans="1:14" x14ac:dyDescent="0.2">
      <c r="A1" t="s">
        <v>2281</v>
      </c>
    </row>
    <row r="2" spans="1:14" ht="16" thickBot="1" x14ac:dyDescent="0.25"/>
    <row r="3" spans="1:14" x14ac:dyDescent="0.2">
      <c r="A3" s="8" t="s">
        <v>2282</v>
      </c>
      <c r="B3" s="8"/>
    </row>
    <row r="4" spans="1:14" x14ac:dyDescent="0.2">
      <c r="A4" t="s">
        <v>2283</v>
      </c>
      <c r="B4">
        <v>0.58802302609480794</v>
      </c>
    </row>
    <row r="5" spans="1:14" x14ac:dyDescent="0.2">
      <c r="A5" s="10" t="s">
        <v>2284</v>
      </c>
      <c r="B5" s="10">
        <v>0.34577107921769512</v>
      </c>
    </row>
    <row r="6" spans="1:14" x14ac:dyDescent="0.2">
      <c r="A6" t="s">
        <v>2285</v>
      </c>
      <c r="B6">
        <v>0.32693202652501097</v>
      </c>
    </row>
    <row r="7" spans="1:14" x14ac:dyDescent="0.2">
      <c r="A7" s="10" t="s">
        <v>2286</v>
      </c>
      <c r="B7" s="10">
        <v>1.3659893425490675</v>
      </c>
    </row>
    <row r="8" spans="1:14" ht="16" thickBot="1" x14ac:dyDescent="0.25">
      <c r="A8" s="6" t="s">
        <v>2287</v>
      </c>
      <c r="B8" s="6">
        <v>394</v>
      </c>
    </row>
    <row r="10" spans="1:14" ht="16" thickBot="1" x14ac:dyDescent="0.25">
      <c r="A10" t="s">
        <v>2288</v>
      </c>
    </row>
    <row r="11" spans="1:14" x14ac:dyDescent="0.2">
      <c r="A11" s="7"/>
      <c r="B11" s="7" t="s">
        <v>2293</v>
      </c>
      <c r="C11" s="7" t="s">
        <v>2294</v>
      </c>
      <c r="D11" s="7" t="s">
        <v>2295</v>
      </c>
      <c r="E11" s="7" t="s">
        <v>2296</v>
      </c>
      <c r="F11" s="7" t="s">
        <v>2297</v>
      </c>
    </row>
    <row r="12" spans="1:14" x14ac:dyDescent="0.2">
      <c r="A12" t="s">
        <v>2289</v>
      </c>
      <c r="B12">
        <v>11</v>
      </c>
      <c r="C12">
        <v>376.7184683992507</v>
      </c>
      <c r="D12">
        <v>34.247133490840973</v>
      </c>
      <c r="E12">
        <v>18.353952550489414</v>
      </c>
      <c r="F12">
        <v>2.0994739859051215E-29</v>
      </c>
    </row>
    <row r="13" spans="1:14" x14ac:dyDescent="0.2">
      <c r="A13" t="s">
        <v>2290</v>
      </c>
      <c r="B13">
        <v>382</v>
      </c>
      <c r="C13">
        <v>712.78406967181604</v>
      </c>
      <c r="D13">
        <v>1.8659268839576335</v>
      </c>
    </row>
    <row r="14" spans="1:14" ht="16" thickBot="1" x14ac:dyDescent="0.25">
      <c r="A14" s="6" t="s">
        <v>2291</v>
      </c>
      <c r="B14" s="6">
        <v>393</v>
      </c>
      <c r="C14" s="6">
        <v>1089.5025380710667</v>
      </c>
      <c r="D14" s="6"/>
      <c r="E14" s="6"/>
      <c r="F14" s="6"/>
    </row>
    <row r="15" spans="1:14" ht="16" thickBot="1" x14ac:dyDescent="0.25">
      <c r="I15" s="13" t="s">
        <v>2316</v>
      </c>
      <c r="J15" s="13"/>
      <c r="K15" s="13"/>
      <c r="L15" s="13"/>
      <c r="M15" s="13"/>
      <c r="N15" s="13"/>
    </row>
    <row r="16" spans="1:14" x14ac:dyDescent="0.2">
      <c r="A16" s="7"/>
      <c r="B16" s="7" t="s">
        <v>2298</v>
      </c>
      <c r="C16" s="7" t="s">
        <v>2286</v>
      </c>
      <c r="D16" s="7" t="s">
        <v>2299</v>
      </c>
      <c r="E16" s="7" t="s">
        <v>2300</v>
      </c>
      <c r="F16" s="7" t="s">
        <v>2301</v>
      </c>
      <c r="G16" s="7" t="s">
        <v>2302</v>
      </c>
      <c r="H16" s="9"/>
      <c r="I16" s="9"/>
    </row>
    <row r="17" spans="1:9" x14ac:dyDescent="0.2">
      <c r="A17" s="11" t="s">
        <v>2292</v>
      </c>
      <c r="B17" s="11">
        <v>4.6459751024958136</v>
      </c>
      <c r="C17" s="11">
        <v>0.31505731759338113</v>
      </c>
      <c r="D17" s="11">
        <v>14.74644403750049</v>
      </c>
      <c r="E17" s="11">
        <v>2.8254279759719626E-39</v>
      </c>
      <c r="F17" s="11">
        <v>4.0265114503653763</v>
      </c>
      <c r="G17" s="11">
        <v>5.2654387546262509</v>
      </c>
    </row>
    <row r="18" spans="1:9" x14ac:dyDescent="0.2">
      <c r="A18" t="s">
        <v>2274</v>
      </c>
      <c r="B18">
        <v>-0.1972280018207867</v>
      </c>
      <c r="C18">
        <v>0.18877935690882899</v>
      </c>
      <c r="D18">
        <v>-1.0447540718980093</v>
      </c>
      <c r="E18">
        <v>0.29679730992837533</v>
      </c>
      <c r="F18">
        <v>-0.5684047475979026</v>
      </c>
      <c r="G18">
        <v>0.17394874395632925</v>
      </c>
      <c r="I18" s="12" t="s">
        <v>2317</v>
      </c>
    </row>
    <row r="19" spans="1:9" x14ac:dyDescent="0.2">
      <c r="A19" t="s">
        <v>2275</v>
      </c>
      <c r="B19">
        <v>5.8962674292899158E-6</v>
      </c>
      <c r="C19">
        <v>0.20992101791126525</v>
      </c>
      <c r="D19">
        <v>2.8088028001952143E-5</v>
      </c>
      <c r="E19">
        <v>0.99997760365818911</v>
      </c>
      <c r="F19">
        <v>-0.41273944609621438</v>
      </c>
      <c r="G19">
        <v>0.41275123863107294</v>
      </c>
      <c r="I19" t="s">
        <v>2328</v>
      </c>
    </row>
    <row r="20" spans="1:9" x14ac:dyDescent="0.2">
      <c r="A20" t="s">
        <v>1620</v>
      </c>
      <c r="B20">
        <v>-9.2888599237309008E-3</v>
      </c>
      <c r="C20">
        <v>0.20592390625943374</v>
      </c>
      <c r="D20">
        <v>-4.5108215420254838E-2</v>
      </c>
      <c r="E20">
        <v>0.96404462372397037</v>
      </c>
      <c r="F20">
        <v>-0.41417510731148094</v>
      </c>
      <c r="G20">
        <v>0.39559738746401912</v>
      </c>
    </row>
    <row r="21" spans="1:9" x14ac:dyDescent="0.2">
      <c r="A21" t="s">
        <v>1627</v>
      </c>
      <c r="B21">
        <v>0.22106536520090675</v>
      </c>
      <c r="C21">
        <v>0.19430151970295934</v>
      </c>
      <c r="D21">
        <v>1.1377438814624967</v>
      </c>
      <c r="E21">
        <v>0.25594054302203656</v>
      </c>
      <c r="F21">
        <v>-0.16096902120566992</v>
      </c>
      <c r="G21">
        <v>0.60309975160748341</v>
      </c>
      <c r="I21" s="12" t="s">
        <v>2318</v>
      </c>
    </row>
    <row r="22" spans="1:9" x14ac:dyDescent="0.2">
      <c r="A22" t="s">
        <v>1625</v>
      </c>
      <c r="B22">
        <v>0.17536897974421245</v>
      </c>
      <c r="C22">
        <v>0.21688438358942622</v>
      </c>
      <c r="D22">
        <v>0.80858278886595791</v>
      </c>
      <c r="E22">
        <v>0.41925845070979573</v>
      </c>
      <c r="F22">
        <v>-0.25106768700149329</v>
      </c>
      <c r="G22">
        <v>0.60180564648991819</v>
      </c>
      <c r="I22" t="s">
        <v>2319</v>
      </c>
    </row>
    <row r="23" spans="1:9" x14ac:dyDescent="0.2">
      <c r="A23" s="10" t="s">
        <v>2280</v>
      </c>
      <c r="B23">
        <v>-2.6292472566385885</v>
      </c>
      <c r="C23">
        <v>0.3282779046888864</v>
      </c>
      <c r="D23">
        <v>-8.0092117656543564</v>
      </c>
      <c r="E23" s="10">
        <v>1.4092923603172059E-14</v>
      </c>
      <c r="F23">
        <v>-3.2747051412726491</v>
      </c>
      <c r="G23">
        <v>-1.9837893720045279</v>
      </c>
    </row>
    <row r="24" spans="1:9" x14ac:dyDescent="0.2">
      <c r="A24" s="10" t="s">
        <v>2279</v>
      </c>
      <c r="B24">
        <v>-2.2645293637298631</v>
      </c>
      <c r="C24">
        <v>0.19615011623115544</v>
      </c>
      <c r="D24">
        <v>-11.544879030615519</v>
      </c>
      <c r="E24" s="10">
        <v>1.1863919883557346E-26</v>
      </c>
      <c r="F24">
        <v>-2.6501984486269219</v>
      </c>
      <c r="G24">
        <v>-1.8788602788328044</v>
      </c>
      <c r="I24" s="12" t="s">
        <v>2320</v>
      </c>
    </row>
    <row r="25" spans="1:9" x14ac:dyDescent="0.2">
      <c r="A25" s="10" t="s">
        <v>2278</v>
      </c>
      <c r="B25">
        <v>-1.3815630078494539</v>
      </c>
      <c r="C25">
        <v>0.17400660792635825</v>
      </c>
      <c r="D25">
        <v>-7.9397157631746289</v>
      </c>
      <c r="E25" s="10">
        <v>2.2828088073993199E-14</v>
      </c>
      <c r="F25">
        <v>-1.7236936704992507</v>
      </c>
      <c r="G25">
        <v>-1.039432345199657</v>
      </c>
      <c r="I25" t="s">
        <v>2321</v>
      </c>
    </row>
    <row r="26" spans="1:9" x14ac:dyDescent="0.2">
      <c r="A26" t="s">
        <v>2310</v>
      </c>
      <c r="B26">
        <v>0.12866339593330739</v>
      </c>
      <c r="C26">
        <v>0.21362815726228282</v>
      </c>
      <c r="D26">
        <v>0.60227732889789609</v>
      </c>
      <c r="E26">
        <v>0.54734687411019345</v>
      </c>
      <c r="F26">
        <v>-0.29137089975120989</v>
      </c>
      <c r="G26">
        <v>0.54869769161782467</v>
      </c>
    </row>
    <row r="27" spans="1:9" x14ac:dyDescent="0.2">
      <c r="A27" t="s">
        <v>587</v>
      </c>
      <c r="B27">
        <v>5.0113053792114328E-3</v>
      </c>
      <c r="C27">
        <v>1.0855103396104562E-2</v>
      </c>
      <c r="D27">
        <v>0.46165432021677277</v>
      </c>
      <c r="E27">
        <v>0.64459201190530935</v>
      </c>
      <c r="F27">
        <v>-1.6331928434145052E-2</v>
      </c>
      <c r="G27">
        <v>2.6354539192567916E-2</v>
      </c>
      <c r="I27" s="12" t="s">
        <v>2322</v>
      </c>
    </row>
    <row r="28" spans="1:9" ht="16" thickBot="1" x14ac:dyDescent="0.25">
      <c r="A28" s="6" t="s">
        <v>2308</v>
      </c>
      <c r="B28" s="6">
        <v>-5.2344009713229361E-2</v>
      </c>
      <c r="C28" s="6">
        <v>0.14298347743585399</v>
      </c>
      <c r="D28" s="6">
        <v>-0.36608432423048465</v>
      </c>
      <c r="E28" s="6">
        <v>0.71450480932438465</v>
      </c>
      <c r="F28" s="6">
        <v>-0.33347719463115005</v>
      </c>
      <c r="G28" s="6">
        <v>0.22878917520469133</v>
      </c>
      <c r="I28" t="s">
        <v>2323</v>
      </c>
    </row>
    <row r="30" spans="1:9" x14ac:dyDescent="0.2">
      <c r="I30" s="12" t="s">
        <v>2324</v>
      </c>
    </row>
    <row r="31" spans="1:9" x14ac:dyDescent="0.2">
      <c r="I31" t="s">
        <v>2325</v>
      </c>
    </row>
    <row r="32" spans="1:9" x14ac:dyDescent="0.2">
      <c r="A32" t="s">
        <v>2303</v>
      </c>
    </row>
    <row r="33" spans="1:9" ht="16" thickBot="1" x14ac:dyDescent="0.25">
      <c r="I33" s="12" t="s">
        <v>2326</v>
      </c>
    </row>
    <row r="34" spans="1:9" x14ac:dyDescent="0.2">
      <c r="A34" s="7" t="s">
        <v>2304</v>
      </c>
      <c r="B34" s="7" t="s">
        <v>2305</v>
      </c>
      <c r="C34" s="7" t="s">
        <v>2306</v>
      </c>
      <c r="D34" s="7" t="s">
        <v>2307</v>
      </c>
      <c r="I34" t="s">
        <v>2327</v>
      </c>
    </row>
    <row r="35" spans="1:9" x14ac:dyDescent="0.2">
      <c r="A35">
        <v>1</v>
      </c>
      <c r="B35">
        <v>4.6024670235043903</v>
      </c>
      <c r="C35">
        <v>0.3975329764956097</v>
      </c>
      <c r="D35">
        <v>0.29518238892826959</v>
      </c>
    </row>
    <row r="36" spans="1:9" x14ac:dyDescent="0.2">
      <c r="A36">
        <v>2</v>
      </c>
      <c r="B36">
        <v>4.7154693827769512</v>
      </c>
      <c r="C36">
        <v>0.28453061722304884</v>
      </c>
      <c r="D36">
        <v>0.2112741137993672</v>
      </c>
    </row>
    <row r="37" spans="1:9" x14ac:dyDescent="0.2">
      <c r="A37">
        <v>3</v>
      </c>
      <c r="B37">
        <v>2.1335548304723808</v>
      </c>
      <c r="C37">
        <v>-2.1335548304723808</v>
      </c>
      <c r="D37">
        <v>-1.5842404253354865</v>
      </c>
    </row>
    <row r="38" spans="1:9" x14ac:dyDescent="0.2">
      <c r="A38">
        <v>4</v>
      </c>
      <c r="B38">
        <v>2.5439691088378007</v>
      </c>
      <c r="C38">
        <v>0.4560308911621993</v>
      </c>
      <c r="D38">
        <v>0.33861917334506297</v>
      </c>
    </row>
    <row r="39" spans="1:9" x14ac:dyDescent="0.2">
      <c r="A39">
        <v>5</v>
      </c>
      <c r="B39">
        <v>4.766177073612857</v>
      </c>
      <c r="C39">
        <v>0.23382292638714297</v>
      </c>
      <c r="D39">
        <v>0.17362184794226257</v>
      </c>
    </row>
    <row r="40" spans="1:9" x14ac:dyDescent="0.2">
      <c r="A40">
        <v>6</v>
      </c>
      <c r="B40">
        <v>3.42693546471821</v>
      </c>
      <c r="C40">
        <v>-1.42693546471821</v>
      </c>
      <c r="D40">
        <v>-1.0595503875805974</v>
      </c>
    </row>
    <row r="41" spans="1:9" x14ac:dyDescent="0.2">
      <c r="A41">
        <v>7</v>
      </c>
      <c r="B41">
        <v>3.5768307622049793</v>
      </c>
      <c r="C41">
        <v>-1.5768307622049793</v>
      </c>
      <c r="D41">
        <v>-1.1708529828805043</v>
      </c>
    </row>
    <row r="42" spans="1:9" x14ac:dyDescent="0.2">
      <c r="A42">
        <v>8</v>
      </c>
      <c r="B42">
        <v>4.9321874376264692</v>
      </c>
      <c r="C42">
        <v>6.7812562373530838E-2</v>
      </c>
      <c r="D42">
        <v>5.0353241980636509E-2</v>
      </c>
    </row>
    <row r="43" spans="1:9" x14ac:dyDescent="0.2">
      <c r="A43">
        <v>9</v>
      </c>
      <c r="B43">
        <v>4.7523682172585895</v>
      </c>
      <c r="C43">
        <v>1.2476317827414105</v>
      </c>
      <c r="D43">
        <v>0.92641101973212692</v>
      </c>
    </row>
    <row r="44" spans="1:9" x14ac:dyDescent="0.2">
      <c r="A44">
        <v>10</v>
      </c>
      <c r="B44">
        <v>2.4093332957506566</v>
      </c>
      <c r="C44">
        <v>-1.4093332957506566</v>
      </c>
      <c r="D44">
        <v>-1.0464801504094208</v>
      </c>
    </row>
    <row r="45" spans="1:9" x14ac:dyDescent="0.2">
      <c r="A45">
        <v>11</v>
      </c>
      <c r="B45">
        <v>4.7561544628544343</v>
      </c>
      <c r="C45">
        <v>1.2438455371455657</v>
      </c>
      <c r="D45">
        <v>0.92359959757061738</v>
      </c>
    </row>
    <row r="46" spans="1:9" x14ac:dyDescent="0.2">
      <c r="A46">
        <v>12</v>
      </c>
      <c r="B46">
        <v>2.3379376597745281</v>
      </c>
      <c r="C46">
        <v>-0.33793765977452805</v>
      </c>
      <c r="D46">
        <v>-0.25093074441379243</v>
      </c>
    </row>
    <row r="47" spans="1:9" x14ac:dyDescent="0.2">
      <c r="A47">
        <v>13</v>
      </c>
      <c r="B47">
        <v>4.8084984725676634</v>
      </c>
      <c r="C47">
        <v>0.19150152743233662</v>
      </c>
      <c r="D47">
        <v>0.14219670239486148</v>
      </c>
    </row>
    <row r="48" spans="1:9" x14ac:dyDescent="0.2">
      <c r="A48">
        <v>14</v>
      </c>
      <c r="B48">
        <v>4.8285436940845097</v>
      </c>
      <c r="C48">
        <v>2.1714563059154903</v>
      </c>
      <c r="D48">
        <v>1.6123836203072042</v>
      </c>
    </row>
    <row r="49" spans="1:4" x14ac:dyDescent="0.2">
      <c r="A49">
        <v>15</v>
      </c>
      <c r="B49">
        <v>4.7711883789920684</v>
      </c>
      <c r="C49">
        <v>-0.77118837899206838</v>
      </c>
      <c r="D49">
        <v>-0.57263482901804641</v>
      </c>
    </row>
    <row r="50" spans="1:4" x14ac:dyDescent="0.2">
      <c r="A50">
        <v>16</v>
      </c>
      <c r="B50">
        <v>4.7881811057477606</v>
      </c>
      <c r="C50">
        <v>-0.78818110574776057</v>
      </c>
      <c r="D50">
        <v>-0.58525253364815766</v>
      </c>
    </row>
    <row r="51" spans="1:4" x14ac:dyDescent="0.2">
      <c r="A51">
        <v>17</v>
      </c>
      <c r="B51">
        <v>4.7561544628544343</v>
      </c>
      <c r="C51">
        <v>-0.75615446285443433</v>
      </c>
      <c r="D51">
        <v>-0.56147161101390908</v>
      </c>
    </row>
    <row r="52" spans="1:4" x14ac:dyDescent="0.2">
      <c r="A52">
        <v>18</v>
      </c>
      <c r="B52">
        <v>3.39627299539915</v>
      </c>
      <c r="C52">
        <v>-1.39627299539915</v>
      </c>
      <c r="D52">
        <v>-1.0367824123956761</v>
      </c>
    </row>
    <row r="53" spans="1:4" x14ac:dyDescent="0.2">
      <c r="A53">
        <v>19</v>
      </c>
      <c r="B53">
        <v>3.5862646321870395</v>
      </c>
      <c r="C53">
        <v>-1.5862646321870395</v>
      </c>
      <c r="D53">
        <v>-1.1778579672284479</v>
      </c>
    </row>
    <row r="54" spans="1:4" x14ac:dyDescent="0.2">
      <c r="A54">
        <v>20</v>
      </c>
      <c r="B54">
        <v>3.5784729773497315</v>
      </c>
      <c r="C54">
        <v>1.4215270226502685</v>
      </c>
      <c r="D54">
        <v>1.0555344267813989</v>
      </c>
    </row>
    <row r="55" spans="1:4" x14ac:dyDescent="0.2">
      <c r="A55">
        <v>21</v>
      </c>
      <c r="B55">
        <v>3.638608641900269</v>
      </c>
      <c r="C55">
        <v>-1.638608641900269</v>
      </c>
      <c r="D55">
        <v>-1.216725258111941</v>
      </c>
    </row>
    <row r="56" spans="1:4" x14ac:dyDescent="0.2">
      <c r="A56">
        <v>22</v>
      </c>
      <c r="B56">
        <v>4.9477824185196475</v>
      </c>
      <c r="C56">
        <v>2.0522175814803525</v>
      </c>
      <c r="D56">
        <v>1.5238446220037205</v>
      </c>
    </row>
    <row r="57" spans="1:4" x14ac:dyDescent="0.2">
      <c r="A57">
        <v>23</v>
      </c>
      <c r="B57">
        <v>4.864815408043035</v>
      </c>
      <c r="C57">
        <v>0.13518459195696497</v>
      </c>
      <c r="D57">
        <v>0.10037937267976801</v>
      </c>
    </row>
    <row r="58" spans="1:4" x14ac:dyDescent="0.2">
      <c r="A58">
        <v>24</v>
      </c>
      <c r="B58">
        <v>3.6520062391605794</v>
      </c>
      <c r="C58">
        <v>-0.65200623916057943</v>
      </c>
      <c r="D58">
        <v>-0.48413784679742672</v>
      </c>
    </row>
    <row r="59" spans="1:4" x14ac:dyDescent="0.2">
      <c r="A59">
        <v>25</v>
      </c>
      <c r="B59">
        <v>2.5086119296128344</v>
      </c>
      <c r="C59">
        <v>-0.50861192961283441</v>
      </c>
      <c r="D59">
        <v>-0.37766246650532004</v>
      </c>
    </row>
    <row r="60" spans="1:4" x14ac:dyDescent="0.2">
      <c r="A60">
        <v>26</v>
      </c>
      <c r="B60">
        <v>4.8664031811970858</v>
      </c>
      <c r="C60">
        <v>-0.86640318119708581</v>
      </c>
      <c r="D60">
        <v>-0.64333520971091729</v>
      </c>
    </row>
    <row r="61" spans="1:4" x14ac:dyDescent="0.2">
      <c r="A61">
        <v>27</v>
      </c>
      <c r="B61">
        <v>4.7803835546430236</v>
      </c>
      <c r="C61">
        <v>0.21961644535697644</v>
      </c>
      <c r="D61">
        <v>0.16307302996566131</v>
      </c>
    </row>
    <row r="62" spans="1:4" x14ac:dyDescent="0.2">
      <c r="A62">
        <v>28</v>
      </c>
      <c r="B62">
        <v>4.9900979212070249</v>
      </c>
      <c r="C62">
        <v>9.9020787929751108E-3</v>
      </c>
      <c r="D62">
        <v>7.3526460602913778E-3</v>
      </c>
    </row>
    <row r="63" spans="1:4" x14ac:dyDescent="0.2">
      <c r="A63">
        <v>29</v>
      </c>
      <c r="B63">
        <v>4.7480906627140698</v>
      </c>
      <c r="C63">
        <v>0.25190933728593023</v>
      </c>
      <c r="D63">
        <v>0.18705165198847176</v>
      </c>
    </row>
    <row r="64" spans="1:4" x14ac:dyDescent="0.2">
      <c r="A64">
        <v>30</v>
      </c>
      <c r="B64">
        <v>4.8154685885649329</v>
      </c>
      <c r="C64">
        <v>-0.81546858856493287</v>
      </c>
      <c r="D64">
        <v>-0.60551446119142138</v>
      </c>
    </row>
    <row r="65" spans="1:4" x14ac:dyDescent="0.2">
      <c r="A65">
        <v>31</v>
      </c>
      <c r="B65">
        <v>4.7330567465764348</v>
      </c>
      <c r="C65">
        <v>0.26694325342356517</v>
      </c>
      <c r="D65">
        <v>0.19821486999260973</v>
      </c>
    </row>
    <row r="66" spans="1:4" x14ac:dyDescent="0.2">
      <c r="A66">
        <v>32</v>
      </c>
      <c r="B66">
        <v>2.3792206791122643</v>
      </c>
      <c r="C66">
        <v>-1.3792206791122643</v>
      </c>
      <c r="D66">
        <v>-1.0241204604170109</v>
      </c>
    </row>
    <row r="67" spans="1:4" x14ac:dyDescent="0.2">
      <c r="A67">
        <v>33</v>
      </c>
      <c r="B67">
        <v>2.5251489471043214</v>
      </c>
      <c r="C67">
        <v>1.4748510528956786</v>
      </c>
      <c r="D67">
        <v>1.0951294178029733</v>
      </c>
    </row>
    <row r="68" spans="1:4" x14ac:dyDescent="0.2">
      <c r="A68">
        <v>34</v>
      </c>
      <c r="B68">
        <v>3.0799870530420916</v>
      </c>
      <c r="C68">
        <v>-1.0799870530420916</v>
      </c>
      <c r="D68">
        <v>-0.80192883905843004</v>
      </c>
    </row>
    <row r="69" spans="1:4" x14ac:dyDescent="0.2">
      <c r="A69">
        <v>35</v>
      </c>
      <c r="B69">
        <v>4.7611657682336457</v>
      </c>
      <c r="C69">
        <v>0.23883423176635432</v>
      </c>
      <c r="D69">
        <v>0.17734292061030835</v>
      </c>
    </row>
    <row r="70" spans="1:4" x14ac:dyDescent="0.2">
      <c r="A70">
        <v>36</v>
      </c>
      <c r="B70">
        <v>4.6082120797182942</v>
      </c>
      <c r="C70">
        <v>0.39178792028170584</v>
      </c>
      <c r="D70">
        <v>0.29091648014078547</v>
      </c>
    </row>
    <row r="71" spans="1:4" x14ac:dyDescent="0.2">
      <c r="A71">
        <v>37</v>
      </c>
      <c r="B71">
        <v>4.5881668582014479</v>
      </c>
      <c r="C71">
        <v>-0.58816685820144787</v>
      </c>
      <c r="D71">
        <v>-0.43673483347929398</v>
      </c>
    </row>
    <row r="72" spans="1:4" x14ac:dyDescent="0.2">
      <c r="A72">
        <v>38</v>
      </c>
      <c r="B72">
        <v>2.4885667080959886</v>
      </c>
      <c r="C72">
        <v>0.51143329190401143</v>
      </c>
      <c r="D72">
        <v>0.37975742845912658</v>
      </c>
    </row>
    <row r="73" spans="1:4" x14ac:dyDescent="0.2">
      <c r="A73">
        <v>39</v>
      </c>
      <c r="B73">
        <v>2.5058315801547382</v>
      </c>
      <c r="C73">
        <v>3.4941684198452618</v>
      </c>
      <c r="D73">
        <v>2.5945444591287439</v>
      </c>
    </row>
    <row r="74" spans="1:4" x14ac:dyDescent="0.2">
      <c r="A74">
        <v>40</v>
      </c>
      <c r="B74">
        <v>3.0699644422836689</v>
      </c>
      <c r="C74">
        <v>-1.0699644422836689</v>
      </c>
      <c r="D74">
        <v>-0.79448669372233849</v>
      </c>
    </row>
    <row r="75" spans="1:4" x14ac:dyDescent="0.2">
      <c r="A75">
        <v>41</v>
      </c>
      <c r="B75">
        <v>3.3389176803067091</v>
      </c>
      <c r="C75">
        <v>0.6610823196932909</v>
      </c>
      <c r="D75">
        <v>0.49087715974038887</v>
      </c>
    </row>
    <row r="76" spans="1:4" x14ac:dyDescent="0.2">
      <c r="A76">
        <v>42</v>
      </c>
      <c r="B76">
        <v>4.7705937419482769</v>
      </c>
      <c r="C76">
        <v>-0.7705937419482769</v>
      </c>
      <c r="D76">
        <v>-0.57219328984140017</v>
      </c>
    </row>
    <row r="77" spans="1:4" x14ac:dyDescent="0.2">
      <c r="A77">
        <v>43</v>
      </c>
      <c r="B77">
        <v>4.8285436940845097</v>
      </c>
      <c r="C77">
        <v>0.17145630591549033</v>
      </c>
      <c r="D77">
        <v>0.12731241172267777</v>
      </c>
    </row>
    <row r="78" spans="1:4" x14ac:dyDescent="0.2">
      <c r="A78">
        <v>44</v>
      </c>
      <c r="B78">
        <v>2.5267042367790515</v>
      </c>
      <c r="C78">
        <v>0.47329576322094846</v>
      </c>
      <c r="D78">
        <v>0.35143895555223487</v>
      </c>
    </row>
    <row r="79" spans="1:4" x14ac:dyDescent="0.2">
      <c r="A79">
        <v>45</v>
      </c>
      <c r="B79">
        <v>4.7280395449297945</v>
      </c>
      <c r="C79">
        <v>-0.7280395449297945</v>
      </c>
      <c r="D79">
        <v>-0.54059528344310925</v>
      </c>
    </row>
    <row r="80" spans="1:4" x14ac:dyDescent="0.2">
      <c r="A80">
        <v>46</v>
      </c>
      <c r="B80">
        <v>3.3507540916248604</v>
      </c>
      <c r="C80">
        <v>-0.35075409162486038</v>
      </c>
      <c r="D80">
        <v>-0.26044740138264955</v>
      </c>
    </row>
    <row r="81" spans="1:4" x14ac:dyDescent="0.2">
      <c r="A81">
        <v>47</v>
      </c>
      <c r="B81">
        <v>4.5809245969011219</v>
      </c>
      <c r="C81">
        <v>-0.58092459690112186</v>
      </c>
      <c r="D81">
        <v>-0.43135719660821392</v>
      </c>
    </row>
    <row r="82" spans="1:4" x14ac:dyDescent="0.2">
      <c r="A82">
        <v>48</v>
      </c>
      <c r="B82">
        <v>4.6132233850975055</v>
      </c>
      <c r="C82">
        <v>0.38677661490249449</v>
      </c>
      <c r="D82">
        <v>0.28719540747273969</v>
      </c>
    </row>
    <row r="83" spans="1:4" x14ac:dyDescent="0.2">
      <c r="A83">
        <v>49</v>
      </c>
      <c r="B83">
        <v>4.7628020871109689</v>
      </c>
      <c r="C83">
        <v>-0.76280208711096886</v>
      </c>
      <c r="D83">
        <v>-0.56640770870834289</v>
      </c>
    </row>
    <row r="84" spans="1:4" x14ac:dyDescent="0.2">
      <c r="A84">
        <v>50</v>
      </c>
      <c r="B84">
        <v>4.7104580773977398</v>
      </c>
      <c r="C84">
        <v>-2.7104580773977398</v>
      </c>
      <c r="D84">
        <v>-2.0126116264093765</v>
      </c>
    </row>
    <row r="85" spans="1:4" x14ac:dyDescent="0.2">
      <c r="A85">
        <v>51</v>
      </c>
      <c r="B85">
        <v>3.6169271015060995</v>
      </c>
      <c r="C85">
        <v>1.3830728984939005</v>
      </c>
      <c r="D85">
        <v>1.0269808704634205</v>
      </c>
    </row>
    <row r="86" spans="1:4" x14ac:dyDescent="0.2">
      <c r="A86">
        <v>52</v>
      </c>
      <c r="B86">
        <v>2.6904895411389771</v>
      </c>
      <c r="C86">
        <v>-1.6904895411389771</v>
      </c>
      <c r="D86">
        <v>-1.255248672979381</v>
      </c>
    </row>
    <row r="87" spans="1:4" x14ac:dyDescent="0.2">
      <c r="A87">
        <v>53</v>
      </c>
      <c r="B87">
        <v>2.5201376417251096</v>
      </c>
      <c r="C87">
        <v>0.47986235827489043</v>
      </c>
      <c r="D87">
        <v>0.35631488617875628</v>
      </c>
    </row>
    <row r="88" spans="1:4" x14ac:dyDescent="0.2">
      <c r="A88">
        <v>54</v>
      </c>
      <c r="B88">
        <v>4.766177073612857</v>
      </c>
      <c r="C88">
        <v>-0.76617707361285703</v>
      </c>
      <c r="D88">
        <v>-0.56891375635000063</v>
      </c>
    </row>
    <row r="89" spans="1:4" x14ac:dyDescent="0.2">
      <c r="A89">
        <v>55</v>
      </c>
      <c r="B89">
        <v>4.796244905888126</v>
      </c>
      <c r="C89">
        <v>-0.79624490588812602</v>
      </c>
      <c r="D89">
        <v>-0.59124019235827585</v>
      </c>
    </row>
    <row r="90" spans="1:4" x14ac:dyDescent="0.2">
      <c r="A90">
        <v>56</v>
      </c>
      <c r="B90">
        <v>3.526128967636502</v>
      </c>
      <c r="C90">
        <v>2.473871032363498</v>
      </c>
      <c r="D90">
        <v>1.836937321957155</v>
      </c>
    </row>
    <row r="91" spans="1:4" x14ac:dyDescent="0.2">
      <c r="A91">
        <v>57</v>
      </c>
      <c r="B91">
        <v>3.4375560147368862</v>
      </c>
      <c r="C91">
        <v>-1.4375560147368862</v>
      </c>
      <c r="D91">
        <v>-1.0674365241066315</v>
      </c>
    </row>
    <row r="92" spans="1:4" x14ac:dyDescent="0.2">
      <c r="A92">
        <v>58</v>
      </c>
      <c r="B92">
        <v>4.78480034429474</v>
      </c>
      <c r="C92">
        <v>-0.78480034429473999</v>
      </c>
      <c r="D92">
        <v>-0.58274219789967097</v>
      </c>
    </row>
    <row r="93" spans="1:4" x14ac:dyDescent="0.2">
      <c r="A93">
        <v>59</v>
      </c>
      <c r="B93">
        <v>4.8028925301446606</v>
      </c>
      <c r="C93">
        <v>-0.80289253014466055</v>
      </c>
      <c r="D93">
        <v>-0.59617629005270967</v>
      </c>
    </row>
    <row r="94" spans="1:4" x14ac:dyDescent="0.2">
      <c r="A94">
        <v>60</v>
      </c>
      <c r="B94">
        <v>4.9600359851991849</v>
      </c>
      <c r="C94">
        <v>3.9964014800815129E-2</v>
      </c>
      <c r="D94">
        <v>2.9674703880068213E-2</v>
      </c>
    </row>
    <row r="95" spans="1:4" x14ac:dyDescent="0.2">
      <c r="A95">
        <v>61</v>
      </c>
      <c r="B95">
        <v>4.5831555528222365</v>
      </c>
      <c r="C95">
        <v>-0.58315555282223652</v>
      </c>
      <c r="D95">
        <v>-0.43301376081124821</v>
      </c>
    </row>
    <row r="96" spans="1:4" x14ac:dyDescent="0.2">
      <c r="A96">
        <v>62</v>
      </c>
      <c r="B96">
        <v>4.7330508503090059</v>
      </c>
      <c r="C96">
        <v>-0.73305085030900585</v>
      </c>
      <c r="D96">
        <v>-0.54431635611115503</v>
      </c>
    </row>
    <row r="97" spans="1:4" x14ac:dyDescent="0.2">
      <c r="A97">
        <v>63</v>
      </c>
      <c r="B97">
        <v>4.7430734610674294</v>
      </c>
      <c r="C97">
        <v>-0.74307346106742944</v>
      </c>
      <c r="D97">
        <v>-0.55175850144724725</v>
      </c>
    </row>
    <row r="98" spans="1:4" x14ac:dyDescent="0.2">
      <c r="A98">
        <v>64</v>
      </c>
      <c r="B98">
        <v>4.7230341358180121</v>
      </c>
      <c r="C98">
        <v>0.27696586418198788</v>
      </c>
      <c r="D98">
        <v>0.20565701532870126</v>
      </c>
    </row>
    <row r="99" spans="1:4" x14ac:dyDescent="0.2">
      <c r="A99">
        <v>65</v>
      </c>
      <c r="B99">
        <v>4.7803894509104525</v>
      </c>
      <c r="C99">
        <v>-0.78038945091045253</v>
      </c>
      <c r="D99">
        <v>-0.57946695251510039</v>
      </c>
    </row>
    <row r="100" spans="1:4" x14ac:dyDescent="0.2">
      <c r="A100">
        <v>66</v>
      </c>
      <c r="B100">
        <v>4.4114370070994315</v>
      </c>
      <c r="C100">
        <v>2.5885629929005685</v>
      </c>
      <c r="D100">
        <v>1.9221001861820131</v>
      </c>
    </row>
    <row r="101" spans="1:4" x14ac:dyDescent="0.2">
      <c r="A101">
        <v>67</v>
      </c>
      <c r="B101">
        <v>4.6387328411954876</v>
      </c>
      <c r="C101">
        <v>1.3612671588045124</v>
      </c>
      <c r="D101">
        <v>1.0107893323661208</v>
      </c>
    </row>
    <row r="102" spans="1:4" x14ac:dyDescent="0.2">
      <c r="A102">
        <v>68</v>
      </c>
      <c r="B102">
        <v>4.6360489560724476</v>
      </c>
      <c r="C102">
        <v>0.3639510439275524</v>
      </c>
      <c r="D102">
        <v>0.27024660833554515</v>
      </c>
    </row>
    <row r="103" spans="1:4" x14ac:dyDescent="0.2">
      <c r="A103">
        <v>69</v>
      </c>
      <c r="B103">
        <v>2.2913387062752015</v>
      </c>
      <c r="C103">
        <v>-0.29133870627520153</v>
      </c>
      <c r="D103">
        <v>-0.21632936231778294</v>
      </c>
    </row>
    <row r="104" spans="1:4" x14ac:dyDescent="0.2">
      <c r="A104">
        <v>70</v>
      </c>
      <c r="B104">
        <v>4.5258002377297961</v>
      </c>
      <c r="C104">
        <v>0.47419976227020388</v>
      </c>
      <c r="D104">
        <v>0.35211020703255341</v>
      </c>
    </row>
    <row r="105" spans="1:4" x14ac:dyDescent="0.2">
      <c r="A105">
        <v>71</v>
      </c>
      <c r="B105">
        <v>4.7581073772050635</v>
      </c>
      <c r="C105">
        <v>0.24189262279493651</v>
      </c>
      <c r="D105">
        <v>0.17961388484087867</v>
      </c>
    </row>
    <row r="106" spans="1:4" x14ac:dyDescent="0.2">
      <c r="A106">
        <v>72</v>
      </c>
      <c r="B106">
        <v>4.7703609438846009</v>
      </c>
      <c r="C106">
        <v>-0.77036094388460086</v>
      </c>
      <c r="D106">
        <v>-0.57202042899051031</v>
      </c>
    </row>
    <row r="107" spans="1:4" x14ac:dyDescent="0.2">
      <c r="A107">
        <v>73</v>
      </c>
      <c r="B107">
        <v>3.6341860772974202</v>
      </c>
      <c r="C107">
        <v>-0.63418607729742016</v>
      </c>
      <c r="D107">
        <v>-0.47090574213977981</v>
      </c>
    </row>
    <row r="108" spans="1:4" x14ac:dyDescent="0.2">
      <c r="A108">
        <v>74</v>
      </c>
      <c r="B108">
        <v>4.9634050754336441</v>
      </c>
      <c r="C108">
        <v>2.0365949245663559</v>
      </c>
      <c r="D108">
        <v>1.5122442430114353</v>
      </c>
    </row>
    <row r="109" spans="1:4" x14ac:dyDescent="0.2">
      <c r="A109">
        <v>75</v>
      </c>
      <c r="B109">
        <v>3.3689855125819776</v>
      </c>
      <c r="C109">
        <v>-0.36898551258197765</v>
      </c>
      <c r="D109">
        <v>-0.27398488056014925</v>
      </c>
    </row>
    <row r="110" spans="1:4" x14ac:dyDescent="0.2">
      <c r="A110">
        <v>76</v>
      </c>
      <c r="B110">
        <v>2.6982869709274184</v>
      </c>
      <c r="C110">
        <v>-0.69828697092741843</v>
      </c>
      <c r="D110">
        <v>-0.51850293792700464</v>
      </c>
    </row>
    <row r="111" spans="1:4" x14ac:dyDescent="0.2">
      <c r="A111">
        <v>77</v>
      </c>
      <c r="B111">
        <v>2.6955066214693222</v>
      </c>
      <c r="C111">
        <v>0.30449337853067782</v>
      </c>
      <c r="D111">
        <v>0.2260971748302697</v>
      </c>
    </row>
    <row r="112" spans="1:4" x14ac:dyDescent="0.2">
      <c r="A112">
        <v>78</v>
      </c>
      <c r="B112">
        <v>4.9477824185196475</v>
      </c>
      <c r="C112">
        <v>1.0522175814803525</v>
      </c>
      <c r="D112">
        <v>0.78130901771145722</v>
      </c>
    </row>
    <row r="113" spans="1:4" x14ac:dyDescent="0.2">
      <c r="A113">
        <v>79</v>
      </c>
      <c r="B113">
        <v>4.8435776102221437</v>
      </c>
      <c r="C113">
        <v>-0.84357761022214373</v>
      </c>
      <c r="D113">
        <v>-0.6263864105737228</v>
      </c>
    </row>
    <row r="114" spans="1:4" x14ac:dyDescent="0.2">
      <c r="A114">
        <v>80</v>
      </c>
      <c r="B114">
        <v>4.8112788220257601</v>
      </c>
      <c r="C114">
        <v>-0.81127882202576007</v>
      </c>
      <c r="D114">
        <v>-0.60240341036241318</v>
      </c>
    </row>
    <row r="115" spans="1:4" x14ac:dyDescent="0.2">
      <c r="A115">
        <v>81</v>
      </c>
      <c r="B115">
        <v>3.1585373951832851</v>
      </c>
      <c r="C115">
        <v>1.8414626048167149</v>
      </c>
      <c r="D115">
        <v>1.3673515480491845</v>
      </c>
    </row>
    <row r="116" spans="1:4" x14ac:dyDescent="0.2">
      <c r="A116">
        <v>82</v>
      </c>
      <c r="B116">
        <v>3.2108814048965146</v>
      </c>
      <c r="C116">
        <v>0.78911859510348537</v>
      </c>
      <c r="D116">
        <v>0.58594865287342823</v>
      </c>
    </row>
    <row r="117" spans="1:4" x14ac:dyDescent="0.2">
      <c r="A117">
        <v>83</v>
      </c>
      <c r="B117">
        <v>2.7562369230636512</v>
      </c>
      <c r="C117">
        <v>0.2437630769363488</v>
      </c>
      <c r="D117">
        <v>0.18100276363707321</v>
      </c>
    </row>
    <row r="118" spans="1:4" x14ac:dyDescent="0.2">
      <c r="A118">
        <v>84</v>
      </c>
      <c r="B118">
        <v>4.5207889323505848</v>
      </c>
      <c r="C118">
        <v>1.4792110676494152</v>
      </c>
      <c r="D118">
        <v>1.0983668839928624</v>
      </c>
    </row>
    <row r="119" spans="1:4" x14ac:dyDescent="0.2">
      <c r="A119">
        <v>85</v>
      </c>
      <c r="B119">
        <v>4.652547593817185</v>
      </c>
      <c r="C119">
        <v>-3.652547593817185</v>
      </c>
      <c r="D119">
        <v>-2.7121466347812953</v>
      </c>
    </row>
    <row r="120" spans="1:4" x14ac:dyDescent="0.2">
      <c r="A120">
        <v>86</v>
      </c>
      <c r="B120">
        <v>4.63751367767955</v>
      </c>
      <c r="C120">
        <v>-2.63751367767955</v>
      </c>
      <c r="D120">
        <v>-1.9584478124848943</v>
      </c>
    </row>
    <row r="121" spans="1:4" x14ac:dyDescent="0.2">
      <c r="A121">
        <v>87</v>
      </c>
      <c r="B121">
        <v>4.803487167188452</v>
      </c>
      <c r="C121">
        <v>-2.803487167188452</v>
      </c>
      <c r="D121">
        <v>-2.0816890378138821</v>
      </c>
    </row>
    <row r="122" spans="1:4" x14ac:dyDescent="0.2">
      <c r="A122">
        <v>88</v>
      </c>
      <c r="B122">
        <v>2.334157818795056</v>
      </c>
      <c r="C122">
        <v>-2.334157818795056</v>
      </c>
      <c r="D122">
        <v>-1.733195286492498</v>
      </c>
    </row>
    <row r="123" spans="1:4" x14ac:dyDescent="0.2">
      <c r="A123">
        <v>89</v>
      </c>
      <c r="B123">
        <v>3.1893389782932453</v>
      </c>
      <c r="C123">
        <v>0.81066102170675469</v>
      </c>
      <c r="D123">
        <v>0.60194467162920862</v>
      </c>
    </row>
    <row r="124" spans="1:4" x14ac:dyDescent="0.2">
      <c r="A124">
        <v>90</v>
      </c>
      <c r="B124">
        <v>3.2015925449727836</v>
      </c>
      <c r="C124">
        <v>0.79840745502721644</v>
      </c>
      <c r="D124">
        <v>0.59284596209008211</v>
      </c>
    </row>
    <row r="125" spans="1:4" x14ac:dyDescent="0.2">
      <c r="A125">
        <v>91</v>
      </c>
      <c r="B125">
        <v>4.5924444127459676</v>
      </c>
      <c r="C125">
        <v>-1.5924444127459676</v>
      </c>
      <c r="D125">
        <v>-1.1824466743201654</v>
      </c>
    </row>
    <row r="126" spans="1:4" x14ac:dyDescent="0.2">
      <c r="A126">
        <v>92</v>
      </c>
      <c r="B126">
        <v>4.657591382675716</v>
      </c>
      <c r="C126">
        <v>-0.65759138267571604</v>
      </c>
      <c r="D126">
        <v>-0.48828501471249769</v>
      </c>
    </row>
    <row r="127" spans="1:4" x14ac:dyDescent="0.2">
      <c r="A127">
        <v>93</v>
      </c>
      <c r="B127">
        <v>4.6325348557796593</v>
      </c>
      <c r="C127">
        <v>-1.6325348557796593</v>
      </c>
      <c r="D127">
        <v>-1.212215255664532</v>
      </c>
    </row>
    <row r="128" spans="1:4" x14ac:dyDescent="0.2">
      <c r="A128">
        <v>94</v>
      </c>
      <c r="B128">
        <v>4.9377539114937958</v>
      </c>
      <c r="C128">
        <v>6.2246088506204167E-2</v>
      </c>
      <c r="D128">
        <v>4.6219936943784012E-2</v>
      </c>
    </row>
    <row r="129" spans="1:4" x14ac:dyDescent="0.2">
      <c r="A129">
        <v>95</v>
      </c>
      <c r="B129">
        <v>4.9076860792185268</v>
      </c>
      <c r="C129">
        <v>9.2313920781473158E-2</v>
      </c>
      <c r="D129">
        <v>6.8546372952059287E-2</v>
      </c>
    </row>
    <row r="130" spans="1:4" x14ac:dyDescent="0.2">
      <c r="A130">
        <v>96</v>
      </c>
      <c r="B130">
        <v>4.6591952180737195</v>
      </c>
      <c r="C130">
        <v>0.3408047819262805</v>
      </c>
      <c r="D130">
        <v>0.25305968469332368</v>
      </c>
    </row>
    <row r="131" spans="1:4" x14ac:dyDescent="0.2">
      <c r="A131">
        <v>97</v>
      </c>
      <c r="B131">
        <v>4.6341386911776619</v>
      </c>
      <c r="C131">
        <v>1.3658613088223381</v>
      </c>
      <c r="D131">
        <v>1.0142006523258165</v>
      </c>
    </row>
    <row r="132" spans="1:4" x14ac:dyDescent="0.2">
      <c r="A132">
        <v>98</v>
      </c>
      <c r="B132">
        <v>4.7076719529885107</v>
      </c>
      <c r="C132">
        <v>2.2923280470114893</v>
      </c>
      <c r="D132">
        <v>1.7021351916237797</v>
      </c>
    </row>
    <row r="133" spans="1:4" x14ac:dyDescent="0.2">
      <c r="A133">
        <v>99</v>
      </c>
      <c r="B133">
        <v>4.7774188478872173</v>
      </c>
      <c r="C133">
        <v>1.2225811521127827</v>
      </c>
      <c r="D133">
        <v>0.90781003458039644</v>
      </c>
    </row>
    <row r="134" spans="1:4" x14ac:dyDescent="0.2">
      <c r="A134">
        <v>100</v>
      </c>
      <c r="B134">
        <v>4.5601456245495848</v>
      </c>
      <c r="C134">
        <v>2.4398543754504152</v>
      </c>
      <c r="D134">
        <v>1.8116787430601964</v>
      </c>
    </row>
    <row r="135" spans="1:4" x14ac:dyDescent="0.2">
      <c r="A135">
        <v>101</v>
      </c>
      <c r="B135">
        <v>4.794683719945966</v>
      </c>
      <c r="C135">
        <v>0.20531628005403402</v>
      </c>
      <c r="D135">
        <v>0.15245464808096171</v>
      </c>
    </row>
    <row r="136" spans="1:4" x14ac:dyDescent="0.2">
      <c r="A136">
        <v>102</v>
      </c>
      <c r="B136">
        <v>4.8004287761598698</v>
      </c>
      <c r="C136">
        <v>1.1995712238401302</v>
      </c>
      <c r="D136">
        <v>0.89072434358574082</v>
      </c>
    </row>
    <row r="137" spans="1:4" x14ac:dyDescent="0.2">
      <c r="A137">
        <v>103</v>
      </c>
      <c r="B137">
        <v>4.7928699193862379</v>
      </c>
      <c r="C137">
        <v>-0.79286991938623785</v>
      </c>
      <c r="D137">
        <v>-0.58873414471661811</v>
      </c>
    </row>
    <row r="138" spans="1:4" x14ac:dyDescent="0.2">
      <c r="A138">
        <v>104</v>
      </c>
      <c r="B138">
        <v>4.9884674985971307</v>
      </c>
      <c r="C138">
        <v>2.0115325014028693</v>
      </c>
      <c r="D138">
        <v>1.4936345014827073</v>
      </c>
    </row>
    <row r="139" spans="1:4" x14ac:dyDescent="0.2">
      <c r="A139">
        <v>105</v>
      </c>
      <c r="B139">
        <v>4.4637810168126606</v>
      </c>
      <c r="C139">
        <v>0.5362189831873394</v>
      </c>
      <c r="D139">
        <v>0.39816168671399399</v>
      </c>
    </row>
    <row r="140" spans="1:4" x14ac:dyDescent="0.2">
      <c r="A140">
        <v>106</v>
      </c>
      <c r="B140">
        <v>3.6670401552982139</v>
      </c>
      <c r="C140">
        <v>0.33295984470178608</v>
      </c>
      <c r="D140">
        <v>0.24723453949069885</v>
      </c>
    </row>
    <row r="141" spans="1:4" x14ac:dyDescent="0.2">
      <c r="A141">
        <v>107</v>
      </c>
      <c r="B141">
        <v>5.0207662867935134</v>
      </c>
      <c r="C141">
        <v>0.97923371320648656</v>
      </c>
      <c r="D141">
        <v>0.72711589697913526</v>
      </c>
    </row>
    <row r="142" spans="1:4" x14ac:dyDescent="0.2">
      <c r="A142">
        <v>108</v>
      </c>
      <c r="B142">
        <v>5.0408056120429308</v>
      </c>
      <c r="C142">
        <v>-4.0805612042930761E-2</v>
      </c>
      <c r="D142">
        <v>-3.0299619796813247E-2</v>
      </c>
    </row>
    <row r="143" spans="1:4" x14ac:dyDescent="0.2">
      <c r="A143">
        <v>109</v>
      </c>
      <c r="B143">
        <v>4.7330508503090059</v>
      </c>
      <c r="C143">
        <v>-0.73305085030900585</v>
      </c>
      <c r="D143">
        <v>-0.54431635611115503</v>
      </c>
    </row>
    <row r="144" spans="1:4" x14ac:dyDescent="0.2">
      <c r="A144">
        <v>110</v>
      </c>
      <c r="B144">
        <v>4.7323229957417432</v>
      </c>
      <c r="C144">
        <v>0.2676770042582568</v>
      </c>
      <c r="D144">
        <v>0.19875970611204744</v>
      </c>
    </row>
    <row r="145" spans="1:4" x14ac:dyDescent="0.2">
      <c r="A145">
        <v>111</v>
      </c>
      <c r="B145">
        <v>4.5258002377297961</v>
      </c>
      <c r="C145">
        <v>-0.52580023772979612</v>
      </c>
      <c r="D145">
        <v>-0.39042539725970982</v>
      </c>
    </row>
    <row r="146" spans="1:4" x14ac:dyDescent="0.2">
      <c r="A146">
        <v>112</v>
      </c>
      <c r="B146">
        <v>4.9277371970028021</v>
      </c>
      <c r="C146">
        <v>7.2262802997197895E-2</v>
      </c>
      <c r="D146">
        <v>5.3657704091377108E-2</v>
      </c>
    </row>
    <row r="147" spans="1:4" x14ac:dyDescent="0.2">
      <c r="A147">
        <v>113</v>
      </c>
      <c r="B147">
        <v>3.3589629018235545</v>
      </c>
      <c r="C147">
        <v>-1.3589629018235545</v>
      </c>
      <c r="D147">
        <v>-1.0090783395163205</v>
      </c>
    </row>
    <row r="148" spans="1:4" x14ac:dyDescent="0.2">
      <c r="A148">
        <v>114</v>
      </c>
      <c r="B148">
        <v>3.6169271015060995</v>
      </c>
      <c r="C148">
        <v>1.3830728984939005</v>
      </c>
      <c r="D148">
        <v>1.0269808704634205</v>
      </c>
    </row>
    <row r="149" spans="1:4" x14ac:dyDescent="0.2">
      <c r="A149">
        <v>115</v>
      </c>
      <c r="B149">
        <v>4.5931781635806592</v>
      </c>
      <c r="C149">
        <v>-0.59317816358065922</v>
      </c>
      <c r="D149">
        <v>-0.44045590614733976</v>
      </c>
    </row>
    <row r="150" spans="1:4" x14ac:dyDescent="0.2">
      <c r="A150">
        <v>116</v>
      </c>
      <c r="B150">
        <v>4.5551343191703735</v>
      </c>
      <c r="C150">
        <v>0.44486568082962652</v>
      </c>
      <c r="D150">
        <v>0.33032860714371581</v>
      </c>
    </row>
    <row r="151" spans="1:4" x14ac:dyDescent="0.2">
      <c r="A151">
        <v>117</v>
      </c>
      <c r="B151">
        <v>4.7204806881561625</v>
      </c>
      <c r="C151">
        <v>-0.72048068815616251</v>
      </c>
      <c r="D151">
        <v>-0.53498256316094173</v>
      </c>
    </row>
    <row r="152" spans="1:4" x14ac:dyDescent="0.2">
      <c r="A152">
        <v>118</v>
      </c>
      <c r="B152">
        <v>4.7611657682336457</v>
      </c>
      <c r="C152">
        <v>0.23883423176635432</v>
      </c>
      <c r="D152">
        <v>0.17734292061030835</v>
      </c>
    </row>
    <row r="153" spans="1:4" x14ac:dyDescent="0.2">
      <c r="A153">
        <v>119</v>
      </c>
      <c r="B153">
        <v>4.5859359022803332</v>
      </c>
      <c r="C153">
        <v>0.41406409771966679</v>
      </c>
      <c r="D153">
        <v>0.30745733501600353</v>
      </c>
    </row>
    <row r="154" spans="1:4" x14ac:dyDescent="0.2">
      <c r="A154">
        <v>120</v>
      </c>
      <c r="B154">
        <v>4.5931781635806592</v>
      </c>
      <c r="C154">
        <v>-0.59317816358065922</v>
      </c>
      <c r="D154">
        <v>-0.44045590614733976</v>
      </c>
    </row>
    <row r="155" spans="1:4" x14ac:dyDescent="0.2">
      <c r="A155">
        <v>121</v>
      </c>
      <c r="B155">
        <v>4.6043874543756989</v>
      </c>
      <c r="C155">
        <v>0.39561254562430115</v>
      </c>
      <c r="D155">
        <v>0.29375640063074099</v>
      </c>
    </row>
    <row r="156" spans="1:4" x14ac:dyDescent="0.2">
      <c r="A156">
        <v>122</v>
      </c>
      <c r="B156">
        <v>4.9127032808651672</v>
      </c>
      <c r="C156">
        <v>8.7296719134832834E-2</v>
      </c>
      <c r="D156">
        <v>6.4820922095515071E-2</v>
      </c>
    </row>
    <row r="157" spans="1:4" x14ac:dyDescent="0.2">
      <c r="A157">
        <v>123</v>
      </c>
      <c r="B157">
        <v>4.8786567478766232</v>
      </c>
      <c r="C157">
        <v>0.12134325212337682</v>
      </c>
      <c r="D157">
        <v>9.0101685042220062E-2</v>
      </c>
    </row>
    <row r="158" spans="1:4" x14ac:dyDescent="0.2">
      <c r="A158">
        <v>124</v>
      </c>
      <c r="B158">
        <v>4.7573795226378008</v>
      </c>
      <c r="C158">
        <v>1.2426204773621992</v>
      </c>
      <c r="D158">
        <v>0.92268994706408114</v>
      </c>
    </row>
    <row r="159" spans="1:4" x14ac:dyDescent="0.2">
      <c r="A159">
        <v>125</v>
      </c>
      <c r="B159">
        <v>3.6392032789440605</v>
      </c>
      <c r="C159">
        <v>-0.63920327894406048</v>
      </c>
      <c r="D159">
        <v>-0.47463119299632406</v>
      </c>
    </row>
    <row r="160" spans="1:4" x14ac:dyDescent="0.2">
      <c r="A160">
        <v>126</v>
      </c>
      <c r="B160">
        <v>2.136929816974269</v>
      </c>
      <c r="C160">
        <v>3.863070183025731</v>
      </c>
      <c r="D160">
        <v>2.8684671527764349</v>
      </c>
    </row>
    <row r="161" spans="1:4" x14ac:dyDescent="0.2">
      <c r="A161">
        <v>127</v>
      </c>
      <c r="B161">
        <v>4.4221933686925468</v>
      </c>
      <c r="C161">
        <v>-0.42219336869254676</v>
      </c>
      <c r="D161">
        <v>-0.31349360815030647</v>
      </c>
    </row>
    <row r="162" spans="1:4" x14ac:dyDescent="0.2">
      <c r="A162">
        <v>128</v>
      </c>
      <c r="B162">
        <v>4.7355146042937974</v>
      </c>
      <c r="C162">
        <v>0.26448539570620255</v>
      </c>
      <c r="D162">
        <v>0.19638982312718348</v>
      </c>
    </row>
    <row r="163" spans="1:4" x14ac:dyDescent="0.2">
      <c r="A163">
        <v>129</v>
      </c>
      <c r="B163">
        <v>4.6032007743390828</v>
      </c>
      <c r="C163">
        <v>0.39679922566091719</v>
      </c>
      <c r="D163">
        <v>0.29463755280883125</v>
      </c>
    </row>
    <row r="164" spans="1:4" x14ac:dyDescent="0.2">
      <c r="A164">
        <v>130</v>
      </c>
      <c r="B164">
        <v>3.5411628837741365</v>
      </c>
      <c r="C164">
        <v>-1.5411628837741365</v>
      </c>
      <c r="D164">
        <v>-1.1443683132160354</v>
      </c>
    </row>
    <row r="165" spans="1:4" x14ac:dyDescent="0.2">
      <c r="A165">
        <v>131</v>
      </c>
      <c r="B165">
        <v>4.5831555528222365</v>
      </c>
      <c r="C165">
        <v>0.41684444717776348</v>
      </c>
      <c r="D165">
        <v>0.30952184348101497</v>
      </c>
    </row>
    <row r="166" spans="1:4" x14ac:dyDescent="0.2">
      <c r="A166">
        <v>132</v>
      </c>
      <c r="B166">
        <v>4.4164483124786429</v>
      </c>
      <c r="C166">
        <v>-0.41644831247864289</v>
      </c>
      <c r="D166">
        <v>-0.30922769936282235</v>
      </c>
    </row>
    <row r="167" spans="1:4" x14ac:dyDescent="0.2">
      <c r="A167">
        <v>133</v>
      </c>
      <c r="B167">
        <v>4.7912336005089147</v>
      </c>
      <c r="C167">
        <v>-0.79123360050891467</v>
      </c>
      <c r="D167">
        <v>-0.58751911969023018</v>
      </c>
    </row>
    <row r="168" spans="1:4" x14ac:dyDescent="0.2">
      <c r="A168">
        <v>134</v>
      </c>
      <c r="B168">
        <v>4.9600359851991849</v>
      </c>
      <c r="C168">
        <v>-3.9600359851991849</v>
      </c>
      <c r="D168">
        <v>-2.9404677132889847</v>
      </c>
    </row>
    <row r="169" spans="1:4" x14ac:dyDescent="0.2">
      <c r="A169">
        <v>135</v>
      </c>
      <c r="B169">
        <v>4.7561544628544343</v>
      </c>
      <c r="C169">
        <v>2.2438455371455657</v>
      </c>
      <c r="D169">
        <v>1.6661352018628806</v>
      </c>
    </row>
    <row r="170" spans="1:4" x14ac:dyDescent="0.2">
      <c r="A170">
        <v>136</v>
      </c>
      <c r="B170">
        <v>2.1827205318587399</v>
      </c>
      <c r="C170">
        <v>-0.18272053185873993</v>
      </c>
      <c r="D170">
        <v>-0.1356765005403332</v>
      </c>
    </row>
    <row r="171" spans="1:4" x14ac:dyDescent="0.2">
      <c r="A171">
        <v>137</v>
      </c>
      <c r="B171">
        <v>5.0057323706558794</v>
      </c>
      <c r="C171">
        <v>-5.732370655879393E-3</v>
      </c>
      <c r="D171">
        <v>-4.2564893089906426E-3</v>
      </c>
    </row>
    <row r="172" spans="1:4" x14ac:dyDescent="0.2">
      <c r="A172">
        <v>138</v>
      </c>
      <c r="B172">
        <v>2.6955066214693222</v>
      </c>
      <c r="C172">
        <v>-0.69550662146932218</v>
      </c>
      <c r="D172">
        <v>-0.51643842946199348</v>
      </c>
    </row>
    <row r="173" spans="1:4" x14ac:dyDescent="0.2">
      <c r="A173">
        <v>139</v>
      </c>
      <c r="B173">
        <v>4.7330508503090059</v>
      </c>
      <c r="C173">
        <v>0.26694914969099415</v>
      </c>
      <c r="D173">
        <v>0.19821924818110817</v>
      </c>
    </row>
    <row r="174" spans="1:4" x14ac:dyDescent="0.2">
      <c r="A174">
        <v>140</v>
      </c>
      <c r="B174">
        <v>3.4163182169159958</v>
      </c>
      <c r="C174">
        <v>1.5836817830840042</v>
      </c>
      <c r="D174">
        <v>1.1759401098089299</v>
      </c>
    </row>
    <row r="175" spans="1:4" x14ac:dyDescent="0.2">
      <c r="A175">
        <v>141</v>
      </c>
      <c r="B175">
        <v>3.4038318521727819</v>
      </c>
      <c r="C175">
        <v>1.5961681478272181</v>
      </c>
      <c r="D175">
        <v>1.1852116801989458</v>
      </c>
    </row>
    <row r="176" spans="1:4" x14ac:dyDescent="0.2">
      <c r="A176">
        <v>142</v>
      </c>
      <c r="B176">
        <v>4.7703668401520298</v>
      </c>
      <c r="C176">
        <v>0.22963315984797017</v>
      </c>
      <c r="D176">
        <v>0.1705107971132544</v>
      </c>
    </row>
    <row r="177" spans="1:4" x14ac:dyDescent="0.2">
      <c r="A177">
        <v>143</v>
      </c>
      <c r="B177">
        <v>4.9800753104486022</v>
      </c>
      <c r="C177">
        <v>-0.98007531044860219</v>
      </c>
      <c r="D177">
        <v>-0.72774081289588033</v>
      </c>
    </row>
    <row r="178" spans="1:4" x14ac:dyDescent="0.2">
      <c r="A178">
        <v>144</v>
      </c>
      <c r="B178">
        <v>2.1842625213082871</v>
      </c>
      <c r="C178">
        <v>-2.1842625213082871</v>
      </c>
      <c r="D178">
        <v>-1.6218926911925915</v>
      </c>
    </row>
    <row r="179" spans="1:4" x14ac:dyDescent="0.2">
      <c r="A179">
        <v>145</v>
      </c>
      <c r="B179">
        <v>4.9928841669325505</v>
      </c>
      <c r="C179">
        <v>2.0071158330674495</v>
      </c>
      <c r="D179">
        <v>1.490354967991308</v>
      </c>
    </row>
    <row r="180" spans="1:4" x14ac:dyDescent="0.2">
      <c r="A180">
        <v>146</v>
      </c>
      <c r="B180">
        <v>4.5881668582014479</v>
      </c>
      <c r="C180">
        <v>-2.5881668582014479</v>
      </c>
      <c r="D180">
        <v>-1.9218060420638203</v>
      </c>
    </row>
    <row r="181" spans="1:4" x14ac:dyDescent="0.2">
      <c r="A181">
        <v>147</v>
      </c>
      <c r="B181">
        <v>2.2755710393028759</v>
      </c>
      <c r="C181">
        <v>-1.2755710393028759</v>
      </c>
      <c r="D181">
        <v>-0.94715691248647116</v>
      </c>
    </row>
    <row r="182" spans="1:4" x14ac:dyDescent="0.2">
      <c r="A182">
        <v>148</v>
      </c>
      <c r="B182">
        <v>4.8062675166465487</v>
      </c>
      <c r="C182">
        <v>1.1937324833534513</v>
      </c>
      <c r="D182">
        <v>0.88638887089015894</v>
      </c>
    </row>
    <row r="183" spans="1:4" x14ac:dyDescent="0.2">
      <c r="A183">
        <v>149</v>
      </c>
      <c r="B183">
        <v>4.7104580773977398</v>
      </c>
      <c r="C183">
        <v>0.28954192260226019</v>
      </c>
      <c r="D183">
        <v>0.21499518646741297</v>
      </c>
    </row>
    <row r="184" spans="1:4" x14ac:dyDescent="0.2">
      <c r="A184">
        <v>150</v>
      </c>
      <c r="B184">
        <v>3.2058700995173028</v>
      </c>
      <c r="C184">
        <v>-1.2058700995173028</v>
      </c>
      <c r="D184">
        <v>-0.895401483043052</v>
      </c>
    </row>
    <row r="185" spans="1:4" x14ac:dyDescent="0.2">
      <c r="A185">
        <v>151</v>
      </c>
      <c r="B185">
        <v>4.4422385902093922</v>
      </c>
      <c r="C185">
        <v>0.55776140979060784</v>
      </c>
      <c r="D185">
        <v>0.41415770546977365</v>
      </c>
    </row>
    <row r="186" spans="1:4" x14ac:dyDescent="0.2">
      <c r="A186">
        <v>152</v>
      </c>
      <c r="B186">
        <v>5.1237727438358389</v>
      </c>
      <c r="C186">
        <v>-1.1237727438358389</v>
      </c>
      <c r="D186">
        <v>-0.83444127343131935</v>
      </c>
    </row>
    <row r="187" spans="1:4" x14ac:dyDescent="0.2">
      <c r="A187">
        <v>153</v>
      </c>
      <c r="B187">
        <v>2.5066590152622057</v>
      </c>
      <c r="C187">
        <v>0.49334098473779431</v>
      </c>
      <c r="D187">
        <v>0.36632324622441831</v>
      </c>
    </row>
    <row r="188" spans="1:4" x14ac:dyDescent="0.2">
      <c r="A188">
        <v>154</v>
      </c>
      <c r="B188">
        <v>4.7473569118793773</v>
      </c>
      <c r="C188">
        <v>2.2526430881206227</v>
      </c>
      <c r="D188">
        <v>1.6726676966924365</v>
      </c>
    </row>
    <row r="189" spans="1:4" x14ac:dyDescent="0.2">
      <c r="A189">
        <v>155</v>
      </c>
      <c r="B189">
        <v>2.0555991253749797</v>
      </c>
      <c r="C189">
        <v>4.9444008746250203</v>
      </c>
      <c r="D189">
        <v>3.6713936913028844</v>
      </c>
    </row>
    <row r="190" spans="1:4" x14ac:dyDescent="0.2">
      <c r="A190">
        <v>156</v>
      </c>
      <c r="B190">
        <v>4.5931781635806592</v>
      </c>
      <c r="C190">
        <v>-0.59317816358065922</v>
      </c>
      <c r="D190">
        <v>-0.44045590614733976</v>
      </c>
    </row>
    <row r="191" spans="1:4" x14ac:dyDescent="0.2">
      <c r="A191">
        <v>157</v>
      </c>
      <c r="B191">
        <v>3.6291806681856378</v>
      </c>
      <c r="C191">
        <v>1.3708193318143622</v>
      </c>
      <c r="D191">
        <v>1.0178821609242938</v>
      </c>
    </row>
    <row r="192" spans="1:4" x14ac:dyDescent="0.2">
      <c r="A192">
        <v>158</v>
      </c>
      <c r="B192">
        <v>2.7361917015468054</v>
      </c>
      <c r="C192">
        <v>-0.73619170154680535</v>
      </c>
      <c r="D192">
        <v>-0.5466485499830066</v>
      </c>
    </row>
    <row r="193" spans="1:4" x14ac:dyDescent="0.2">
      <c r="A193">
        <v>159</v>
      </c>
      <c r="B193">
        <v>3.3030053325936279</v>
      </c>
      <c r="C193">
        <v>-1.3030053325936279</v>
      </c>
      <c r="D193">
        <v>-0.96752785203345093</v>
      </c>
    </row>
    <row r="194" spans="1:4" x14ac:dyDescent="0.2">
      <c r="A194">
        <v>160</v>
      </c>
      <c r="B194">
        <v>4.5350890976535272</v>
      </c>
      <c r="C194">
        <v>0.46491090234647281</v>
      </c>
      <c r="D194">
        <v>0.34521289781589953</v>
      </c>
    </row>
    <row r="195" spans="1:4" x14ac:dyDescent="0.2">
      <c r="A195">
        <v>161</v>
      </c>
      <c r="B195">
        <v>5.0107436760350907</v>
      </c>
      <c r="C195">
        <v>-1.0107436760350907</v>
      </c>
      <c r="D195">
        <v>-0.75051316626929965</v>
      </c>
    </row>
    <row r="196" spans="1:4" x14ac:dyDescent="0.2">
      <c r="A196">
        <v>162</v>
      </c>
      <c r="B196">
        <v>3.4038318521727819</v>
      </c>
      <c r="C196">
        <v>0.59616814782721805</v>
      </c>
      <c r="D196">
        <v>0.44267607590668268</v>
      </c>
    </row>
    <row r="197" spans="1:4" x14ac:dyDescent="0.2">
      <c r="A197">
        <v>163</v>
      </c>
      <c r="B197">
        <v>4.948377055563439</v>
      </c>
      <c r="C197">
        <v>5.1622944436561014E-2</v>
      </c>
      <c r="D197">
        <v>3.8331874242547762E-2</v>
      </c>
    </row>
    <row r="198" spans="1:4" x14ac:dyDescent="0.2">
      <c r="A198">
        <v>164</v>
      </c>
      <c r="B198">
        <v>2.3329263543953167</v>
      </c>
      <c r="C198">
        <v>0.6670736456046833</v>
      </c>
      <c r="D198">
        <v>0.49532593254651652</v>
      </c>
    </row>
    <row r="199" spans="1:4" x14ac:dyDescent="0.2">
      <c r="A199">
        <v>165</v>
      </c>
      <c r="B199">
        <v>3.6219325106178819</v>
      </c>
      <c r="C199">
        <v>0.37806748938211809</v>
      </c>
      <c r="D199">
        <v>0.28072857169160986</v>
      </c>
    </row>
    <row r="200" spans="1:4" x14ac:dyDescent="0.2">
      <c r="A200">
        <v>166</v>
      </c>
      <c r="B200">
        <v>3.4096705926594608</v>
      </c>
      <c r="C200">
        <v>0.59032940734053918</v>
      </c>
      <c r="D200">
        <v>0.43834060321110085</v>
      </c>
    </row>
    <row r="201" spans="1:4" x14ac:dyDescent="0.2">
      <c r="A201">
        <v>167</v>
      </c>
      <c r="B201">
        <v>4.7862222951297033</v>
      </c>
      <c r="C201">
        <v>1.2137777048702967</v>
      </c>
      <c r="D201">
        <v>0.90127316156234205</v>
      </c>
    </row>
    <row r="202" spans="1:4" x14ac:dyDescent="0.2">
      <c r="A202">
        <v>168</v>
      </c>
      <c r="B202">
        <v>3.3946366765218263</v>
      </c>
      <c r="C202">
        <v>-1.3946366765218263</v>
      </c>
      <c r="D202">
        <v>-1.0355673873692879</v>
      </c>
    </row>
    <row r="203" spans="1:4" x14ac:dyDescent="0.2">
      <c r="A203">
        <v>169</v>
      </c>
      <c r="B203">
        <v>4.9533883609426503</v>
      </c>
      <c r="C203">
        <v>-0.95338836094265034</v>
      </c>
      <c r="D203">
        <v>-0.70792480271776126</v>
      </c>
    </row>
    <row r="204" spans="1:4" x14ac:dyDescent="0.2">
      <c r="A204">
        <v>170</v>
      </c>
      <c r="B204">
        <v>4.781210989750492</v>
      </c>
      <c r="C204">
        <v>2.218789010249508</v>
      </c>
      <c r="D204">
        <v>1.6475298385226511</v>
      </c>
    </row>
    <row r="205" spans="1:4" x14ac:dyDescent="0.2">
      <c r="A205">
        <v>171</v>
      </c>
      <c r="B205">
        <v>3.4513973545704757</v>
      </c>
      <c r="C205">
        <v>1.5486026454295243</v>
      </c>
      <c r="D205">
        <v>1.1498926011326092</v>
      </c>
    </row>
    <row r="206" spans="1:4" x14ac:dyDescent="0.2">
      <c r="A206">
        <v>172</v>
      </c>
      <c r="B206">
        <v>2.5617833744335314</v>
      </c>
      <c r="C206">
        <v>-0.56178337443353143</v>
      </c>
      <c r="D206">
        <v>-0.41714415741634903</v>
      </c>
    </row>
    <row r="207" spans="1:4" x14ac:dyDescent="0.2">
      <c r="A207">
        <v>173</v>
      </c>
      <c r="B207">
        <v>4.7890452940436425</v>
      </c>
      <c r="C207">
        <v>0.21095470595635746</v>
      </c>
      <c r="D207">
        <v>0.15664138006560058</v>
      </c>
    </row>
    <row r="208" spans="1:4" x14ac:dyDescent="0.2">
      <c r="A208">
        <v>174</v>
      </c>
      <c r="B208">
        <v>4.9533824646752214</v>
      </c>
      <c r="C208">
        <v>-0.95338246467522136</v>
      </c>
      <c r="D208">
        <v>-0.70792042452926274</v>
      </c>
    </row>
    <row r="209" spans="1:4" x14ac:dyDescent="0.2">
      <c r="A209">
        <v>175</v>
      </c>
      <c r="B209">
        <v>4.9650413943109672</v>
      </c>
      <c r="C209">
        <v>1.0349586056890328</v>
      </c>
      <c r="D209">
        <v>0.76849361369278413</v>
      </c>
    </row>
    <row r="210" spans="1:4" x14ac:dyDescent="0.2">
      <c r="A210">
        <v>176</v>
      </c>
      <c r="B210">
        <v>2.7863047553389197</v>
      </c>
      <c r="C210">
        <v>3.2136952446610803</v>
      </c>
      <c r="D210">
        <v>2.3862831405055878</v>
      </c>
    </row>
    <row r="211" spans="1:4" x14ac:dyDescent="0.2">
      <c r="A211">
        <v>177</v>
      </c>
      <c r="B211">
        <v>4.7954233670480875</v>
      </c>
      <c r="C211">
        <v>1.2045766329519125</v>
      </c>
      <c r="D211">
        <v>0.89444103806528807</v>
      </c>
    </row>
    <row r="212" spans="1:4" x14ac:dyDescent="0.2">
      <c r="A212">
        <v>178</v>
      </c>
      <c r="B212">
        <v>4.7280395449297945</v>
      </c>
      <c r="C212">
        <v>-1.7280395449297945</v>
      </c>
      <c r="D212">
        <v>-1.2831308877353724</v>
      </c>
    </row>
    <row r="213" spans="1:4" x14ac:dyDescent="0.2">
      <c r="A213">
        <v>179</v>
      </c>
      <c r="B213">
        <v>2.579048246492281</v>
      </c>
      <c r="C213">
        <v>-0.57904824649228104</v>
      </c>
      <c r="D213">
        <v>-0.42996393962352125</v>
      </c>
    </row>
    <row r="214" spans="1:4" x14ac:dyDescent="0.2">
      <c r="A214">
        <v>180</v>
      </c>
      <c r="B214">
        <v>2.2828949594710353</v>
      </c>
      <c r="C214">
        <v>1.7171050405289647</v>
      </c>
      <c r="D214">
        <v>1.275011628902466</v>
      </c>
    </row>
    <row r="215" spans="1:4" x14ac:dyDescent="0.2">
      <c r="A215">
        <v>181</v>
      </c>
      <c r="B215">
        <v>4.7555598258106428</v>
      </c>
      <c r="C215">
        <v>-0.75555982581064285</v>
      </c>
      <c r="D215">
        <v>-0.56103007183726283</v>
      </c>
    </row>
    <row r="216" spans="1:4" x14ac:dyDescent="0.2">
      <c r="A216">
        <v>182</v>
      </c>
      <c r="B216">
        <v>3.3745914550049805</v>
      </c>
      <c r="C216">
        <v>-1.3745914550049805</v>
      </c>
      <c r="D216">
        <v>-1.0206830966971046</v>
      </c>
    </row>
    <row r="217" spans="1:4" x14ac:dyDescent="0.2">
      <c r="A217">
        <v>183</v>
      </c>
      <c r="B217">
        <v>2.3687392428844882</v>
      </c>
      <c r="C217">
        <v>-1.3687392428844882</v>
      </c>
      <c r="D217">
        <v>-1.0163376208337682</v>
      </c>
    </row>
    <row r="218" spans="1:4" x14ac:dyDescent="0.2">
      <c r="A218">
        <v>184</v>
      </c>
      <c r="B218">
        <v>2.4916250991245712</v>
      </c>
      <c r="C218">
        <v>-0.4916250991245712</v>
      </c>
      <c r="D218">
        <v>-0.36504914006370726</v>
      </c>
    </row>
    <row r="219" spans="1:4" x14ac:dyDescent="0.2">
      <c r="A219">
        <v>185</v>
      </c>
      <c r="B219">
        <v>3.3589629018235545</v>
      </c>
      <c r="C219">
        <v>-0.3589629018235545</v>
      </c>
      <c r="D219">
        <v>-0.26654273522405741</v>
      </c>
    </row>
    <row r="220" spans="1:4" x14ac:dyDescent="0.2">
      <c r="A220">
        <v>186</v>
      </c>
      <c r="B220">
        <v>4.781210989750492</v>
      </c>
      <c r="C220">
        <v>2.218789010249508</v>
      </c>
      <c r="D220">
        <v>1.6475298385226511</v>
      </c>
    </row>
    <row r="221" spans="1:4" x14ac:dyDescent="0.2">
      <c r="A221">
        <v>187</v>
      </c>
      <c r="B221">
        <v>2.2712934847583561</v>
      </c>
      <c r="C221">
        <v>-0.27129348475835613</v>
      </c>
      <c r="D221">
        <v>-0.20144507164559985</v>
      </c>
    </row>
    <row r="222" spans="1:4" x14ac:dyDescent="0.2">
      <c r="A222">
        <v>188</v>
      </c>
      <c r="B222">
        <v>3.3938151376817878</v>
      </c>
      <c r="C222">
        <v>-0.39381513768178777</v>
      </c>
      <c r="D222">
        <v>-0.29242176123798713</v>
      </c>
    </row>
    <row r="223" spans="1:4" x14ac:dyDescent="0.2">
      <c r="A223">
        <v>189</v>
      </c>
      <c r="B223">
        <v>4.7954174707806585</v>
      </c>
      <c r="C223">
        <v>0.2045825292193415</v>
      </c>
      <c r="D223">
        <v>0.15190981196152334</v>
      </c>
    </row>
    <row r="224" spans="1:4" x14ac:dyDescent="0.2">
      <c r="A224">
        <v>190</v>
      </c>
      <c r="B224">
        <v>3.5734616719705201</v>
      </c>
      <c r="C224">
        <v>0.42653832802947989</v>
      </c>
      <c r="D224">
        <v>0.31671989515718141</v>
      </c>
    </row>
    <row r="225" spans="1:4" x14ac:dyDescent="0.2">
      <c r="A225">
        <v>191</v>
      </c>
      <c r="B225">
        <v>2.5166816260206284</v>
      </c>
      <c r="C225">
        <v>-1.5166816260206284</v>
      </c>
      <c r="D225">
        <v>-1.1261901076961998</v>
      </c>
    </row>
    <row r="226" spans="1:4" x14ac:dyDescent="0.2">
      <c r="A226">
        <v>192</v>
      </c>
      <c r="B226">
        <v>2.5467494582958969</v>
      </c>
      <c r="C226">
        <v>-0.54674945829589694</v>
      </c>
      <c r="D226">
        <v>-0.40598093941221142</v>
      </c>
    </row>
    <row r="227" spans="1:4" x14ac:dyDescent="0.2">
      <c r="A227">
        <v>193</v>
      </c>
      <c r="B227">
        <v>3.5784729773497315</v>
      </c>
      <c r="C227">
        <v>2.4215270226502685</v>
      </c>
      <c r="D227">
        <v>1.7980700310736621</v>
      </c>
    </row>
    <row r="228" spans="1:4" x14ac:dyDescent="0.2">
      <c r="A228">
        <v>194</v>
      </c>
      <c r="B228">
        <v>1.9639309069420716</v>
      </c>
      <c r="C228">
        <v>-1.9639309069420716</v>
      </c>
      <c r="D228">
        <v>-1.4582886227744838</v>
      </c>
    </row>
    <row r="229" spans="1:4" x14ac:dyDescent="0.2">
      <c r="A229">
        <v>195</v>
      </c>
      <c r="B229">
        <v>2.7139096278414154</v>
      </c>
      <c r="C229">
        <v>1.2860903721585846</v>
      </c>
      <c r="D229">
        <v>0.95496789166523632</v>
      </c>
    </row>
    <row r="230" spans="1:4" x14ac:dyDescent="0.2">
      <c r="A230">
        <v>196</v>
      </c>
      <c r="B230">
        <v>5.0007151690092391</v>
      </c>
      <c r="C230">
        <v>-7.1516900923906945E-4</v>
      </c>
      <c r="D230">
        <v>-5.3103845244643162E-4</v>
      </c>
    </row>
    <row r="231" spans="1:4" x14ac:dyDescent="0.2">
      <c r="A231">
        <v>197</v>
      </c>
      <c r="B231">
        <v>3.5985065276480146</v>
      </c>
      <c r="C231">
        <v>-0.5985065276480146</v>
      </c>
      <c r="D231">
        <v>-0.44441240617998268</v>
      </c>
    </row>
    <row r="232" spans="1:4" x14ac:dyDescent="0.2">
      <c r="A232">
        <v>198</v>
      </c>
      <c r="B232">
        <v>5.0057264743884504</v>
      </c>
      <c r="C232">
        <v>0.99427352561154958</v>
      </c>
      <c r="D232">
        <v>0.738283493171771</v>
      </c>
    </row>
    <row r="233" spans="1:4" x14ac:dyDescent="0.2">
      <c r="A233">
        <v>199</v>
      </c>
      <c r="B233">
        <v>3.2286956704922449</v>
      </c>
      <c r="C233">
        <v>1.7713043295077551</v>
      </c>
      <c r="D233">
        <v>1.3152565306965429</v>
      </c>
    </row>
    <row r="234" spans="1:4" x14ac:dyDescent="0.2">
      <c r="A234">
        <v>200</v>
      </c>
      <c r="B234">
        <v>1.7972236665984773</v>
      </c>
      <c r="C234">
        <v>-1.7972236665984773</v>
      </c>
      <c r="D234">
        <v>-1.3345025613260573</v>
      </c>
    </row>
    <row r="235" spans="1:4" x14ac:dyDescent="0.2">
      <c r="A235">
        <v>201</v>
      </c>
      <c r="B235">
        <v>3.1585373951832851</v>
      </c>
      <c r="C235">
        <v>-1.1585373951832851</v>
      </c>
      <c r="D235">
        <v>-0.86025526482760517</v>
      </c>
    </row>
    <row r="236" spans="1:4" x14ac:dyDescent="0.2">
      <c r="A236">
        <v>202</v>
      </c>
      <c r="B236">
        <v>5.0207603905260845</v>
      </c>
      <c r="C236">
        <v>-2.0760390526084471E-2</v>
      </c>
      <c r="D236">
        <v>-1.5415329124629508E-2</v>
      </c>
    </row>
    <row r="237" spans="1:4" x14ac:dyDescent="0.2">
      <c r="A237">
        <v>203</v>
      </c>
      <c r="B237">
        <v>3.4531845679183122</v>
      </c>
      <c r="C237">
        <v>0.54681543208168781</v>
      </c>
      <c r="D237">
        <v>0.40602992729711107</v>
      </c>
    </row>
    <row r="238" spans="1:4" x14ac:dyDescent="0.2">
      <c r="A238">
        <v>204</v>
      </c>
      <c r="B238">
        <v>4.5874331073667562</v>
      </c>
      <c r="C238">
        <v>0.41256689263324375</v>
      </c>
      <c r="D238">
        <v>0.30634560693240692</v>
      </c>
    </row>
    <row r="239" spans="1:4" x14ac:dyDescent="0.2">
      <c r="A239">
        <v>205</v>
      </c>
      <c r="B239">
        <v>3.5768366584724083</v>
      </c>
      <c r="C239">
        <v>0.42316334152759172</v>
      </c>
      <c r="D239">
        <v>0.31421384751552367</v>
      </c>
    </row>
    <row r="240" spans="1:4" x14ac:dyDescent="0.2">
      <c r="A240">
        <v>206</v>
      </c>
      <c r="B240">
        <v>2.5383631664147979</v>
      </c>
      <c r="C240">
        <v>0.46163683358520213</v>
      </c>
      <c r="D240">
        <v>0.342781785189755</v>
      </c>
    </row>
    <row r="241" spans="1:4" x14ac:dyDescent="0.2">
      <c r="A241">
        <v>207</v>
      </c>
      <c r="B241">
        <v>4.4272046740717581</v>
      </c>
      <c r="C241">
        <v>0.57279532592824189</v>
      </c>
      <c r="D241">
        <v>0.42532092347391093</v>
      </c>
    </row>
    <row r="242" spans="1:4" x14ac:dyDescent="0.2">
      <c r="A242">
        <v>208</v>
      </c>
      <c r="B242">
        <v>4.5952247622040643</v>
      </c>
      <c r="C242">
        <v>0.40477523779593572</v>
      </c>
      <c r="D242">
        <v>0.30056002579934965</v>
      </c>
    </row>
    <row r="243" spans="1:4" x14ac:dyDescent="0.2">
      <c r="A243">
        <v>209</v>
      </c>
      <c r="B243">
        <v>3.2108814048965146</v>
      </c>
      <c r="C243">
        <v>0.78911859510348537</v>
      </c>
      <c r="D243">
        <v>0.58594865287342823</v>
      </c>
    </row>
    <row r="244" spans="1:4" x14ac:dyDescent="0.2">
      <c r="A244">
        <v>210</v>
      </c>
      <c r="B244">
        <v>4.5809245969011219</v>
      </c>
      <c r="C244">
        <v>0.41907540309887814</v>
      </c>
      <c r="D244">
        <v>0.31117840768404925</v>
      </c>
    </row>
    <row r="245" spans="1:4" x14ac:dyDescent="0.2">
      <c r="A245">
        <v>211</v>
      </c>
      <c r="B245">
        <v>3.3514937387269814</v>
      </c>
      <c r="C245">
        <v>-1.3514937387269814</v>
      </c>
      <c r="D245">
        <v>-1.0035322199828491</v>
      </c>
    </row>
    <row r="246" spans="1:4" x14ac:dyDescent="0.2">
      <c r="A246">
        <v>212</v>
      </c>
      <c r="B246">
        <v>4.7577907817317575</v>
      </c>
      <c r="C246">
        <v>-0.75779078173175751</v>
      </c>
      <c r="D246">
        <v>-0.56268663604029712</v>
      </c>
    </row>
    <row r="247" spans="1:4" x14ac:dyDescent="0.2">
      <c r="A247">
        <v>213</v>
      </c>
      <c r="B247">
        <v>5.0157490851468731</v>
      </c>
      <c r="C247">
        <v>-1.5749085146873121E-2</v>
      </c>
      <c r="D247">
        <v>-1.169425645658374E-2</v>
      </c>
    </row>
    <row r="248" spans="1:4" x14ac:dyDescent="0.2">
      <c r="A248">
        <v>214</v>
      </c>
      <c r="B248">
        <v>5.0602620927834137</v>
      </c>
      <c r="C248">
        <v>-1.0602620927834137</v>
      </c>
      <c r="D248">
        <v>-0.78728235377311173</v>
      </c>
    </row>
    <row r="249" spans="1:4" x14ac:dyDescent="0.2">
      <c r="A249">
        <v>215</v>
      </c>
      <c r="B249">
        <v>4.7561544628544343</v>
      </c>
      <c r="C249">
        <v>-0.75615446285443433</v>
      </c>
      <c r="D249">
        <v>-0.56147161101390908</v>
      </c>
    </row>
    <row r="250" spans="1:4" x14ac:dyDescent="0.2">
      <c r="A250">
        <v>216</v>
      </c>
      <c r="B250">
        <v>4.9327485023820135</v>
      </c>
      <c r="C250">
        <v>6.7251497617986544E-2</v>
      </c>
      <c r="D250">
        <v>4.9936631423331337E-2</v>
      </c>
    </row>
    <row r="251" spans="1:4" x14ac:dyDescent="0.2">
      <c r="A251">
        <v>217</v>
      </c>
      <c r="B251">
        <v>4.7862222951297033</v>
      </c>
      <c r="C251">
        <v>1.2137777048702967</v>
      </c>
      <c r="D251">
        <v>0.90127316156234205</v>
      </c>
    </row>
    <row r="252" spans="1:4" x14ac:dyDescent="0.2">
      <c r="A252">
        <v>218</v>
      </c>
      <c r="B252">
        <v>3.1685600059417078</v>
      </c>
      <c r="C252">
        <v>0.83143999405829216</v>
      </c>
      <c r="D252">
        <v>0.61737379842082973</v>
      </c>
    </row>
    <row r="253" spans="1:4" x14ac:dyDescent="0.2">
      <c r="A253">
        <v>219</v>
      </c>
      <c r="B253">
        <v>4.7824360495338576</v>
      </c>
      <c r="C253">
        <v>1.2175639504661424</v>
      </c>
      <c r="D253">
        <v>0.90408458372385225</v>
      </c>
    </row>
    <row r="254" spans="1:4" x14ac:dyDescent="0.2">
      <c r="A254">
        <v>220</v>
      </c>
      <c r="B254">
        <v>4.7380680519556462</v>
      </c>
      <c r="C254">
        <v>0.26193194804435382</v>
      </c>
      <c r="D254">
        <v>0.19449379732456396</v>
      </c>
    </row>
    <row r="255" spans="1:4" x14ac:dyDescent="0.2">
      <c r="A255">
        <v>221</v>
      </c>
      <c r="B255">
        <v>4.7846670054549723</v>
      </c>
      <c r="C255">
        <v>-2.7846670054549723</v>
      </c>
      <c r="D255">
        <v>-2.0677143976482348</v>
      </c>
    </row>
    <row r="256" spans="1:4" x14ac:dyDescent="0.2">
      <c r="A256">
        <v>222</v>
      </c>
      <c r="B256">
        <v>4.7561544628544343</v>
      </c>
      <c r="C256">
        <v>-0.75615446285443433</v>
      </c>
      <c r="D256">
        <v>-0.56147161101390908</v>
      </c>
    </row>
    <row r="257" spans="1:4" x14ac:dyDescent="0.2">
      <c r="A257">
        <v>223</v>
      </c>
      <c r="B257">
        <v>2.7411971106585877</v>
      </c>
      <c r="C257">
        <v>-0.74119711065858773</v>
      </c>
      <c r="D257">
        <v>-0.55036524446255397</v>
      </c>
    </row>
    <row r="258" spans="1:4" x14ac:dyDescent="0.2">
      <c r="A258">
        <v>224</v>
      </c>
      <c r="B258">
        <v>4.8084984725676634</v>
      </c>
      <c r="C258">
        <v>0.19150152743233662</v>
      </c>
      <c r="D258">
        <v>0.14219670239486148</v>
      </c>
    </row>
    <row r="259" spans="1:4" x14ac:dyDescent="0.2">
      <c r="A259">
        <v>225</v>
      </c>
      <c r="B259">
        <v>4.4494808515097182</v>
      </c>
      <c r="C259">
        <v>0.55051914849028183</v>
      </c>
      <c r="D259">
        <v>0.40878006859869359</v>
      </c>
    </row>
    <row r="260" spans="1:4" x14ac:dyDescent="0.2">
      <c r="A260">
        <v>226</v>
      </c>
      <c r="B260">
        <v>3.6341860772974202</v>
      </c>
      <c r="C260">
        <v>-0.63418607729742016</v>
      </c>
      <c r="D260">
        <v>-0.47090574213977981</v>
      </c>
    </row>
    <row r="261" spans="1:4" x14ac:dyDescent="0.2">
      <c r="A261">
        <v>227</v>
      </c>
      <c r="B261">
        <v>4.9650472905783962</v>
      </c>
      <c r="C261">
        <v>3.4952709421603778E-2</v>
      </c>
      <c r="D261">
        <v>2.5953631212022443E-2</v>
      </c>
    </row>
    <row r="262" spans="1:4" x14ac:dyDescent="0.2">
      <c r="A262">
        <v>228</v>
      </c>
      <c r="B262">
        <v>4.8448026700055093</v>
      </c>
      <c r="C262">
        <v>0.15519732999449065</v>
      </c>
      <c r="D262">
        <v>0.1152395432120049</v>
      </c>
    </row>
    <row r="263" spans="1:4" x14ac:dyDescent="0.2">
      <c r="A263">
        <v>229</v>
      </c>
      <c r="B263">
        <v>3.6469949337813681</v>
      </c>
      <c r="C263">
        <v>-1.6469949337813681</v>
      </c>
      <c r="D263">
        <v>-1.2229523784216441</v>
      </c>
    </row>
    <row r="264" spans="1:4" x14ac:dyDescent="0.2">
      <c r="A264">
        <v>230</v>
      </c>
      <c r="B264">
        <v>2.6754497287339141</v>
      </c>
      <c r="C264">
        <v>0.32455027126608593</v>
      </c>
      <c r="D264">
        <v>0.24099013179778106</v>
      </c>
    </row>
    <row r="265" spans="1:4" x14ac:dyDescent="0.2">
      <c r="A265">
        <v>231</v>
      </c>
      <c r="B265">
        <v>3.1535260898040733</v>
      </c>
      <c r="C265">
        <v>-1.1535260898040733</v>
      </c>
      <c r="D265">
        <v>-0.85653419215955906</v>
      </c>
    </row>
    <row r="266" spans="1:4" x14ac:dyDescent="0.2">
      <c r="A266">
        <v>232</v>
      </c>
      <c r="B266">
        <v>4.6437441465746989</v>
      </c>
      <c r="C266">
        <v>-0.64374414657469892</v>
      </c>
      <c r="D266">
        <v>-0.47800294888645134</v>
      </c>
    </row>
    <row r="267" spans="1:4" x14ac:dyDescent="0.2">
      <c r="A267">
        <v>233</v>
      </c>
      <c r="B267">
        <v>2.328648799850797</v>
      </c>
      <c r="C267">
        <v>1.671351200149203</v>
      </c>
      <c r="D267">
        <v>1.2410377733873879</v>
      </c>
    </row>
    <row r="268" spans="1:4" x14ac:dyDescent="0.2">
      <c r="A268">
        <v>234</v>
      </c>
      <c r="B268">
        <v>4.7573795226378008</v>
      </c>
      <c r="C268">
        <v>-0.75737952263780084</v>
      </c>
      <c r="D268">
        <v>-0.56238126152044532</v>
      </c>
    </row>
    <row r="269" spans="1:4" x14ac:dyDescent="0.2">
      <c r="A269">
        <v>235</v>
      </c>
      <c r="B269">
        <v>3.1965812395935718</v>
      </c>
      <c r="C269">
        <v>1.8034187604064282</v>
      </c>
      <c r="D269">
        <v>1.3391026390503915</v>
      </c>
    </row>
    <row r="270" spans="1:4" x14ac:dyDescent="0.2">
      <c r="A270">
        <v>236</v>
      </c>
      <c r="B270">
        <v>3.3615163494854041</v>
      </c>
      <c r="C270">
        <v>0.63848365051459588</v>
      </c>
      <c r="D270">
        <v>0.47409684326558565</v>
      </c>
    </row>
    <row r="271" spans="1:4" x14ac:dyDescent="0.2">
      <c r="A271">
        <v>237</v>
      </c>
      <c r="B271">
        <v>4.63751367767955</v>
      </c>
      <c r="C271">
        <v>2.36248632232045</v>
      </c>
      <c r="D271">
        <v>1.7542302089764219</v>
      </c>
    </row>
    <row r="272" spans="1:4" x14ac:dyDescent="0.2">
      <c r="A272">
        <v>238</v>
      </c>
      <c r="B272">
        <v>2.4409174082886653</v>
      </c>
      <c r="C272">
        <v>-0.44091740828866532</v>
      </c>
      <c r="D272">
        <v>-0.32739687420660263</v>
      </c>
    </row>
    <row r="273" spans="1:4" x14ac:dyDescent="0.2">
      <c r="A273">
        <v>239</v>
      </c>
      <c r="B273">
        <v>4.5308115431090075</v>
      </c>
      <c r="C273">
        <v>-4.5308115431090075</v>
      </c>
      <c r="D273">
        <v>-3.3642888870968086</v>
      </c>
    </row>
    <row r="274" spans="1:4" x14ac:dyDescent="0.2">
      <c r="A274">
        <v>240</v>
      </c>
      <c r="B274">
        <v>4.802481271050703</v>
      </c>
      <c r="C274">
        <v>1.197518728949297</v>
      </c>
      <c r="D274">
        <v>0.88920029305166925</v>
      </c>
    </row>
    <row r="275" spans="1:4" x14ac:dyDescent="0.2">
      <c r="A275">
        <v>241</v>
      </c>
      <c r="B275">
        <v>4.5881668582014479</v>
      </c>
      <c r="C275">
        <v>-0.58816685820144787</v>
      </c>
      <c r="D275">
        <v>-0.43673483347929398</v>
      </c>
    </row>
    <row r="276" spans="1:4" x14ac:dyDescent="0.2">
      <c r="A276">
        <v>242</v>
      </c>
      <c r="B276">
        <v>3.6792937219777517</v>
      </c>
      <c r="C276">
        <v>2.3207062780222483</v>
      </c>
      <c r="D276">
        <v>1.7232070385360991</v>
      </c>
    </row>
    <row r="277" spans="1:4" x14ac:dyDescent="0.2">
      <c r="A277">
        <v>243</v>
      </c>
      <c r="B277">
        <v>4.993478803976342</v>
      </c>
      <c r="C277">
        <v>2.006521196023658</v>
      </c>
      <c r="D277">
        <v>1.4899134288146616</v>
      </c>
    </row>
    <row r="278" spans="1:4" x14ac:dyDescent="0.2">
      <c r="A278">
        <v>244</v>
      </c>
      <c r="B278">
        <v>3.3695801496257691</v>
      </c>
      <c r="C278">
        <v>-3.3695801496257691</v>
      </c>
      <c r="D278">
        <v>-2.5020332326135852</v>
      </c>
    </row>
    <row r="279" spans="1:4" x14ac:dyDescent="0.2">
      <c r="A279">
        <v>245</v>
      </c>
      <c r="B279">
        <v>4.8329603624199287</v>
      </c>
      <c r="C279">
        <v>-0.83296036241992866</v>
      </c>
      <c r="D279">
        <v>-0.61850272606098433</v>
      </c>
    </row>
    <row r="280" spans="1:4" x14ac:dyDescent="0.2">
      <c r="A280">
        <v>246</v>
      </c>
      <c r="B280">
        <v>3.5662194106701937</v>
      </c>
      <c r="C280">
        <v>1.4337805893298063</v>
      </c>
      <c r="D280">
        <v>1.064633136320525</v>
      </c>
    </row>
    <row r="281" spans="1:4" x14ac:dyDescent="0.2">
      <c r="A281">
        <v>247</v>
      </c>
      <c r="B281">
        <v>4.5558680700050651</v>
      </c>
      <c r="C281">
        <v>1.4441319299949349</v>
      </c>
      <c r="D281">
        <v>1.0723193753165414</v>
      </c>
    </row>
    <row r="282" spans="1:4" x14ac:dyDescent="0.2">
      <c r="A282">
        <v>248</v>
      </c>
      <c r="B282">
        <v>4.5501230137911612</v>
      </c>
      <c r="C282">
        <v>0.44987698620883876</v>
      </c>
      <c r="D282">
        <v>0.33404967981176226</v>
      </c>
    </row>
    <row r="283" spans="1:4" x14ac:dyDescent="0.2">
      <c r="A283">
        <v>249</v>
      </c>
      <c r="B283">
        <v>2.5016477098829943</v>
      </c>
      <c r="C283">
        <v>0.49835229011700566</v>
      </c>
      <c r="D283">
        <v>0.37004431889246409</v>
      </c>
    </row>
    <row r="284" spans="1:4" x14ac:dyDescent="0.2">
      <c r="A284">
        <v>250</v>
      </c>
      <c r="B284">
        <v>4.7711883789920684</v>
      </c>
      <c r="C284">
        <v>0.22881162100793162</v>
      </c>
      <c r="D284">
        <v>0.16990077527421682</v>
      </c>
    </row>
    <row r="285" spans="1:4" x14ac:dyDescent="0.2">
      <c r="A285">
        <v>251</v>
      </c>
      <c r="B285">
        <v>2.6888589972127872</v>
      </c>
      <c r="C285">
        <v>0.31114100278721279</v>
      </c>
      <c r="D285">
        <v>0.23103327252470379</v>
      </c>
    </row>
    <row r="286" spans="1:4" x14ac:dyDescent="0.2">
      <c r="A286">
        <v>252</v>
      </c>
      <c r="B286">
        <v>3.3745914550049805</v>
      </c>
      <c r="C286">
        <v>-1.3745914550049805</v>
      </c>
      <c r="D286">
        <v>-1.0206830966971046</v>
      </c>
    </row>
    <row r="287" spans="1:4" x14ac:dyDescent="0.2">
      <c r="A287">
        <v>253</v>
      </c>
      <c r="B287">
        <v>3.3634190387146514</v>
      </c>
      <c r="C287">
        <v>-1.3634190387146514</v>
      </c>
      <c r="D287">
        <v>-1.0123871798155604</v>
      </c>
    </row>
    <row r="288" spans="1:4" x14ac:dyDescent="0.2">
      <c r="A288">
        <v>254</v>
      </c>
      <c r="B288">
        <v>4.5451117084119499</v>
      </c>
      <c r="C288">
        <v>-0.54511170841194989</v>
      </c>
      <c r="D288">
        <v>-0.4047648518124552</v>
      </c>
    </row>
    <row r="289" spans="1:4" x14ac:dyDescent="0.2">
      <c r="A289">
        <v>255</v>
      </c>
      <c r="B289">
        <v>4.8213014327841828</v>
      </c>
      <c r="C289">
        <v>-0.82130143278418277</v>
      </c>
      <c r="D289">
        <v>-0.60984555569850474</v>
      </c>
    </row>
    <row r="290" spans="1:4" x14ac:dyDescent="0.2">
      <c r="A290">
        <v>256</v>
      </c>
      <c r="B290">
        <v>3.1915699342143604</v>
      </c>
      <c r="C290">
        <v>0.80843006578563958</v>
      </c>
      <c r="D290">
        <v>0.600288107426174</v>
      </c>
    </row>
    <row r="291" spans="1:4" x14ac:dyDescent="0.2">
      <c r="A291">
        <v>257</v>
      </c>
      <c r="B291">
        <v>4.9734335824594966</v>
      </c>
      <c r="C291">
        <v>-0.97343358245949663</v>
      </c>
      <c r="D291">
        <v>-0.72280909338994492</v>
      </c>
    </row>
    <row r="292" spans="1:4" x14ac:dyDescent="0.2">
      <c r="A292">
        <v>258</v>
      </c>
      <c r="B292">
        <v>3.5668081514465562</v>
      </c>
      <c r="C292">
        <v>-1.5668081514465562</v>
      </c>
      <c r="D292">
        <v>-1.1634108375444123</v>
      </c>
    </row>
    <row r="293" spans="1:4" x14ac:dyDescent="0.2">
      <c r="A293">
        <v>259</v>
      </c>
      <c r="B293">
        <v>3.5718253530931965</v>
      </c>
      <c r="C293">
        <v>0.42817464690680351</v>
      </c>
      <c r="D293">
        <v>0.31793492018356978</v>
      </c>
    </row>
    <row r="294" spans="1:4" x14ac:dyDescent="0.2">
      <c r="A294">
        <v>260</v>
      </c>
      <c r="B294">
        <v>4.6268964298773358</v>
      </c>
      <c r="C294">
        <v>0.37310357012266415</v>
      </c>
      <c r="D294">
        <v>0.27704268490463324</v>
      </c>
    </row>
    <row r="295" spans="1:4" x14ac:dyDescent="0.2">
      <c r="A295">
        <v>261</v>
      </c>
      <c r="B295">
        <v>2.4928501589079373</v>
      </c>
      <c r="C295">
        <v>-1.4928501589079373</v>
      </c>
      <c r="D295">
        <v>-1.1084943948625063</v>
      </c>
    </row>
    <row r="296" spans="1:4" x14ac:dyDescent="0.2">
      <c r="A296">
        <v>262</v>
      </c>
      <c r="B296">
        <v>4.7761996843712806</v>
      </c>
      <c r="C296">
        <v>-0.77619968437128062</v>
      </c>
      <c r="D296">
        <v>-0.57635590168609285</v>
      </c>
    </row>
    <row r="297" spans="1:4" x14ac:dyDescent="0.2">
      <c r="A297">
        <v>263</v>
      </c>
      <c r="B297">
        <v>3.4589621076115367</v>
      </c>
      <c r="C297">
        <v>0.54103789238846334</v>
      </c>
      <c r="D297">
        <v>0.4017398983696801</v>
      </c>
    </row>
    <row r="298" spans="1:4" x14ac:dyDescent="0.2">
      <c r="A298">
        <v>264</v>
      </c>
      <c r="B298">
        <v>2.5066590152622057</v>
      </c>
      <c r="C298">
        <v>1.4933409847377943</v>
      </c>
      <c r="D298">
        <v>1.1088588505166814</v>
      </c>
    </row>
    <row r="299" spans="1:4" x14ac:dyDescent="0.2">
      <c r="A299">
        <v>265</v>
      </c>
      <c r="B299">
        <v>4.803487167188452</v>
      </c>
      <c r="C299">
        <v>-4.803487167188452</v>
      </c>
      <c r="D299">
        <v>-3.5667602463984087</v>
      </c>
    </row>
    <row r="300" spans="1:4" x14ac:dyDescent="0.2">
      <c r="A300">
        <v>266</v>
      </c>
      <c r="B300">
        <v>2.2763047901375675</v>
      </c>
      <c r="C300">
        <v>2.7236952098624325</v>
      </c>
      <c r="D300">
        <v>2.022440668563144</v>
      </c>
    </row>
    <row r="301" spans="1:4" x14ac:dyDescent="0.2">
      <c r="A301">
        <v>267</v>
      </c>
      <c r="B301">
        <v>2.6888531009453582</v>
      </c>
      <c r="C301">
        <v>0.31114689905464177</v>
      </c>
      <c r="D301">
        <v>0.23103765071320226</v>
      </c>
    </row>
    <row r="302" spans="1:4" x14ac:dyDescent="0.2">
      <c r="A302">
        <v>268</v>
      </c>
      <c r="B302">
        <v>4.7323170994743142</v>
      </c>
      <c r="C302">
        <v>-0.73231709947431423</v>
      </c>
      <c r="D302">
        <v>-0.54377151999171736</v>
      </c>
    </row>
    <row r="303" spans="1:4" x14ac:dyDescent="0.2">
      <c r="A303">
        <v>269</v>
      </c>
      <c r="B303">
        <v>4.9951092265862362</v>
      </c>
      <c r="C303">
        <v>1.0048907734137638</v>
      </c>
      <c r="D303">
        <v>0.7461671776845088</v>
      </c>
    </row>
    <row r="304" spans="1:4" x14ac:dyDescent="0.2">
      <c r="A304">
        <v>270</v>
      </c>
      <c r="B304">
        <v>2.6110748893856073</v>
      </c>
      <c r="C304">
        <v>0.38892511061439272</v>
      </c>
      <c r="D304">
        <v>0.2887907420344934</v>
      </c>
    </row>
    <row r="305" spans="1:4" x14ac:dyDescent="0.2">
      <c r="A305">
        <v>271</v>
      </c>
      <c r="B305">
        <v>4.9600300889317559</v>
      </c>
      <c r="C305">
        <v>1.0399699110682441</v>
      </c>
      <c r="D305">
        <v>0.7722146863608299</v>
      </c>
    </row>
    <row r="306" spans="1:4" x14ac:dyDescent="0.2">
      <c r="A306">
        <v>272</v>
      </c>
      <c r="B306">
        <v>4.7305032989145861</v>
      </c>
      <c r="C306">
        <v>-0.7305032989145861</v>
      </c>
      <c r="D306">
        <v>-0.54242470849703395</v>
      </c>
    </row>
    <row r="307" spans="1:4" x14ac:dyDescent="0.2">
      <c r="A307">
        <v>273</v>
      </c>
      <c r="B307">
        <v>3.2660057640678404</v>
      </c>
      <c r="C307">
        <v>-1.2660057640678404</v>
      </c>
      <c r="D307">
        <v>-0.94005435505960222</v>
      </c>
    </row>
    <row r="308" spans="1:4" x14ac:dyDescent="0.2">
      <c r="A308">
        <v>274</v>
      </c>
      <c r="B308">
        <v>4.769443936416371</v>
      </c>
      <c r="C308">
        <v>1.230556063583629</v>
      </c>
      <c r="D308">
        <v>0.91373169028857859</v>
      </c>
    </row>
    <row r="309" spans="1:4" x14ac:dyDescent="0.2">
      <c r="A309">
        <v>275</v>
      </c>
      <c r="B309">
        <v>2.4728049373910919</v>
      </c>
      <c r="C309">
        <v>-0.47280493739109186</v>
      </c>
      <c r="D309">
        <v>-0.35107449989806006</v>
      </c>
    </row>
    <row r="310" spans="1:4" x14ac:dyDescent="0.2">
      <c r="A310">
        <v>276</v>
      </c>
      <c r="B310">
        <v>4.9377598077612248</v>
      </c>
      <c r="C310">
        <v>-2.9377598077612248</v>
      </c>
      <c r="D310">
        <v>-2.1813912541215039</v>
      </c>
    </row>
    <row r="311" spans="1:4" x14ac:dyDescent="0.2">
      <c r="A311">
        <v>277</v>
      </c>
      <c r="B311">
        <v>4.5458454592466424</v>
      </c>
      <c r="C311">
        <v>-0.54584545924664241</v>
      </c>
      <c r="D311">
        <v>-0.40530968793189354</v>
      </c>
    </row>
    <row r="312" spans="1:4" x14ac:dyDescent="0.2">
      <c r="A312">
        <v>278</v>
      </c>
      <c r="B312">
        <v>4.8965195591956263</v>
      </c>
      <c r="C312">
        <v>0.10348044080437369</v>
      </c>
      <c r="D312">
        <v>7.6837911645105381E-2</v>
      </c>
    </row>
    <row r="313" spans="1:4" x14ac:dyDescent="0.2">
      <c r="A313">
        <v>279</v>
      </c>
      <c r="B313">
        <v>4.7753781455312412</v>
      </c>
      <c r="C313">
        <v>-4.7753781455312412</v>
      </c>
      <c r="D313">
        <v>-3.5458882970161074</v>
      </c>
    </row>
    <row r="314" spans="1:4" x14ac:dyDescent="0.2">
      <c r="A314">
        <v>280</v>
      </c>
      <c r="B314">
        <v>2.31852926561363</v>
      </c>
      <c r="C314">
        <v>-2.31852926561363</v>
      </c>
      <c r="D314">
        <v>-1.721590529311714</v>
      </c>
    </row>
    <row r="315" spans="1:4" x14ac:dyDescent="0.2">
      <c r="A315">
        <v>281</v>
      </c>
      <c r="B315">
        <v>4.6541839126945082</v>
      </c>
      <c r="C315">
        <v>0.34581608730549185</v>
      </c>
      <c r="D315">
        <v>0.25678075736136946</v>
      </c>
    </row>
    <row r="316" spans="1:4" x14ac:dyDescent="0.2">
      <c r="A316">
        <v>282</v>
      </c>
      <c r="B316">
        <v>4.796244905888126</v>
      </c>
      <c r="C316">
        <v>1.203755094111874</v>
      </c>
      <c r="D316">
        <v>0.8938310162262505</v>
      </c>
    </row>
    <row r="317" spans="1:4" x14ac:dyDescent="0.2">
      <c r="A317">
        <v>283</v>
      </c>
      <c r="B317">
        <v>5.0157549814143021</v>
      </c>
      <c r="C317">
        <v>1.9842450185856979</v>
      </c>
      <c r="D317">
        <v>1.4733725739394443</v>
      </c>
    </row>
    <row r="318" spans="1:4" x14ac:dyDescent="0.2">
      <c r="A318">
        <v>284</v>
      </c>
      <c r="B318">
        <v>4.7728189229182592</v>
      </c>
      <c r="C318">
        <v>-0.77281892291825915</v>
      </c>
      <c r="D318">
        <v>-0.5738455659376055</v>
      </c>
    </row>
    <row r="319" spans="1:4" x14ac:dyDescent="0.2">
      <c r="A319">
        <v>285</v>
      </c>
      <c r="B319">
        <v>4.5508567646258538</v>
      </c>
      <c r="C319">
        <v>1.4491432353741462</v>
      </c>
      <c r="D319">
        <v>1.0760404479845871</v>
      </c>
    </row>
    <row r="320" spans="1:4" x14ac:dyDescent="0.2">
      <c r="A320">
        <v>286</v>
      </c>
      <c r="B320">
        <v>2.5128953804247831</v>
      </c>
      <c r="C320">
        <v>2.4871046195752169</v>
      </c>
      <c r="D320">
        <v>1.846763731634363</v>
      </c>
    </row>
    <row r="321" spans="1:4" x14ac:dyDescent="0.2">
      <c r="A321">
        <v>287</v>
      </c>
      <c r="B321">
        <v>3.6169271015060995</v>
      </c>
      <c r="C321">
        <v>0.38307289849390047</v>
      </c>
      <c r="D321">
        <v>0.28444526617115717</v>
      </c>
    </row>
    <row r="322" spans="1:4" x14ac:dyDescent="0.2">
      <c r="A322">
        <v>288</v>
      </c>
      <c r="B322">
        <v>2.4835612989842062</v>
      </c>
      <c r="C322">
        <v>0.51643870101579381</v>
      </c>
      <c r="D322">
        <v>0.38347412293867389</v>
      </c>
    </row>
    <row r="323" spans="1:4" x14ac:dyDescent="0.2">
      <c r="A323">
        <v>289</v>
      </c>
      <c r="B323">
        <v>3.3745914550049805</v>
      </c>
      <c r="C323">
        <v>-0.37459145500498048</v>
      </c>
      <c r="D323">
        <v>-0.27814749240484132</v>
      </c>
    </row>
    <row r="324" spans="1:4" x14ac:dyDescent="0.2">
      <c r="A324">
        <v>290</v>
      </c>
      <c r="B324">
        <v>3.3865728763814613</v>
      </c>
      <c r="C324">
        <v>-1.3865728763814613</v>
      </c>
      <c r="D324">
        <v>-1.0295797286591699</v>
      </c>
    </row>
    <row r="325" spans="1:4" x14ac:dyDescent="0.2">
      <c r="A325">
        <v>291</v>
      </c>
      <c r="B325">
        <v>4.7505485204314315</v>
      </c>
      <c r="C325">
        <v>1.2494514795685685</v>
      </c>
      <c r="D325">
        <v>0.9277622094153094</v>
      </c>
    </row>
    <row r="326" spans="1:4" x14ac:dyDescent="0.2">
      <c r="A326">
        <v>292</v>
      </c>
      <c r="B326">
        <v>5.0034955184673358</v>
      </c>
      <c r="C326">
        <v>-1.0034955184673358</v>
      </c>
      <c r="D326">
        <v>-0.74513115120972118</v>
      </c>
    </row>
    <row r="327" spans="1:4" x14ac:dyDescent="0.2">
      <c r="A327">
        <v>293</v>
      </c>
      <c r="B327">
        <v>4.9277371970028021</v>
      </c>
      <c r="C327">
        <v>7.2262802997197895E-2</v>
      </c>
      <c r="D327">
        <v>5.3657704091377108E-2</v>
      </c>
    </row>
    <row r="328" spans="1:4" x14ac:dyDescent="0.2">
      <c r="A328">
        <v>294</v>
      </c>
      <c r="B328">
        <v>3.4331718298807874</v>
      </c>
      <c r="C328">
        <v>-1.4331718298807874</v>
      </c>
      <c r="D328">
        <v>-1.0641811107551791</v>
      </c>
    </row>
    <row r="329" spans="1:4" x14ac:dyDescent="0.2">
      <c r="A329">
        <v>295</v>
      </c>
      <c r="B329">
        <v>3.3765502656230386</v>
      </c>
      <c r="C329">
        <v>0.62344973437696138</v>
      </c>
      <c r="D329">
        <v>0.46293362526144799</v>
      </c>
    </row>
    <row r="330" spans="1:4" x14ac:dyDescent="0.2">
      <c r="A330">
        <v>296</v>
      </c>
      <c r="B330">
        <v>4.8764951499395393</v>
      </c>
      <c r="C330">
        <v>0.12350485006046075</v>
      </c>
      <c r="D330">
        <v>9.1706748472669575E-2</v>
      </c>
    </row>
    <row r="331" spans="1:4" x14ac:dyDescent="0.2">
      <c r="A331">
        <v>297</v>
      </c>
      <c r="B331">
        <v>2.3136148837131625</v>
      </c>
      <c r="C331">
        <v>-1.3136148837131625</v>
      </c>
      <c r="D331">
        <v>-0.97540582148526411</v>
      </c>
    </row>
    <row r="332" spans="1:4" x14ac:dyDescent="0.2">
      <c r="A332">
        <v>298</v>
      </c>
      <c r="B332">
        <v>3.1735713113209192</v>
      </c>
      <c r="C332">
        <v>-0.17357131132091919</v>
      </c>
      <c r="D332">
        <v>-0.12888287853947927</v>
      </c>
    </row>
    <row r="333" spans="1:4" x14ac:dyDescent="0.2">
      <c r="A333">
        <v>299</v>
      </c>
      <c r="B333">
        <v>4.8147348377302412</v>
      </c>
      <c r="C333">
        <v>-0.81473483773024125</v>
      </c>
      <c r="D333">
        <v>-0.60496962507198371</v>
      </c>
    </row>
    <row r="334" spans="1:4" x14ac:dyDescent="0.2">
      <c r="A334">
        <v>300</v>
      </c>
      <c r="B334">
        <v>4.4645147676473522</v>
      </c>
      <c r="C334">
        <v>0.53548523235264778</v>
      </c>
      <c r="D334">
        <v>0.39761685059455631</v>
      </c>
    </row>
    <row r="335" spans="1:4" x14ac:dyDescent="0.2">
      <c r="A335">
        <v>301</v>
      </c>
      <c r="B335">
        <v>4.7430793573348584</v>
      </c>
      <c r="C335">
        <v>0.25692064266514159</v>
      </c>
      <c r="D335">
        <v>0.19077272465651754</v>
      </c>
    </row>
    <row r="336" spans="1:4" x14ac:dyDescent="0.2">
      <c r="A336">
        <v>302</v>
      </c>
      <c r="B336">
        <v>4.8084984725676634</v>
      </c>
      <c r="C336">
        <v>-0.80849847256766338</v>
      </c>
      <c r="D336">
        <v>-0.60033890189740169</v>
      </c>
    </row>
    <row r="337" spans="1:4" x14ac:dyDescent="0.2">
      <c r="A337">
        <v>303</v>
      </c>
      <c r="B337">
        <v>3.2503447274070929</v>
      </c>
      <c r="C337">
        <v>0.7496552725929071</v>
      </c>
      <c r="D337">
        <v>0.55664573084565561</v>
      </c>
    </row>
    <row r="338" spans="1:4" x14ac:dyDescent="0.2">
      <c r="A338">
        <v>304</v>
      </c>
      <c r="B338">
        <v>3.4389109898272618</v>
      </c>
      <c r="C338">
        <v>0.56108901017273816</v>
      </c>
      <c r="D338">
        <v>0.41662856723036196</v>
      </c>
    </row>
    <row r="339" spans="1:4" x14ac:dyDescent="0.2">
      <c r="A339">
        <v>305</v>
      </c>
      <c r="B339">
        <v>2.1669976492495375</v>
      </c>
      <c r="C339">
        <v>2.8330023507504625</v>
      </c>
      <c r="D339">
        <v>2.103605112475897</v>
      </c>
    </row>
    <row r="340" spans="1:4" x14ac:dyDescent="0.2">
      <c r="A340">
        <v>306</v>
      </c>
      <c r="B340">
        <v>4.6387328411954876</v>
      </c>
      <c r="C340">
        <v>-1.6387328411954876</v>
      </c>
      <c r="D340">
        <v>-1.2168174805106688</v>
      </c>
    </row>
    <row r="341" spans="1:4" x14ac:dyDescent="0.2">
      <c r="A341">
        <v>307</v>
      </c>
      <c r="B341">
        <v>4.8736454424974118</v>
      </c>
      <c r="C341">
        <v>2.1263545575025882</v>
      </c>
      <c r="D341">
        <v>1.5788939662947923</v>
      </c>
    </row>
    <row r="342" spans="1:4" x14ac:dyDescent="0.2">
      <c r="A342">
        <v>308</v>
      </c>
      <c r="B342">
        <v>3.3364598225893469</v>
      </c>
      <c r="C342">
        <v>0.66354017741065308</v>
      </c>
      <c r="D342">
        <v>0.49270220660581482</v>
      </c>
    </row>
    <row r="343" spans="1:4" x14ac:dyDescent="0.2">
      <c r="A343">
        <v>309</v>
      </c>
      <c r="B343">
        <v>2.5267042367790515</v>
      </c>
      <c r="C343">
        <v>-0.52670423677905154</v>
      </c>
      <c r="D343">
        <v>-0.39109664874002831</v>
      </c>
    </row>
    <row r="344" spans="1:4" x14ac:dyDescent="0.2">
      <c r="A344">
        <v>310</v>
      </c>
      <c r="B344">
        <v>2.6431626117560927</v>
      </c>
      <c r="C344">
        <v>0.35683738824390732</v>
      </c>
      <c r="D344">
        <v>0.26496446571376264</v>
      </c>
    </row>
    <row r="345" spans="1:4" x14ac:dyDescent="0.2">
      <c r="A345">
        <v>311</v>
      </c>
      <c r="B345">
        <v>2.458504772088149</v>
      </c>
      <c r="C345">
        <v>-0.45850477208814899</v>
      </c>
      <c r="D345">
        <v>-0.34045611801336012</v>
      </c>
    </row>
    <row r="346" spans="1:4" x14ac:dyDescent="0.2">
      <c r="A346">
        <v>312</v>
      </c>
      <c r="B346">
        <v>4.5781442474430252</v>
      </c>
      <c r="C346">
        <v>0.42185575255697483</v>
      </c>
      <c r="D346">
        <v>0.31324291614906075</v>
      </c>
    </row>
    <row r="347" spans="1:4" x14ac:dyDescent="0.2">
      <c r="A347">
        <v>313</v>
      </c>
      <c r="B347">
        <v>3.2567169041441093</v>
      </c>
      <c r="C347">
        <v>0.7432830958558907</v>
      </c>
      <c r="D347">
        <v>0.55191416274157801</v>
      </c>
    </row>
    <row r="348" spans="1:4" x14ac:dyDescent="0.2">
      <c r="A348">
        <v>314</v>
      </c>
      <c r="B348">
        <v>4.5651569299287962</v>
      </c>
      <c r="C348">
        <v>-0.56515692992879618</v>
      </c>
      <c r="D348">
        <v>-0.41964914248463892</v>
      </c>
    </row>
    <row r="349" spans="1:4" x14ac:dyDescent="0.2">
      <c r="A349">
        <v>315</v>
      </c>
      <c r="B349">
        <v>2.3386714106092197</v>
      </c>
      <c r="C349">
        <v>-0.33867141060921968</v>
      </c>
      <c r="D349">
        <v>-0.25147558053323016</v>
      </c>
    </row>
    <row r="350" spans="1:4" x14ac:dyDescent="0.2">
      <c r="A350">
        <v>316</v>
      </c>
      <c r="B350">
        <v>4.6375461611588706</v>
      </c>
      <c r="C350">
        <v>2.3624538388411294</v>
      </c>
      <c r="D350">
        <v>1.754206088836475</v>
      </c>
    </row>
    <row r="351" spans="1:4" x14ac:dyDescent="0.2">
      <c r="A351">
        <v>317</v>
      </c>
      <c r="B351">
        <v>2.3336601052300083</v>
      </c>
      <c r="C351">
        <v>-0.33366010523000833</v>
      </c>
      <c r="D351">
        <v>-0.24775450786518435</v>
      </c>
    </row>
    <row r="352" spans="1:4" x14ac:dyDescent="0.2">
      <c r="A352">
        <v>318</v>
      </c>
      <c r="B352">
        <v>4.9850866158278135</v>
      </c>
      <c r="C352">
        <v>1.0149133841721865</v>
      </c>
      <c r="D352">
        <v>0.75360932302060035</v>
      </c>
    </row>
    <row r="353" spans="1:4" x14ac:dyDescent="0.2">
      <c r="A353">
        <v>319</v>
      </c>
      <c r="B353">
        <v>4.8162901274049714</v>
      </c>
      <c r="C353">
        <v>0.18370987259502858</v>
      </c>
      <c r="D353">
        <v>0.13641112126180424</v>
      </c>
    </row>
    <row r="354" spans="1:4" x14ac:dyDescent="0.2">
      <c r="A354">
        <v>320</v>
      </c>
      <c r="B354">
        <v>4.7728246978693916</v>
      </c>
      <c r="C354">
        <v>0.22717530213060844</v>
      </c>
      <c r="D354">
        <v>0.16868575024782881</v>
      </c>
    </row>
    <row r="355" spans="1:4" x14ac:dyDescent="0.2">
      <c r="A355">
        <v>321</v>
      </c>
      <c r="B355">
        <v>4.7573795226378008</v>
      </c>
      <c r="C355">
        <v>0.24262047736219916</v>
      </c>
      <c r="D355">
        <v>0.18015434277181791</v>
      </c>
    </row>
    <row r="356" spans="1:4" x14ac:dyDescent="0.2">
      <c r="A356">
        <v>322</v>
      </c>
      <c r="B356">
        <v>4.8748321225340288</v>
      </c>
      <c r="C356">
        <v>2.1251678774659712</v>
      </c>
      <c r="D356">
        <v>1.5780128141167014</v>
      </c>
    </row>
    <row r="357" spans="1:4" x14ac:dyDescent="0.2">
      <c r="A357">
        <v>323</v>
      </c>
      <c r="B357">
        <v>3.586859269230831</v>
      </c>
      <c r="C357">
        <v>0.41314073076916902</v>
      </c>
      <c r="D357">
        <v>0.30677170217943212</v>
      </c>
    </row>
    <row r="358" spans="1:4" x14ac:dyDescent="0.2">
      <c r="A358">
        <v>324</v>
      </c>
      <c r="B358">
        <v>4.5551343191703735</v>
      </c>
      <c r="C358">
        <v>1.4448656808296265</v>
      </c>
      <c r="D358">
        <v>1.072864211435979</v>
      </c>
    </row>
    <row r="359" spans="1:4" x14ac:dyDescent="0.2">
      <c r="A359">
        <v>325</v>
      </c>
      <c r="B359">
        <v>4.5350890976535272</v>
      </c>
      <c r="C359">
        <v>1.4649109023464728</v>
      </c>
      <c r="D359">
        <v>1.0877485021081628</v>
      </c>
    </row>
    <row r="360" spans="1:4" x14ac:dyDescent="0.2">
      <c r="A360">
        <v>326</v>
      </c>
      <c r="B360">
        <v>4.5451117084119499</v>
      </c>
      <c r="C360">
        <v>-0.54511170841194989</v>
      </c>
      <c r="D360">
        <v>-0.4047648518124552</v>
      </c>
    </row>
    <row r="361" spans="1:4" x14ac:dyDescent="0.2">
      <c r="A361">
        <v>327</v>
      </c>
      <c r="B361">
        <v>4.4372272848301808</v>
      </c>
      <c r="C361">
        <v>0.56277271516981919</v>
      </c>
      <c r="D361">
        <v>0.41787877813781943</v>
      </c>
    </row>
    <row r="362" spans="1:4" x14ac:dyDescent="0.2">
      <c r="A362">
        <v>328</v>
      </c>
      <c r="B362">
        <v>3.3745914550049805</v>
      </c>
      <c r="C362">
        <v>-1.3745914550049805</v>
      </c>
      <c r="D362">
        <v>-1.0206830966971046</v>
      </c>
    </row>
    <row r="363" spans="1:4" x14ac:dyDescent="0.2">
      <c r="A363">
        <v>329</v>
      </c>
      <c r="B363">
        <v>4.7874473549130689</v>
      </c>
      <c r="C363">
        <v>-0.78744735491306894</v>
      </c>
      <c r="D363">
        <v>-0.58470769752871987</v>
      </c>
    </row>
    <row r="364" spans="1:4" x14ac:dyDescent="0.2">
      <c r="A364">
        <v>330</v>
      </c>
      <c r="B364">
        <v>4.5801908460664302</v>
      </c>
      <c r="C364">
        <v>1.4198091539335698</v>
      </c>
      <c r="D364">
        <v>1.0542588480957502</v>
      </c>
    </row>
    <row r="365" spans="1:4" x14ac:dyDescent="0.2">
      <c r="A365">
        <v>331</v>
      </c>
      <c r="B365">
        <v>4.7711883789920684</v>
      </c>
      <c r="C365">
        <v>-2.7711883789920684</v>
      </c>
      <c r="D365">
        <v>-2.0577060376025726</v>
      </c>
    </row>
    <row r="366" spans="1:4" x14ac:dyDescent="0.2">
      <c r="A366">
        <v>332</v>
      </c>
      <c r="B366">
        <v>1.9789648230797059</v>
      </c>
      <c r="C366">
        <v>3.0210351769202939</v>
      </c>
      <c r="D366">
        <v>2.2432261806826945</v>
      </c>
    </row>
    <row r="367" spans="1:4" x14ac:dyDescent="0.2">
      <c r="A367">
        <v>333</v>
      </c>
      <c r="B367">
        <v>4.766177073612857</v>
      </c>
      <c r="C367">
        <v>0.23382292638714297</v>
      </c>
      <c r="D367">
        <v>0.17362184794226257</v>
      </c>
    </row>
    <row r="368" spans="1:4" x14ac:dyDescent="0.2">
      <c r="A368">
        <v>334</v>
      </c>
      <c r="B368">
        <v>4.8047122269718185</v>
      </c>
      <c r="C368">
        <v>1.1952877730281815</v>
      </c>
      <c r="D368">
        <v>0.88754372884863431</v>
      </c>
    </row>
    <row r="369" spans="1:4" x14ac:dyDescent="0.2">
      <c r="A369">
        <v>335</v>
      </c>
      <c r="B369">
        <v>3.3988205467935706</v>
      </c>
      <c r="C369">
        <v>0.6011794532064294</v>
      </c>
      <c r="D369">
        <v>0.44639714857472845</v>
      </c>
    </row>
    <row r="370" spans="1:4" x14ac:dyDescent="0.2">
      <c r="A370">
        <v>336</v>
      </c>
      <c r="B370">
        <v>3.5311402730157138</v>
      </c>
      <c r="C370">
        <v>2.4688597269842862</v>
      </c>
      <c r="D370">
        <v>1.8332162492891089</v>
      </c>
    </row>
    <row r="371" spans="1:4" x14ac:dyDescent="0.2">
      <c r="A371">
        <v>337</v>
      </c>
      <c r="B371">
        <v>3.2143955051893025</v>
      </c>
      <c r="C371">
        <v>-0.2143955051893025</v>
      </c>
      <c r="D371">
        <v>-0.15919629600328378</v>
      </c>
    </row>
    <row r="372" spans="1:4" x14ac:dyDescent="0.2">
      <c r="A372">
        <v>338</v>
      </c>
      <c r="B372">
        <v>5.058031136862299</v>
      </c>
      <c r="C372">
        <v>-5.8031136862298993E-2</v>
      </c>
      <c r="D372">
        <v>-4.3090185277814212E-2</v>
      </c>
    </row>
    <row r="373" spans="1:4" x14ac:dyDescent="0.2">
      <c r="A373">
        <v>339</v>
      </c>
      <c r="B373">
        <v>3.4419693808558445</v>
      </c>
      <c r="C373">
        <v>-1.4419693808558445</v>
      </c>
      <c r="D373">
        <v>-1.0707136055847351</v>
      </c>
    </row>
    <row r="374" spans="1:4" x14ac:dyDescent="0.2">
      <c r="A374">
        <v>340</v>
      </c>
      <c r="B374">
        <v>4.8185210833260861</v>
      </c>
      <c r="C374">
        <v>0.18147891667391391</v>
      </c>
      <c r="D374">
        <v>0.13475455705876996</v>
      </c>
    </row>
    <row r="375" spans="1:4" x14ac:dyDescent="0.2">
      <c r="A375">
        <v>341</v>
      </c>
      <c r="B375">
        <v>2.776282144580497</v>
      </c>
      <c r="C375">
        <v>-2.776282144580497</v>
      </c>
      <c r="D375">
        <v>-2.0614883399118997</v>
      </c>
    </row>
    <row r="376" spans="1:4" x14ac:dyDescent="0.2">
      <c r="A376">
        <v>342</v>
      </c>
      <c r="B376">
        <v>2.4635160774673608</v>
      </c>
      <c r="C376">
        <v>1.5364839225326392</v>
      </c>
      <c r="D376">
        <v>1.1408940179031202</v>
      </c>
    </row>
    <row r="377" spans="1:4" x14ac:dyDescent="0.2">
      <c r="A377">
        <v>343</v>
      </c>
      <c r="B377">
        <v>3.3624072463094734</v>
      </c>
      <c r="C377">
        <v>0.63759275369052659</v>
      </c>
      <c r="D377">
        <v>0.47343532065396332</v>
      </c>
    </row>
    <row r="378" spans="1:4" x14ac:dyDescent="0.2">
      <c r="A378">
        <v>344</v>
      </c>
      <c r="B378">
        <v>2.160425157928167</v>
      </c>
      <c r="C378">
        <v>-2.160425157928167</v>
      </c>
      <c r="D378">
        <v>-1.6041926001703997</v>
      </c>
    </row>
    <row r="379" spans="1:4" x14ac:dyDescent="0.2">
      <c r="A379">
        <v>345</v>
      </c>
      <c r="B379">
        <v>4.9076860792185268</v>
      </c>
      <c r="C379">
        <v>1.0923139207814732</v>
      </c>
      <c r="D379">
        <v>0.81108197724432252</v>
      </c>
    </row>
    <row r="380" spans="1:4" x14ac:dyDescent="0.2">
      <c r="A380">
        <v>346</v>
      </c>
      <c r="B380">
        <v>5.0402168712665683</v>
      </c>
      <c r="C380">
        <v>0.95978312873343175</v>
      </c>
      <c r="D380">
        <v>0.71267314548359784</v>
      </c>
    </row>
    <row r="381" spans="1:4" x14ac:dyDescent="0.2">
      <c r="A381">
        <v>347</v>
      </c>
      <c r="B381">
        <v>2.3329263543953167</v>
      </c>
      <c r="C381">
        <v>-0.3329263543953167</v>
      </c>
      <c r="D381">
        <v>-0.24720967174574668</v>
      </c>
    </row>
    <row r="382" spans="1:4" x14ac:dyDescent="0.2">
      <c r="A382">
        <v>348</v>
      </c>
      <c r="B382">
        <v>2.4022306073849169</v>
      </c>
      <c r="C382">
        <v>-1.4022306073849169</v>
      </c>
      <c r="D382">
        <v>-1.0412061514116666</v>
      </c>
    </row>
    <row r="383" spans="1:4" x14ac:dyDescent="0.2">
      <c r="A383">
        <v>349</v>
      </c>
      <c r="B383">
        <v>2.693870302591999</v>
      </c>
      <c r="C383">
        <v>0.306129697408001</v>
      </c>
      <c r="D383">
        <v>0.22731219985665771</v>
      </c>
    </row>
    <row r="384" spans="1:4" x14ac:dyDescent="0.2">
      <c r="A384">
        <v>350</v>
      </c>
      <c r="B384">
        <v>2.4366207785678289</v>
      </c>
      <c r="C384">
        <v>-0.43662077856782888</v>
      </c>
      <c r="D384">
        <v>-0.32420647366042127</v>
      </c>
    </row>
    <row r="385" spans="1:4" x14ac:dyDescent="0.2">
      <c r="A385">
        <v>351</v>
      </c>
      <c r="B385">
        <v>4.8040792101812775</v>
      </c>
      <c r="C385">
        <v>-1.8040792101812775</v>
      </c>
      <c r="D385">
        <v>-1.3395930465230639</v>
      </c>
    </row>
    <row r="386" spans="1:4" x14ac:dyDescent="0.2">
      <c r="A386">
        <v>352</v>
      </c>
      <c r="B386">
        <v>2.4835612989842062</v>
      </c>
      <c r="C386">
        <v>-0.48356129898420619</v>
      </c>
      <c r="D386">
        <v>-0.35906148135358928</v>
      </c>
    </row>
    <row r="387" spans="1:4" x14ac:dyDescent="0.2">
      <c r="A387">
        <v>353</v>
      </c>
      <c r="B387">
        <v>4.9600359851991849</v>
      </c>
      <c r="C387">
        <v>1.0399640148008151</v>
      </c>
      <c r="D387">
        <v>0.77221030817233138</v>
      </c>
    </row>
    <row r="388" spans="1:4" x14ac:dyDescent="0.2">
      <c r="A388">
        <v>354</v>
      </c>
      <c r="B388">
        <v>4.9277371970028021</v>
      </c>
      <c r="C388">
        <v>-0.92773719700280211</v>
      </c>
      <c r="D388">
        <v>-0.68887790020088613</v>
      </c>
    </row>
    <row r="389" spans="1:4" x14ac:dyDescent="0.2">
      <c r="A389">
        <v>355</v>
      </c>
      <c r="B389">
        <v>2.3086035783339511</v>
      </c>
      <c r="C389">
        <v>-0.30860357833395113</v>
      </c>
      <c r="D389">
        <v>-0.22914914452495519</v>
      </c>
    </row>
    <row r="390" spans="1:4" x14ac:dyDescent="0.2">
      <c r="A390">
        <v>356</v>
      </c>
      <c r="B390">
        <v>4.513894070604775</v>
      </c>
      <c r="C390">
        <v>-0.51389407060477499</v>
      </c>
      <c r="D390">
        <v>-0.38158464425872757</v>
      </c>
    </row>
    <row r="391" spans="1:4" x14ac:dyDescent="0.2">
      <c r="A391">
        <v>357</v>
      </c>
      <c r="B391">
        <v>4.9600359851991849</v>
      </c>
      <c r="C391">
        <v>-0.96003598519918487</v>
      </c>
      <c r="D391">
        <v>-0.71286090041219496</v>
      </c>
    </row>
    <row r="392" spans="1:4" x14ac:dyDescent="0.2">
      <c r="A392">
        <v>358</v>
      </c>
      <c r="B392">
        <v>3.6492258897024832</v>
      </c>
      <c r="C392">
        <v>0.35077411029751682</v>
      </c>
      <c r="D392">
        <v>0.26046226595984762</v>
      </c>
    </row>
    <row r="393" spans="1:4" x14ac:dyDescent="0.2">
      <c r="A393">
        <v>359</v>
      </c>
      <c r="B393">
        <v>2.5740369411130692</v>
      </c>
      <c r="C393">
        <v>-0.57403694111306924</v>
      </c>
      <c r="D393">
        <v>-0.4262428669554752</v>
      </c>
    </row>
    <row r="394" spans="1:4" x14ac:dyDescent="0.2">
      <c r="A394">
        <v>360</v>
      </c>
      <c r="B394">
        <v>4.6626026880549283</v>
      </c>
      <c r="C394">
        <v>-0.66260268805492828</v>
      </c>
      <c r="D394">
        <v>-0.49200608738054413</v>
      </c>
    </row>
    <row r="395" spans="1:4" x14ac:dyDescent="0.2">
      <c r="A395">
        <v>361</v>
      </c>
      <c r="B395">
        <v>4.65034912137539</v>
      </c>
      <c r="C395">
        <v>0.34965087862460997</v>
      </c>
      <c r="D395">
        <v>0.25962822645084555</v>
      </c>
    </row>
    <row r="396" spans="1:4" x14ac:dyDescent="0.2">
      <c r="A396">
        <v>362</v>
      </c>
      <c r="B396">
        <v>2.7139155241088444</v>
      </c>
      <c r="C396">
        <v>-1.7139155241088444</v>
      </c>
      <c r="D396">
        <v>-1.2726432994000518</v>
      </c>
    </row>
    <row r="397" spans="1:4" x14ac:dyDescent="0.2">
      <c r="A397">
        <v>363</v>
      </c>
      <c r="B397">
        <v>4.6275235504004479</v>
      </c>
      <c r="C397">
        <v>-0.62752355040044794</v>
      </c>
      <c r="D397">
        <v>-0.46595857870422308</v>
      </c>
    </row>
    <row r="398" spans="1:4" x14ac:dyDescent="0.2">
      <c r="A398">
        <v>364</v>
      </c>
      <c r="B398">
        <v>4.5401004030327385</v>
      </c>
      <c r="C398">
        <v>-0.54010040303273854</v>
      </c>
      <c r="D398">
        <v>-0.40104377914440942</v>
      </c>
    </row>
    <row r="399" spans="1:4" x14ac:dyDescent="0.2">
      <c r="A399">
        <v>365</v>
      </c>
      <c r="B399">
        <v>2.1842625213082871</v>
      </c>
      <c r="C399">
        <v>2.8157374786917129</v>
      </c>
      <c r="D399">
        <v>2.0907853302687247</v>
      </c>
    </row>
    <row r="400" spans="1:4" x14ac:dyDescent="0.2">
      <c r="A400">
        <v>366</v>
      </c>
      <c r="B400">
        <v>5.0057264743884504</v>
      </c>
      <c r="C400">
        <v>-2.0057264743884504</v>
      </c>
      <c r="D400">
        <v>-1.4893233197050186</v>
      </c>
    </row>
    <row r="401" spans="1:4" x14ac:dyDescent="0.2">
      <c r="A401">
        <v>367</v>
      </c>
      <c r="B401">
        <v>2.5489804142170125</v>
      </c>
      <c r="C401">
        <v>1.4510195857829875</v>
      </c>
      <c r="D401">
        <v>1.0774337049692801</v>
      </c>
    </row>
    <row r="402" spans="1:4" x14ac:dyDescent="0.2">
      <c r="A402">
        <v>368</v>
      </c>
      <c r="B402">
        <v>4.7573795226378008</v>
      </c>
      <c r="C402">
        <v>-0.75737952263780084</v>
      </c>
      <c r="D402">
        <v>-0.56238126152044532</v>
      </c>
    </row>
    <row r="403" spans="1:4" x14ac:dyDescent="0.2">
      <c r="A403">
        <v>369</v>
      </c>
      <c r="B403">
        <v>2.138154876757635</v>
      </c>
      <c r="C403">
        <v>-2.138154876757635</v>
      </c>
      <c r="D403">
        <v>-1.5876561234836801</v>
      </c>
    </row>
    <row r="404" spans="1:4" x14ac:dyDescent="0.2">
      <c r="A404">
        <v>370</v>
      </c>
      <c r="B404">
        <v>4.7623908280170122</v>
      </c>
      <c r="C404">
        <v>0.23760917198298781</v>
      </c>
      <c r="D404">
        <v>0.17643327010377216</v>
      </c>
    </row>
    <row r="405" spans="1:4" x14ac:dyDescent="0.2">
      <c r="A405">
        <v>371</v>
      </c>
      <c r="B405">
        <v>3.3912616900199386</v>
      </c>
      <c r="C405">
        <v>-1.3912616900199386</v>
      </c>
      <c r="D405">
        <v>-1.0330613397276305</v>
      </c>
    </row>
    <row r="406" spans="1:4" x14ac:dyDescent="0.2">
      <c r="A406">
        <v>372</v>
      </c>
      <c r="B406">
        <v>2.1569302541279911</v>
      </c>
      <c r="C406">
        <v>-1.1569302541279911</v>
      </c>
      <c r="D406">
        <v>-0.85906190537292948</v>
      </c>
    </row>
    <row r="407" spans="1:4" x14ac:dyDescent="0.2">
      <c r="A407">
        <v>373</v>
      </c>
      <c r="B407">
        <v>3.3812390792615155</v>
      </c>
      <c r="C407">
        <v>1.6187609207384845</v>
      </c>
      <c r="D407">
        <v>1.2019876184852509</v>
      </c>
    </row>
    <row r="408" spans="1:4" x14ac:dyDescent="0.2">
      <c r="A408">
        <v>374</v>
      </c>
      <c r="B408">
        <v>4.6024670235043903</v>
      </c>
      <c r="C408">
        <v>0.3975329764956097</v>
      </c>
      <c r="D408">
        <v>0.29518238892826959</v>
      </c>
    </row>
    <row r="409" spans="1:4" x14ac:dyDescent="0.2">
      <c r="A409">
        <v>375</v>
      </c>
      <c r="B409">
        <v>4.6074783288836025</v>
      </c>
      <c r="C409">
        <v>1.3925216711163975</v>
      </c>
      <c r="D409">
        <v>1.0339969205524864</v>
      </c>
    </row>
    <row r="410" spans="1:4" x14ac:dyDescent="0.2">
      <c r="A410">
        <v>376</v>
      </c>
      <c r="B410">
        <v>5.0257716959052967</v>
      </c>
      <c r="C410">
        <v>0.97422830409470329</v>
      </c>
      <c r="D410">
        <v>0.72339920249958722</v>
      </c>
    </row>
    <row r="411" spans="1:4" x14ac:dyDescent="0.2">
      <c r="A411">
        <v>377</v>
      </c>
      <c r="B411">
        <v>2.5802674100082181</v>
      </c>
      <c r="C411">
        <v>-0.58026741000821813</v>
      </c>
      <c r="D411">
        <v>-0.43086921194155869</v>
      </c>
    </row>
    <row r="412" spans="1:4" x14ac:dyDescent="0.2">
      <c r="A412">
        <v>378</v>
      </c>
      <c r="B412">
        <v>2.1030757391031547</v>
      </c>
      <c r="C412">
        <v>-1.1030757391031547</v>
      </c>
      <c r="D412">
        <v>-0.81907301051509585</v>
      </c>
    </row>
    <row r="413" spans="1:4" x14ac:dyDescent="0.2">
      <c r="A413">
        <v>379</v>
      </c>
      <c r="B413">
        <v>2.6431626117560927</v>
      </c>
      <c r="C413">
        <v>-0.64316261175609268</v>
      </c>
      <c r="D413">
        <v>-0.47757113857850053</v>
      </c>
    </row>
    <row r="414" spans="1:4" x14ac:dyDescent="0.2">
      <c r="A414">
        <v>380</v>
      </c>
      <c r="B414">
        <v>2.2100080146759122</v>
      </c>
      <c r="C414">
        <v>-0.21000801467591224</v>
      </c>
      <c r="D414">
        <v>-0.15593842808359698</v>
      </c>
    </row>
    <row r="415" spans="1:4" x14ac:dyDescent="0.2">
      <c r="A415">
        <v>381</v>
      </c>
      <c r="B415">
        <v>4.766177073612857</v>
      </c>
      <c r="C415">
        <v>0.23382292638714297</v>
      </c>
      <c r="D415">
        <v>0.17362184794226257</v>
      </c>
    </row>
    <row r="416" spans="1:4" x14ac:dyDescent="0.2">
      <c r="A416">
        <v>382</v>
      </c>
      <c r="B416">
        <v>4.4472498955886035</v>
      </c>
      <c r="C416">
        <v>2.5527501044113965</v>
      </c>
      <c r="D416">
        <v>1.8955078413862543</v>
      </c>
    </row>
    <row r="417" spans="1:4" x14ac:dyDescent="0.2">
      <c r="A417">
        <v>383</v>
      </c>
      <c r="B417">
        <v>4.5751795406872189</v>
      </c>
      <c r="C417">
        <v>-0.57517954068721888</v>
      </c>
      <c r="D417">
        <v>-0.42709128782073047</v>
      </c>
    </row>
    <row r="418" spans="1:4" x14ac:dyDescent="0.2">
      <c r="A418">
        <v>384</v>
      </c>
      <c r="B418">
        <v>4.5831555528222365</v>
      </c>
      <c r="C418">
        <v>-0.58315555282223652</v>
      </c>
      <c r="D418">
        <v>-0.43301376081124821</v>
      </c>
    </row>
    <row r="419" spans="1:4" x14ac:dyDescent="0.2">
      <c r="A419">
        <v>385</v>
      </c>
      <c r="B419">
        <v>2.503606520501052</v>
      </c>
      <c r="C419">
        <v>1.496393479498948</v>
      </c>
      <c r="D419">
        <v>1.1111254365587537</v>
      </c>
    </row>
    <row r="420" spans="1:4" x14ac:dyDescent="0.2">
      <c r="A420">
        <v>386</v>
      </c>
      <c r="B420">
        <v>3.2528922788015135</v>
      </c>
      <c r="C420">
        <v>-2.2528922788015135</v>
      </c>
      <c r="D420">
        <v>-1.6728527296452558</v>
      </c>
    </row>
    <row r="421" spans="1:4" x14ac:dyDescent="0.2">
      <c r="A421">
        <v>387</v>
      </c>
      <c r="B421">
        <v>3.336453926321918</v>
      </c>
      <c r="C421">
        <v>-0.33645392632191795</v>
      </c>
      <c r="D421">
        <v>-0.24982901949794994</v>
      </c>
    </row>
    <row r="422" spans="1:4" x14ac:dyDescent="0.2">
      <c r="A422">
        <v>388</v>
      </c>
      <c r="B422">
        <v>2.31852926561363</v>
      </c>
      <c r="C422">
        <v>2.68147073438637</v>
      </c>
      <c r="D422">
        <v>1.991087492149602</v>
      </c>
    </row>
    <row r="423" spans="1:4" x14ac:dyDescent="0.2">
      <c r="A423">
        <v>389</v>
      </c>
      <c r="B423">
        <v>5.073065052999933</v>
      </c>
      <c r="C423">
        <v>-1.073065052999933</v>
      </c>
      <c r="D423">
        <v>-0.79678900757421478</v>
      </c>
    </row>
    <row r="424" spans="1:4" x14ac:dyDescent="0.2">
      <c r="A424">
        <v>390</v>
      </c>
      <c r="B424">
        <v>3.5768307622049793</v>
      </c>
      <c r="C424">
        <v>2.4231692377950207</v>
      </c>
      <c r="D424">
        <v>1.7992894342885486</v>
      </c>
    </row>
    <row r="425" spans="1:4" x14ac:dyDescent="0.2">
      <c r="A425">
        <v>391</v>
      </c>
      <c r="B425">
        <v>4.5458454592466424</v>
      </c>
      <c r="C425">
        <v>0.45415454075335759</v>
      </c>
      <c r="D425">
        <v>0.33722591636036964</v>
      </c>
    </row>
    <row r="426" spans="1:4" x14ac:dyDescent="0.2">
      <c r="A426">
        <v>392</v>
      </c>
      <c r="B426">
        <v>3.328895069548286</v>
      </c>
      <c r="C426">
        <v>1.671104930451714</v>
      </c>
      <c r="D426">
        <v>1.240854909368744</v>
      </c>
    </row>
    <row r="427" spans="1:4" x14ac:dyDescent="0.2">
      <c r="A427">
        <v>393</v>
      </c>
      <c r="B427">
        <v>1.8965529810912081</v>
      </c>
      <c r="C427">
        <v>-1.8965529810912081</v>
      </c>
      <c r="D427">
        <v>-1.4082581138868535</v>
      </c>
    </row>
    <row r="428" spans="1:4" ht="16" thickBot="1" x14ac:dyDescent="0.25">
      <c r="A428" s="6">
        <v>394</v>
      </c>
      <c r="B428" s="6">
        <v>5.1488233744644676</v>
      </c>
      <c r="C428" s="6">
        <v>-1.1488233744644676</v>
      </c>
      <c r="D428" s="6">
        <v>-0.85304225858305038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CAC17D-A702-FC4A-A13B-C2876E5277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Ship Mode Lag</vt:lpstr>
      <vt:lpstr>Customers</vt:lpstr>
      <vt:lpstr>Orders</vt:lpstr>
      <vt:lpstr>Products</vt:lpstr>
      <vt:lpstr>Sales Region</vt:lpstr>
      <vt:lpstr>Segments</vt:lpstr>
      <vt:lpstr>CO Combined</vt:lpstr>
      <vt:lpstr>CO Combined Revised</vt:lpstr>
      <vt:lpstr>Dummy Variables</vt:lpstr>
      <vt:lpstr>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dc:creator>
  <cp:lastModifiedBy>Mendoza, Brandon</cp:lastModifiedBy>
  <dcterms:created xsi:type="dcterms:W3CDTF">2024-01-26T05:57:52Z</dcterms:created>
  <dcterms:modified xsi:type="dcterms:W3CDTF">2025-12-31T23:54:26Z</dcterms:modified>
</cp:coreProperties>
</file>